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dhikar/Documents/buildstock2025/GTO/"/>
    </mc:Choice>
  </mc:AlternateContent>
  <xr:revisionPtr revIDLastSave="0" documentId="13_ncr:1_{B92D7C1F-281E-C24C-A5CC-1DDCDE409F8D}" xr6:coauthVersionLast="47" xr6:coauthVersionMax="47" xr10:uidLastSave="{00000000-0000-0000-0000-000000000000}"/>
  <bookViews>
    <workbookView xWindow="38400" yWindow="500" windowWidth="38400" windowHeight="21100" activeTab="4" xr2:uid="{5073E79D-3BF6-0D4F-A91F-B44D405A9A3E}"/>
  </bookViews>
  <sheets>
    <sheet name="baseline" sheetId="1" r:id="rId1"/>
    <sheet name="adoption" sheetId="2" r:id="rId2"/>
    <sheet name="adoption_2027" sheetId="3" r:id="rId3"/>
    <sheet name="adoption_2027_no retro of new" sheetId="4" r:id="rId4"/>
    <sheet name="adoption_2027 (start in 2027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" i="5" l="1"/>
  <c r="AN3" i="5"/>
  <c r="AN4" i="5"/>
  <c r="AM2" i="5"/>
  <c r="AM3" i="5"/>
  <c r="AM4" i="5"/>
  <c r="AN6" i="5"/>
  <c r="AN7" i="5"/>
  <c r="AN8" i="5"/>
  <c r="AN9" i="5"/>
  <c r="AN10" i="5"/>
  <c r="AN11" i="5"/>
  <c r="AN12" i="5"/>
  <c r="AN13" i="5"/>
  <c r="AN14" i="5"/>
  <c r="AN15" i="5"/>
  <c r="AN16" i="5"/>
  <c r="AN17" i="5"/>
  <c r="AN18" i="5"/>
  <c r="AN19" i="5"/>
  <c r="AN20" i="5"/>
  <c r="AN21" i="5"/>
  <c r="AN22" i="5"/>
  <c r="AN23" i="5"/>
  <c r="AN24" i="5"/>
  <c r="AN25" i="5"/>
  <c r="AN26" i="5"/>
  <c r="AN27" i="5"/>
  <c r="AN28" i="5"/>
  <c r="AM6" i="5"/>
  <c r="AM7" i="5"/>
  <c r="AM8" i="5"/>
  <c r="AM9" i="5"/>
  <c r="AM10" i="5"/>
  <c r="AM11" i="5"/>
  <c r="AM12" i="5"/>
  <c r="AM13" i="5"/>
  <c r="AM14" i="5"/>
  <c r="AM15" i="5"/>
  <c r="AM16" i="5"/>
  <c r="AM17" i="5"/>
  <c r="AM18" i="5"/>
  <c r="AM19" i="5"/>
  <c r="AM20" i="5"/>
  <c r="AM21" i="5"/>
  <c r="AM22" i="5"/>
  <c r="AM23" i="5"/>
  <c r="AM24" i="5"/>
  <c r="AM25" i="5"/>
  <c r="AM26" i="5"/>
  <c r="AM27" i="5"/>
  <c r="AM28" i="5"/>
  <c r="AN5" i="5"/>
  <c r="AM5" i="5"/>
  <c r="AI2" i="5"/>
  <c r="AI3" i="5"/>
  <c r="AI4" i="5"/>
  <c r="AJ2" i="5"/>
  <c r="AJ3" i="5"/>
  <c r="AJ4" i="5"/>
  <c r="AO5" i="5"/>
  <c r="AA5" i="5"/>
  <c r="AA6" i="5" s="1"/>
  <c r="AA7" i="5" s="1"/>
  <c r="AA8" i="5" s="1"/>
  <c r="AA9" i="5" s="1"/>
  <c r="AA10" i="5" s="1"/>
  <c r="AA11" i="5" s="1"/>
  <c r="AA12" i="5" s="1"/>
  <c r="AA13" i="5" s="1"/>
  <c r="AA14" i="5" s="1"/>
  <c r="AA15" i="5" s="1"/>
  <c r="AA16" i="5" s="1"/>
  <c r="AA17" i="5" s="1"/>
  <c r="AA18" i="5" s="1"/>
  <c r="AA19" i="5" s="1"/>
  <c r="AA20" i="5" s="1"/>
  <c r="AA21" i="5" s="1"/>
  <c r="AA22" i="5" s="1"/>
  <c r="AA23" i="5" s="1"/>
  <c r="AA24" i="5" s="1"/>
  <c r="AA25" i="5" s="1"/>
  <c r="AA26" i="5" s="1"/>
  <c r="AA27" i="5" s="1"/>
  <c r="AE3" i="5"/>
  <c r="AE4" i="5"/>
  <c r="AL4" i="5" s="1"/>
  <c r="AE2" i="5"/>
  <c r="AL2" i="5" s="1"/>
  <c r="AN25" i="4"/>
  <c r="AN26" i="4" s="1"/>
  <c r="AN27" i="4" s="1"/>
  <c r="Z5" i="5"/>
  <c r="Z6" i="5" s="1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T5" i="5"/>
  <c r="S5" i="5"/>
  <c r="O5" i="5" s="1"/>
  <c r="R5" i="5"/>
  <c r="D5" i="5"/>
  <c r="AD4" i="5"/>
  <c r="AK4" i="5" s="1"/>
  <c r="I4" i="5"/>
  <c r="H4" i="5"/>
  <c r="F4" i="5"/>
  <c r="AG4" i="5" s="1"/>
  <c r="E4" i="5"/>
  <c r="AL3" i="5"/>
  <c r="AD3" i="5"/>
  <c r="AK3" i="5" s="1"/>
  <c r="I3" i="5"/>
  <c r="H3" i="5"/>
  <c r="F3" i="5"/>
  <c r="AG3" i="5" s="1"/>
  <c r="E3" i="5"/>
  <c r="AD2" i="5"/>
  <c r="AK2" i="5" s="1"/>
  <c r="X2" i="5"/>
  <c r="X3" i="5" s="1"/>
  <c r="X4" i="5" s="1"/>
  <c r="X5" i="5" s="1"/>
  <c r="X6" i="5" s="1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W2" i="5"/>
  <c r="W3" i="5" s="1"/>
  <c r="W4" i="5" s="1"/>
  <c r="W5" i="5" s="1"/>
  <c r="W6" i="5" s="1"/>
  <c r="W7" i="5" s="1"/>
  <c r="W8" i="5" s="1"/>
  <c r="W9" i="5" s="1"/>
  <c r="W10" i="5" s="1"/>
  <c r="W11" i="5" s="1"/>
  <c r="W12" i="5" s="1"/>
  <c r="W13" i="5" s="1"/>
  <c r="W14" i="5" s="1"/>
  <c r="W15" i="5" s="1"/>
  <c r="W16" i="5" s="1"/>
  <c r="W17" i="5" s="1"/>
  <c r="W18" i="5" s="1"/>
  <c r="W19" i="5" s="1"/>
  <c r="W20" i="5" s="1"/>
  <c r="W21" i="5" s="1"/>
  <c r="W22" i="5" s="1"/>
  <c r="W23" i="5" s="1"/>
  <c r="W24" i="5" s="1"/>
  <c r="W25" i="5" s="1"/>
  <c r="W26" i="5" s="1"/>
  <c r="W27" i="5" s="1"/>
  <c r="W28" i="5" s="1"/>
  <c r="V2" i="5"/>
  <c r="I2" i="5"/>
  <c r="H2" i="5"/>
  <c r="F2" i="5"/>
  <c r="AG2" i="5" s="1"/>
  <c r="E2" i="5"/>
  <c r="AA28" i="4"/>
  <c r="AA9" i="4"/>
  <c r="Z9" i="4"/>
  <c r="D6" i="4"/>
  <c r="U5" i="4"/>
  <c r="T5" i="4"/>
  <c r="S5" i="4"/>
  <c r="R5" i="4"/>
  <c r="P5" i="4"/>
  <c r="O5" i="4"/>
  <c r="N5" i="4"/>
  <c r="D5" i="4"/>
  <c r="AE4" i="4"/>
  <c r="AJ4" i="4" s="1"/>
  <c r="AD4" i="4"/>
  <c r="AI4" i="4" s="1"/>
  <c r="I4" i="4"/>
  <c r="H4" i="4"/>
  <c r="AH4" i="4" s="1"/>
  <c r="F4" i="4"/>
  <c r="AL4" i="4" s="1"/>
  <c r="E4" i="4"/>
  <c r="AE3" i="4"/>
  <c r="AJ3" i="4" s="1"/>
  <c r="AD3" i="4"/>
  <c r="AI3" i="4" s="1"/>
  <c r="I3" i="4"/>
  <c r="H3" i="4"/>
  <c r="AH3" i="4" s="1"/>
  <c r="F3" i="4"/>
  <c r="AL3" i="4" s="1"/>
  <c r="E3" i="4"/>
  <c r="AE2" i="4"/>
  <c r="AJ2" i="4" s="1"/>
  <c r="AD2" i="4"/>
  <c r="AI2" i="4" s="1"/>
  <c r="X2" i="4"/>
  <c r="X3" i="4" s="1"/>
  <c r="X4" i="4" s="1"/>
  <c r="X5" i="4" s="1"/>
  <c r="X6" i="4" s="1"/>
  <c r="X7" i="4" s="1"/>
  <c r="X8" i="4" s="1"/>
  <c r="X9" i="4" s="1"/>
  <c r="X10" i="4" s="1"/>
  <c r="X11" i="4" s="1"/>
  <c r="X12" i="4" s="1"/>
  <c r="X13" i="4" s="1"/>
  <c r="X14" i="4" s="1"/>
  <c r="X15" i="4" s="1"/>
  <c r="X16" i="4" s="1"/>
  <c r="X17" i="4" s="1"/>
  <c r="X18" i="4" s="1"/>
  <c r="X19" i="4" s="1"/>
  <c r="X20" i="4" s="1"/>
  <c r="X21" i="4" s="1"/>
  <c r="X22" i="4" s="1"/>
  <c r="X23" i="4" s="1"/>
  <c r="X24" i="4" s="1"/>
  <c r="X25" i="4" s="1"/>
  <c r="X26" i="4" s="1"/>
  <c r="X27" i="4" s="1"/>
  <c r="X28" i="4" s="1"/>
  <c r="W2" i="4"/>
  <c r="W3" i="4" s="1"/>
  <c r="W4" i="4" s="1"/>
  <c r="W5" i="4" s="1"/>
  <c r="W6" i="4" s="1"/>
  <c r="W7" i="4" s="1"/>
  <c r="W8" i="4" s="1"/>
  <c r="W9" i="4" s="1"/>
  <c r="W10" i="4" s="1"/>
  <c r="W11" i="4" s="1"/>
  <c r="W12" i="4" s="1"/>
  <c r="W13" i="4" s="1"/>
  <c r="W14" i="4" s="1"/>
  <c r="W15" i="4" s="1"/>
  <c r="W16" i="4" s="1"/>
  <c r="W17" i="4" s="1"/>
  <c r="W18" i="4" s="1"/>
  <c r="W19" i="4" s="1"/>
  <c r="W20" i="4" s="1"/>
  <c r="W21" i="4" s="1"/>
  <c r="W22" i="4" s="1"/>
  <c r="W23" i="4" s="1"/>
  <c r="W24" i="4" s="1"/>
  <c r="W25" i="4" s="1"/>
  <c r="W26" i="4" s="1"/>
  <c r="W27" i="4" s="1"/>
  <c r="W28" i="4" s="1"/>
  <c r="V2" i="4"/>
  <c r="I2" i="4"/>
  <c r="H2" i="4"/>
  <c r="AH2" i="4" s="1"/>
  <c r="F2" i="4"/>
  <c r="AL2" i="4" s="1"/>
  <c r="E2" i="4"/>
  <c r="U5" i="3"/>
  <c r="T5" i="3"/>
  <c r="S5" i="3"/>
  <c r="R5" i="3"/>
  <c r="G5" i="3"/>
  <c r="AA28" i="3"/>
  <c r="AN9" i="3"/>
  <c r="AN10" i="3" s="1"/>
  <c r="AN11" i="3" s="1"/>
  <c r="AN12" i="3" s="1"/>
  <c r="AN13" i="3" s="1"/>
  <c r="AN14" i="3" s="1"/>
  <c r="AN15" i="3" s="1"/>
  <c r="AN16" i="3" s="1"/>
  <c r="AN17" i="3" s="1"/>
  <c r="AN18" i="3" s="1"/>
  <c r="AN19" i="3" s="1"/>
  <c r="AN20" i="3" s="1"/>
  <c r="AN21" i="3" s="1"/>
  <c r="AN22" i="3" s="1"/>
  <c r="AN23" i="3" s="1"/>
  <c r="AN24" i="3" s="1"/>
  <c r="AN25" i="3" s="1"/>
  <c r="AN26" i="3" s="1"/>
  <c r="AN27" i="3" s="1"/>
  <c r="AA9" i="3"/>
  <c r="Z9" i="3"/>
  <c r="X3" i="3"/>
  <c r="X4" i="3" s="1"/>
  <c r="X5" i="3" s="1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W3" i="3"/>
  <c r="W4" i="3" s="1"/>
  <c r="W5" i="3" s="1"/>
  <c r="W6" i="3" s="1"/>
  <c r="W7" i="3" s="1"/>
  <c r="W8" i="3" s="1"/>
  <c r="W9" i="3" s="1"/>
  <c r="W10" i="3" s="1"/>
  <c r="W11" i="3" s="1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V3" i="3"/>
  <c r="X2" i="3"/>
  <c r="W2" i="3"/>
  <c r="V2" i="3"/>
  <c r="Y2" i="3" s="1"/>
  <c r="AA28" i="2"/>
  <c r="Z9" i="2"/>
  <c r="Z10" i="2" s="1"/>
  <c r="Z11" i="2" s="1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X2" i="2"/>
  <c r="X3" i="2" s="1"/>
  <c r="X4" i="2" s="1"/>
  <c r="X5" i="2" s="1"/>
  <c r="X6" i="2" s="1"/>
  <c r="X7" i="2" s="1"/>
  <c r="X8" i="2" s="1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W2" i="2"/>
  <c r="W3" i="2" s="1"/>
  <c r="W4" i="2" s="1"/>
  <c r="W5" i="2" s="1"/>
  <c r="W6" i="2" s="1"/>
  <c r="W7" i="2" s="1"/>
  <c r="W8" i="2" s="1"/>
  <c r="W9" i="2" s="1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V2" i="2"/>
  <c r="U2" i="2"/>
  <c r="Q2" i="2" s="1"/>
  <c r="T2" i="2"/>
  <c r="S2" i="2"/>
  <c r="R2" i="2"/>
  <c r="O2" i="2"/>
  <c r="N2" i="2"/>
  <c r="D2" i="2"/>
  <c r="N3" i="1"/>
  <c r="J3" i="1" s="1"/>
  <c r="T2" i="1"/>
  <c r="T3" i="1" s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S2" i="1"/>
  <c r="S3" i="1" s="1"/>
  <c r="R2" i="1"/>
  <c r="U2" i="1" s="1"/>
  <c r="R3" i="1"/>
  <c r="R4" i="1" s="1"/>
  <c r="J2" i="1"/>
  <c r="O2" i="1"/>
  <c r="P2" i="1"/>
  <c r="Q2" i="1"/>
  <c r="N2" i="1"/>
  <c r="D2" i="1"/>
  <c r="T6" i="5" l="1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AH3" i="5"/>
  <c r="P5" i="5"/>
  <c r="S6" i="5"/>
  <c r="S7" i="5" s="1"/>
  <c r="S8" i="5" s="1"/>
  <c r="S9" i="5" s="1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AH4" i="5"/>
  <c r="U5" i="5"/>
  <c r="Q5" i="5" s="1"/>
  <c r="AE5" i="5" s="1"/>
  <c r="AH2" i="5"/>
  <c r="AP2" i="5"/>
  <c r="AP3" i="5"/>
  <c r="AP4" i="5"/>
  <c r="N5" i="5"/>
  <c r="D6" i="5"/>
  <c r="G5" i="5"/>
  <c r="F5" i="5"/>
  <c r="E5" i="5"/>
  <c r="AF4" i="5"/>
  <c r="AO4" i="5"/>
  <c r="AF3" i="5"/>
  <c r="AO3" i="5"/>
  <c r="Y2" i="5"/>
  <c r="V3" i="5"/>
  <c r="AF2" i="5"/>
  <c r="AO2" i="5" s="1"/>
  <c r="AA10" i="4"/>
  <c r="Z10" i="4"/>
  <c r="G6" i="4"/>
  <c r="F6" i="4"/>
  <c r="AL6" i="4" s="1"/>
  <c r="E6" i="4"/>
  <c r="D7" i="4"/>
  <c r="AD5" i="4"/>
  <c r="Q5" i="4"/>
  <c r="AI5" i="4"/>
  <c r="E5" i="4"/>
  <c r="G5" i="4"/>
  <c r="F5" i="4"/>
  <c r="AL5" i="4" s="1"/>
  <c r="AF4" i="4"/>
  <c r="AK4" i="4"/>
  <c r="AF3" i="4"/>
  <c r="AK3" i="4" s="1"/>
  <c r="V3" i="4"/>
  <c r="Y2" i="4"/>
  <c r="AF2" i="4"/>
  <c r="AK2" i="4" s="1"/>
  <c r="AA10" i="3"/>
  <c r="Z10" i="3"/>
  <c r="Y3" i="3"/>
  <c r="V4" i="3"/>
  <c r="AD3" i="3"/>
  <c r="AI3" i="3" s="1"/>
  <c r="AD2" i="3"/>
  <c r="AI2" i="3" s="1"/>
  <c r="AE2" i="3"/>
  <c r="AJ2" i="3" s="1"/>
  <c r="F2" i="3"/>
  <c r="AL2" i="3" s="1"/>
  <c r="E2" i="3"/>
  <c r="F2" i="2"/>
  <c r="AL2" i="2" s="1"/>
  <c r="E2" i="2"/>
  <c r="S4" i="1"/>
  <c r="U3" i="1"/>
  <c r="O3" i="1"/>
  <c r="K2" i="1"/>
  <c r="P3" i="1"/>
  <c r="L2" i="1"/>
  <c r="Q3" i="1"/>
  <c r="M2" i="1"/>
  <c r="AA9" i="2"/>
  <c r="T3" i="2"/>
  <c r="P2" i="2"/>
  <c r="S3" i="2"/>
  <c r="R3" i="2"/>
  <c r="AD2" i="2"/>
  <c r="AI2" i="2" s="1"/>
  <c r="AE2" i="2"/>
  <c r="AJ2" i="2" s="1"/>
  <c r="Y2" i="2"/>
  <c r="U3" i="2" s="1"/>
  <c r="V3" i="2"/>
  <c r="O3" i="2"/>
  <c r="N3" i="2"/>
  <c r="D3" i="2"/>
  <c r="G2" i="2"/>
  <c r="N4" i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M3" i="1"/>
  <c r="Q4" i="1"/>
  <c r="R5" i="1"/>
  <c r="E2" i="1"/>
  <c r="D3" i="1"/>
  <c r="AI5" i="5" l="1"/>
  <c r="AG5" i="5"/>
  <c r="AP5" i="5" s="1"/>
  <c r="G6" i="5"/>
  <c r="E6" i="5"/>
  <c r="F6" i="5"/>
  <c r="D7" i="5"/>
  <c r="I5" i="5"/>
  <c r="H5" i="5"/>
  <c r="AH5" i="5" s="1"/>
  <c r="Y3" i="5"/>
  <c r="V4" i="5"/>
  <c r="AA11" i="4"/>
  <c r="Z11" i="4"/>
  <c r="H6" i="4"/>
  <c r="AH6" i="4" s="1"/>
  <c r="I6" i="4"/>
  <c r="E7" i="4"/>
  <c r="F7" i="4"/>
  <c r="AL7" i="4" s="1"/>
  <c r="D8" i="4"/>
  <c r="G7" i="4"/>
  <c r="AE5" i="4"/>
  <c r="AJ5" i="4" s="1"/>
  <c r="H5" i="4"/>
  <c r="AH5" i="4" s="1"/>
  <c r="I5" i="4"/>
  <c r="Y3" i="4"/>
  <c r="V4" i="4"/>
  <c r="AA11" i="3"/>
  <c r="Z11" i="3"/>
  <c r="Y4" i="3"/>
  <c r="V5" i="3"/>
  <c r="T6" i="3" s="1"/>
  <c r="P5" i="3"/>
  <c r="N5" i="3"/>
  <c r="R6" i="3"/>
  <c r="AD4" i="3"/>
  <c r="AI4" i="3"/>
  <c r="AE3" i="3"/>
  <c r="AJ3" i="3" s="1"/>
  <c r="F3" i="3"/>
  <c r="AL3" i="3" s="1"/>
  <c r="E3" i="3"/>
  <c r="H2" i="3"/>
  <c r="AH2" i="3" s="1"/>
  <c r="I2" i="3"/>
  <c r="U4" i="1"/>
  <c r="S5" i="1"/>
  <c r="K3" i="1"/>
  <c r="O4" i="1"/>
  <c r="L3" i="1"/>
  <c r="P4" i="1"/>
  <c r="T4" i="2"/>
  <c r="P3" i="2"/>
  <c r="F3" i="2"/>
  <c r="AL3" i="2" s="1"/>
  <c r="E3" i="2"/>
  <c r="I2" i="2"/>
  <c r="AF2" i="2" s="1"/>
  <c r="AK2" i="2" s="1"/>
  <c r="H2" i="2"/>
  <c r="AH2" i="2" s="1"/>
  <c r="M4" i="1"/>
  <c r="Q5" i="1"/>
  <c r="R6" i="1"/>
  <c r="AA10" i="2"/>
  <c r="AA11" i="2" s="1"/>
  <c r="AD3" i="2"/>
  <c r="AI3" i="2" s="1"/>
  <c r="U4" i="2"/>
  <c r="Q4" i="2" s="1"/>
  <c r="Q3" i="2"/>
  <c r="Y3" i="2"/>
  <c r="V4" i="2"/>
  <c r="P4" i="2"/>
  <c r="D4" i="2"/>
  <c r="G3" i="2"/>
  <c r="S4" i="2"/>
  <c r="R4" i="2"/>
  <c r="M5" i="1"/>
  <c r="Q6" i="1"/>
  <c r="J4" i="1"/>
  <c r="D4" i="1"/>
  <c r="E3" i="1"/>
  <c r="AG6" i="5" l="1"/>
  <c r="AP6" i="5" s="1"/>
  <c r="I6" i="5"/>
  <c r="H6" i="5"/>
  <c r="AH6" i="5" s="1"/>
  <c r="G7" i="5"/>
  <c r="F7" i="5"/>
  <c r="E7" i="5"/>
  <c r="D8" i="5"/>
  <c r="AF5" i="5"/>
  <c r="Y4" i="5"/>
  <c r="V5" i="5"/>
  <c r="R6" i="5" s="1"/>
  <c r="AA12" i="4"/>
  <c r="Z12" i="4"/>
  <c r="AF6" i="4"/>
  <c r="AK6" i="4"/>
  <c r="E8" i="4"/>
  <c r="F8" i="4"/>
  <c r="AL8" i="4" s="1"/>
  <c r="D9" i="4"/>
  <c r="G8" i="4"/>
  <c r="H7" i="4"/>
  <c r="AH7" i="4" s="1"/>
  <c r="I7" i="4"/>
  <c r="AF5" i="4"/>
  <c r="AK5" i="4"/>
  <c r="Y4" i="4"/>
  <c r="V5" i="4"/>
  <c r="AA12" i="3"/>
  <c r="Z12" i="3"/>
  <c r="Y5" i="3"/>
  <c r="V6" i="3"/>
  <c r="T7" i="3"/>
  <c r="P6" i="3"/>
  <c r="S6" i="3"/>
  <c r="O5" i="3"/>
  <c r="R7" i="3"/>
  <c r="N6" i="3"/>
  <c r="AD5" i="3"/>
  <c r="Q5" i="3"/>
  <c r="AI5" i="3"/>
  <c r="U6" i="3"/>
  <c r="AE4" i="3"/>
  <c r="AJ4" i="3" s="1"/>
  <c r="H3" i="3"/>
  <c r="AH3" i="3" s="1"/>
  <c r="I3" i="3"/>
  <c r="E4" i="3"/>
  <c r="D5" i="3"/>
  <c r="F4" i="3"/>
  <c r="AL4" i="3" s="1"/>
  <c r="AF2" i="3"/>
  <c r="AK2" i="3"/>
  <c r="O5" i="1"/>
  <c r="K4" i="1"/>
  <c r="P5" i="1"/>
  <c r="L4" i="1"/>
  <c r="U6" i="1"/>
  <c r="R7" i="1"/>
  <c r="S6" i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U5" i="1"/>
  <c r="F4" i="2"/>
  <c r="AL4" i="2" s="1"/>
  <c r="E4" i="2"/>
  <c r="I3" i="2"/>
  <c r="H3" i="2"/>
  <c r="AH3" i="2" s="1"/>
  <c r="AA12" i="2"/>
  <c r="AD4" i="2"/>
  <c r="AI4" i="2" s="1"/>
  <c r="AE3" i="2"/>
  <c r="AJ3" i="2" s="1"/>
  <c r="AE4" i="2"/>
  <c r="AJ4" i="2" s="1"/>
  <c r="Y4" i="2"/>
  <c r="V5" i="2"/>
  <c r="G4" i="2"/>
  <c r="D5" i="2"/>
  <c r="O4" i="2"/>
  <c r="S5" i="2"/>
  <c r="N4" i="2"/>
  <c r="R5" i="2"/>
  <c r="U5" i="2"/>
  <c r="T5" i="2"/>
  <c r="M6" i="1"/>
  <c r="Q7" i="1"/>
  <c r="J5" i="1"/>
  <c r="E4" i="1"/>
  <c r="D5" i="1"/>
  <c r="AG7" i="5" l="1"/>
  <c r="AP7" i="5" s="1"/>
  <c r="U6" i="5"/>
  <c r="AF6" i="5"/>
  <c r="AO6" i="5" s="1"/>
  <c r="H7" i="5"/>
  <c r="AH7" i="5" s="1"/>
  <c r="I7" i="5"/>
  <c r="D9" i="5"/>
  <c r="G8" i="5"/>
  <c r="E8" i="5"/>
  <c r="F8" i="5"/>
  <c r="AG8" i="5" s="1"/>
  <c r="V6" i="5"/>
  <c r="R7" i="5" s="1"/>
  <c r="Y5" i="5"/>
  <c r="AA13" i="4"/>
  <c r="Z13" i="4"/>
  <c r="F9" i="4"/>
  <c r="E9" i="4"/>
  <c r="G9" i="4"/>
  <c r="D10" i="4"/>
  <c r="H8" i="4"/>
  <c r="AH8" i="4" s="1"/>
  <c r="I8" i="4"/>
  <c r="AF7" i="4"/>
  <c r="AK7" i="4"/>
  <c r="U6" i="4"/>
  <c r="R6" i="4"/>
  <c r="S6" i="4"/>
  <c r="T6" i="4"/>
  <c r="Y5" i="4"/>
  <c r="V6" i="4"/>
  <c r="AA13" i="3"/>
  <c r="Z13" i="3"/>
  <c r="V7" i="3"/>
  <c r="Y6" i="3"/>
  <c r="P7" i="3"/>
  <c r="T8" i="3"/>
  <c r="S7" i="3"/>
  <c r="O6" i="3"/>
  <c r="N7" i="3"/>
  <c r="R8" i="3"/>
  <c r="AE5" i="3"/>
  <c r="AJ5" i="3"/>
  <c r="AD6" i="3"/>
  <c r="AI6" i="3"/>
  <c r="Q6" i="3"/>
  <c r="U7" i="3"/>
  <c r="AF3" i="3"/>
  <c r="AK3" i="3" s="1"/>
  <c r="E5" i="3"/>
  <c r="D6" i="3"/>
  <c r="F5" i="3"/>
  <c r="AL5" i="3" s="1"/>
  <c r="I4" i="3"/>
  <c r="H4" i="3"/>
  <c r="AH4" i="3" s="1"/>
  <c r="O6" i="1"/>
  <c r="K5" i="1"/>
  <c r="P6" i="1"/>
  <c r="L5" i="1"/>
  <c r="U7" i="1"/>
  <c r="R8" i="1"/>
  <c r="AF3" i="2"/>
  <c r="AK3" i="2" s="1"/>
  <c r="I4" i="2"/>
  <c r="AF4" i="2" s="1"/>
  <c r="AK4" i="2" s="1"/>
  <c r="H4" i="2"/>
  <c r="AH4" i="2" s="1"/>
  <c r="F5" i="2"/>
  <c r="AL5" i="2" s="1"/>
  <c r="E5" i="2"/>
  <c r="AA13" i="2"/>
  <c r="AD5" i="2"/>
  <c r="AI5" i="2" s="1"/>
  <c r="Y5" i="2"/>
  <c r="V6" i="2"/>
  <c r="G5" i="2"/>
  <c r="D6" i="2"/>
  <c r="S6" i="2"/>
  <c r="O5" i="2"/>
  <c r="R6" i="2"/>
  <c r="N5" i="2"/>
  <c r="Q5" i="2"/>
  <c r="U6" i="2"/>
  <c r="P5" i="2"/>
  <c r="T6" i="2"/>
  <c r="M7" i="1"/>
  <c r="Q8" i="1"/>
  <c r="J6" i="1"/>
  <c r="E5" i="1"/>
  <c r="D6" i="1"/>
  <c r="AI6" i="5" l="1"/>
  <c r="U7" i="5"/>
  <c r="AF7" i="5"/>
  <c r="AO7" i="5" s="1"/>
  <c r="F9" i="5"/>
  <c r="AG9" i="5" s="1"/>
  <c r="G9" i="5"/>
  <c r="E9" i="5"/>
  <c r="D10" i="5"/>
  <c r="H8" i="5"/>
  <c r="AH8" i="5" s="1"/>
  <c r="I8" i="5"/>
  <c r="N6" i="5"/>
  <c r="Q6" i="5"/>
  <c r="AE6" i="5" s="1"/>
  <c r="O6" i="5"/>
  <c r="P6" i="5"/>
  <c r="Y6" i="5"/>
  <c r="V7" i="5"/>
  <c r="R8" i="5" s="1"/>
  <c r="AA14" i="4"/>
  <c r="Z14" i="4"/>
  <c r="AG9" i="4"/>
  <c r="AL9" i="4" s="1"/>
  <c r="H9" i="4"/>
  <c r="AH9" i="4" s="1"/>
  <c r="I9" i="4"/>
  <c r="E10" i="4"/>
  <c r="F10" i="4"/>
  <c r="G10" i="4"/>
  <c r="D11" i="4"/>
  <c r="AF8" i="4"/>
  <c r="AK8" i="4" s="1"/>
  <c r="U7" i="4"/>
  <c r="AD6" i="4"/>
  <c r="Q6" i="4"/>
  <c r="AI6" i="4"/>
  <c r="R7" i="4"/>
  <c r="N6" i="4"/>
  <c r="O6" i="4"/>
  <c r="S7" i="4"/>
  <c r="P6" i="4"/>
  <c r="T7" i="4"/>
  <c r="Y6" i="4"/>
  <c r="V7" i="4"/>
  <c r="AA14" i="3"/>
  <c r="Z14" i="3"/>
  <c r="Y7" i="3"/>
  <c r="V8" i="3"/>
  <c r="T9" i="3"/>
  <c r="P8" i="3"/>
  <c r="S8" i="3"/>
  <c r="O7" i="3"/>
  <c r="N8" i="3"/>
  <c r="R9" i="3"/>
  <c r="AE6" i="3"/>
  <c r="AJ6" i="3"/>
  <c r="Q7" i="3"/>
  <c r="U8" i="3"/>
  <c r="AD7" i="3"/>
  <c r="AI7" i="3" s="1"/>
  <c r="D7" i="3"/>
  <c r="G6" i="3"/>
  <c r="E6" i="3"/>
  <c r="F6" i="3"/>
  <c r="AL6" i="3" s="1"/>
  <c r="H5" i="3"/>
  <c r="AH5" i="3" s="1"/>
  <c r="I5" i="3"/>
  <c r="AF4" i="3"/>
  <c r="AK4" i="3"/>
  <c r="K6" i="1"/>
  <c r="O7" i="1"/>
  <c r="L6" i="1"/>
  <c r="P7" i="1"/>
  <c r="U8" i="1"/>
  <c r="R9" i="1"/>
  <c r="I5" i="2"/>
  <c r="H5" i="2"/>
  <c r="AH5" i="2" s="1"/>
  <c r="F6" i="2"/>
  <c r="AL6" i="2" s="1"/>
  <c r="E6" i="2"/>
  <c r="AA14" i="2"/>
  <c r="AE5" i="2"/>
  <c r="AJ5" i="2" s="1"/>
  <c r="AD6" i="2"/>
  <c r="AI6" i="2" s="1"/>
  <c r="Y6" i="2"/>
  <c r="V7" i="2"/>
  <c r="G6" i="2"/>
  <c r="D7" i="2"/>
  <c r="S7" i="2"/>
  <c r="O6" i="2"/>
  <c r="R7" i="2"/>
  <c r="N6" i="2"/>
  <c r="U7" i="2"/>
  <c r="Q6" i="2"/>
  <c r="T7" i="2"/>
  <c r="P6" i="2"/>
  <c r="M8" i="1"/>
  <c r="Q9" i="1"/>
  <c r="J7" i="1"/>
  <c r="D7" i="1"/>
  <c r="E6" i="1"/>
  <c r="AI7" i="5" l="1"/>
  <c r="U8" i="5"/>
  <c r="H9" i="5"/>
  <c r="AH9" i="5" s="1"/>
  <c r="I9" i="5"/>
  <c r="D11" i="5"/>
  <c r="E10" i="5"/>
  <c r="F10" i="5"/>
  <c r="AG10" i="5" s="1"/>
  <c r="G10" i="5"/>
  <c r="AF8" i="5"/>
  <c r="AO8" i="5" s="1"/>
  <c r="N7" i="5"/>
  <c r="Q7" i="5"/>
  <c r="AE7" i="5" s="1"/>
  <c r="O7" i="5"/>
  <c r="P7" i="5"/>
  <c r="V8" i="5"/>
  <c r="R9" i="5" s="1"/>
  <c r="Y7" i="5"/>
  <c r="AA15" i="4"/>
  <c r="Z15" i="4"/>
  <c r="AF9" i="4"/>
  <c r="AK9" i="4"/>
  <c r="AG10" i="4"/>
  <c r="AL10" i="4" s="1"/>
  <c r="I10" i="4"/>
  <c r="H10" i="4"/>
  <c r="AH10" i="4" s="1"/>
  <c r="G11" i="4"/>
  <c r="E11" i="4"/>
  <c r="D12" i="4"/>
  <c r="F11" i="4"/>
  <c r="AI7" i="4"/>
  <c r="U8" i="4"/>
  <c r="Q7" i="4"/>
  <c r="AD7" i="4"/>
  <c r="AE6" i="4"/>
  <c r="AJ6" i="4" s="1"/>
  <c r="R8" i="4"/>
  <c r="N7" i="4"/>
  <c r="S8" i="4"/>
  <c r="O7" i="4"/>
  <c r="T8" i="4"/>
  <c r="P7" i="4"/>
  <c r="Y7" i="4"/>
  <c r="V8" i="4"/>
  <c r="AA15" i="3"/>
  <c r="Z15" i="3"/>
  <c r="V9" i="3"/>
  <c r="Y8" i="3"/>
  <c r="P9" i="3"/>
  <c r="O8" i="3"/>
  <c r="S9" i="3"/>
  <c r="N9" i="3"/>
  <c r="AE7" i="3"/>
  <c r="AJ7" i="3" s="1"/>
  <c r="Q8" i="3"/>
  <c r="AD8" i="3"/>
  <c r="AI8" i="3" s="1"/>
  <c r="U9" i="3"/>
  <c r="G7" i="3"/>
  <c r="E7" i="3"/>
  <c r="F7" i="3"/>
  <c r="AL7" i="3" s="1"/>
  <c r="D8" i="3"/>
  <c r="H6" i="3"/>
  <c r="AH6" i="3" s="1"/>
  <c r="I6" i="3"/>
  <c r="AF5" i="3"/>
  <c r="AK5" i="3"/>
  <c r="K7" i="1"/>
  <c r="O8" i="1"/>
  <c r="L7" i="1"/>
  <c r="P8" i="1"/>
  <c r="U9" i="1"/>
  <c r="R10" i="1"/>
  <c r="AF5" i="2"/>
  <c r="AK5" i="2"/>
  <c r="I6" i="2"/>
  <c r="AF6" i="2" s="1"/>
  <c r="AK6" i="2" s="1"/>
  <c r="H6" i="2"/>
  <c r="AH6" i="2" s="1"/>
  <c r="F7" i="2"/>
  <c r="AL7" i="2" s="1"/>
  <c r="E7" i="2"/>
  <c r="AA15" i="2"/>
  <c r="AD7" i="2"/>
  <c r="AI7" i="2" s="1"/>
  <c r="AE6" i="2"/>
  <c r="AJ6" i="2" s="1"/>
  <c r="Y7" i="2"/>
  <c r="V8" i="2"/>
  <c r="G7" i="2"/>
  <c r="D8" i="2"/>
  <c r="S8" i="2"/>
  <c r="O7" i="2"/>
  <c r="R8" i="2"/>
  <c r="N7" i="2"/>
  <c r="U8" i="2"/>
  <c r="Q7" i="2"/>
  <c r="T8" i="2"/>
  <c r="P7" i="2"/>
  <c r="M9" i="1"/>
  <c r="Q10" i="1"/>
  <c r="J8" i="1"/>
  <c r="E7" i="1"/>
  <c r="D8" i="1"/>
  <c r="AI8" i="5" l="1"/>
  <c r="U9" i="5"/>
  <c r="AF9" i="5"/>
  <c r="AO9" i="5"/>
  <c r="E11" i="5"/>
  <c r="F11" i="5"/>
  <c r="AG11" i="5" s="1"/>
  <c r="G11" i="5"/>
  <c r="D12" i="5"/>
  <c r="I10" i="5"/>
  <c r="H10" i="5"/>
  <c r="AH10" i="5" s="1"/>
  <c r="N8" i="5"/>
  <c r="Q8" i="5"/>
  <c r="AE8" i="5" s="1"/>
  <c r="O8" i="5"/>
  <c r="P8" i="5"/>
  <c r="Y8" i="5"/>
  <c r="V9" i="5"/>
  <c r="R10" i="5" s="1"/>
  <c r="AA16" i="4"/>
  <c r="Z16" i="4"/>
  <c r="AF10" i="4"/>
  <c r="AK10" i="4"/>
  <c r="H11" i="4"/>
  <c r="AH11" i="4" s="1"/>
  <c r="I11" i="4"/>
  <c r="F12" i="4"/>
  <c r="E12" i="4"/>
  <c r="G12" i="4"/>
  <c r="D13" i="4"/>
  <c r="AG11" i="4"/>
  <c r="AL11" i="4" s="1"/>
  <c r="AD8" i="4"/>
  <c r="AI8" i="4"/>
  <c r="U9" i="4"/>
  <c r="Q8" i="4"/>
  <c r="AE7" i="4"/>
  <c r="AJ7" i="4"/>
  <c r="N8" i="4"/>
  <c r="R9" i="4"/>
  <c r="O8" i="4"/>
  <c r="S9" i="4"/>
  <c r="T9" i="4"/>
  <c r="P8" i="4"/>
  <c r="Y8" i="4"/>
  <c r="V9" i="4"/>
  <c r="AA16" i="3"/>
  <c r="Z16" i="3"/>
  <c r="Y9" i="3"/>
  <c r="V10" i="3"/>
  <c r="O9" i="3"/>
  <c r="S10" i="3"/>
  <c r="AE8" i="3"/>
  <c r="AJ8" i="3"/>
  <c r="AD9" i="3"/>
  <c r="AI9" i="3" s="1"/>
  <c r="U10" i="3"/>
  <c r="Q9" i="3"/>
  <c r="H7" i="3"/>
  <c r="AH7" i="3" s="1"/>
  <c r="I7" i="3"/>
  <c r="E8" i="3"/>
  <c r="D9" i="3"/>
  <c r="F8" i="3"/>
  <c r="AL8" i="3" s="1"/>
  <c r="G8" i="3"/>
  <c r="AF6" i="3"/>
  <c r="AK6" i="3" s="1"/>
  <c r="T10" i="3"/>
  <c r="R10" i="3"/>
  <c r="K8" i="1"/>
  <c r="O9" i="1"/>
  <c r="L8" i="1"/>
  <c r="P9" i="1"/>
  <c r="U10" i="1"/>
  <c r="R11" i="1"/>
  <c r="I7" i="2"/>
  <c r="AF7" i="2" s="1"/>
  <c r="AK7" i="2" s="1"/>
  <c r="H7" i="2"/>
  <c r="AH7" i="2" s="1"/>
  <c r="F8" i="2"/>
  <c r="AL8" i="2" s="1"/>
  <c r="E8" i="2"/>
  <c r="AA16" i="2"/>
  <c r="AD8" i="2"/>
  <c r="AI8" i="2" s="1"/>
  <c r="AE7" i="2"/>
  <c r="AJ7" i="2" s="1"/>
  <c r="Y8" i="2"/>
  <c r="V9" i="2"/>
  <c r="G8" i="2"/>
  <c r="D9" i="2"/>
  <c r="S9" i="2"/>
  <c r="O8" i="2"/>
  <c r="R9" i="2"/>
  <c r="N8" i="2"/>
  <c r="U9" i="2"/>
  <c r="Q8" i="2"/>
  <c r="T9" i="2"/>
  <c r="P8" i="2"/>
  <c r="M10" i="1"/>
  <c r="Q11" i="1"/>
  <c r="J9" i="1"/>
  <c r="E8" i="1"/>
  <c r="D9" i="1"/>
  <c r="AI9" i="5" l="1"/>
  <c r="U10" i="5"/>
  <c r="H11" i="5"/>
  <c r="AH11" i="5" s="1"/>
  <c r="I11" i="5"/>
  <c r="D13" i="5"/>
  <c r="E12" i="5"/>
  <c r="F12" i="5"/>
  <c r="AG12" i="5" s="1"/>
  <c r="G12" i="5"/>
  <c r="AF10" i="5"/>
  <c r="AO10" i="5" s="1"/>
  <c r="N9" i="5"/>
  <c r="Q9" i="5"/>
  <c r="AE9" i="5" s="1"/>
  <c r="O9" i="5"/>
  <c r="P9" i="5"/>
  <c r="Y9" i="5"/>
  <c r="V10" i="5"/>
  <c r="R11" i="5" s="1"/>
  <c r="AA17" i="4"/>
  <c r="Z17" i="4"/>
  <c r="AF11" i="4"/>
  <c r="AK11" i="4" s="1"/>
  <c r="AG12" i="4"/>
  <c r="AL12" i="4" s="1"/>
  <c r="I12" i="4"/>
  <c r="H12" i="4"/>
  <c r="AH12" i="4" s="1"/>
  <c r="F13" i="4"/>
  <c r="G13" i="4"/>
  <c r="D14" i="4"/>
  <c r="E13" i="4"/>
  <c r="AD9" i="4"/>
  <c r="AI9" i="4"/>
  <c r="U10" i="4"/>
  <c r="Q9" i="4"/>
  <c r="AE8" i="4"/>
  <c r="AJ8" i="4"/>
  <c r="R10" i="4"/>
  <c r="N9" i="4"/>
  <c r="S10" i="4"/>
  <c r="O9" i="4"/>
  <c r="T10" i="4"/>
  <c r="P9" i="4"/>
  <c r="Y9" i="4"/>
  <c r="V10" i="4"/>
  <c r="AA17" i="3"/>
  <c r="Z17" i="3"/>
  <c r="Y10" i="3"/>
  <c r="V11" i="3"/>
  <c r="O10" i="3"/>
  <c r="S11" i="3"/>
  <c r="AD10" i="3"/>
  <c r="AI10" i="3"/>
  <c r="U11" i="3"/>
  <c r="Q10" i="3"/>
  <c r="AE9" i="3"/>
  <c r="AJ9" i="3" s="1"/>
  <c r="AF7" i="3"/>
  <c r="AK7" i="3"/>
  <c r="F9" i="3"/>
  <c r="D10" i="3"/>
  <c r="G9" i="3"/>
  <c r="E9" i="3"/>
  <c r="I8" i="3"/>
  <c r="H8" i="3"/>
  <c r="AH8" i="3" s="1"/>
  <c r="P10" i="3"/>
  <c r="T11" i="3"/>
  <c r="N10" i="3"/>
  <c r="R11" i="3"/>
  <c r="K9" i="1"/>
  <c r="O10" i="1"/>
  <c r="L9" i="1"/>
  <c r="P10" i="1"/>
  <c r="U11" i="1"/>
  <c r="R12" i="1"/>
  <c r="I8" i="2"/>
  <c r="H8" i="2"/>
  <c r="AH8" i="2" s="1"/>
  <c r="F9" i="2"/>
  <c r="E9" i="2"/>
  <c r="AA17" i="2"/>
  <c r="AD9" i="2"/>
  <c r="AI9" i="2" s="1"/>
  <c r="AE8" i="2"/>
  <c r="AJ8" i="2" s="1"/>
  <c r="Y9" i="2"/>
  <c r="V10" i="2"/>
  <c r="G9" i="2"/>
  <c r="D10" i="2"/>
  <c r="S10" i="2"/>
  <c r="O9" i="2"/>
  <c r="R10" i="2"/>
  <c r="N9" i="2"/>
  <c r="U10" i="2"/>
  <c r="Q9" i="2"/>
  <c r="T10" i="2"/>
  <c r="P9" i="2"/>
  <c r="M11" i="1"/>
  <c r="Q12" i="1"/>
  <c r="J10" i="1"/>
  <c r="E9" i="1"/>
  <c r="D10" i="1"/>
  <c r="AI10" i="5" l="1"/>
  <c r="U11" i="5"/>
  <c r="AF11" i="5"/>
  <c r="AO11" i="5" s="1"/>
  <c r="D14" i="5"/>
  <c r="F13" i="5"/>
  <c r="AG13" i="5" s="1"/>
  <c r="E13" i="5"/>
  <c r="G13" i="5"/>
  <c r="H12" i="5"/>
  <c r="AH12" i="5" s="1"/>
  <c r="I12" i="5"/>
  <c r="N10" i="5"/>
  <c r="Q10" i="5"/>
  <c r="AE10" i="5" s="1"/>
  <c r="O10" i="5"/>
  <c r="P10" i="5"/>
  <c r="Y10" i="5"/>
  <c r="V11" i="5"/>
  <c r="R12" i="5" s="1"/>
  <c r="AA18" i="4"/>
  <c r="Z18" i="4"/>
  <c r="AF12" i="4"/>
  <c r="AK12" i="4"/>
  <c r="AG13" i="4"/>
  <c r="AL13" i="4"/>
  <c r="H13" i="4"/>
  <c r="AH13" i="4" s="1"/>
  <c r="I13" i="4"/>
  <c r="E14" i="4"/>
  <c r="F14" i="4"/>
  <c r="G14" i="4"/>
  <c r="D15" i="4"/>
  <c r="AD10" i="4"/>
  <c r="U11" i="4"/>
  <c r="Q10" i="4"/>
  <c r="AI10" i="4"/>
  <c r="AE9" i="4"/>
  <c r="AJ9" i="4"/>
  <c r="R11" i="4"/>
  <c r="N10" i="4"/>
  <c r="S11" i="4"/>
  <c r="O10" i="4"/>
  <c r="T11" i="4"/>
  <c r="P10" i="4"/>
  <c r="Y10" i="4"/>
  <c r="V11" i="4"/>
  <c r="AA18" i="3"/>
  <c r="Z18" i="3"/>
  <c r="V12" i="3"/>
  <c r="Y11" i="3"/>
  <c r="O11" i="3"/>
  <c r="S12" i="3"/>
  <c r="AD11" i="3"/>
  <c r="AI11" i="3"/>
  <c r="U12" i="3"/>
  <c r="Q11" i="3"/>
  <c r="AE10" i="3"/>
  <c r="AJ10" i="3"/>
  <c r="AG9" i="3"/>
  <c r="AL9" i="3" s="1"/>
  <c r="E10" i="3"/>
  <c r="F10" i="3"/>
  <c r="G10" i="3"/>
  <c r="D11" i="3"/>
  <c r="I9" i="3"/>
  <c r="H9" i="3"/>
  <c r="AH9" i="3" s="1"/>
  <c r="AF8" i="3"/>
  <c r="AK8" i="3"/>
  <c r="P11" i="3"/>
  <c r="T12" i="3"/>
  <c r="N11" i="3"/>
  <c r="R12" i="3"/>
  <c r="K10" i="1"/>
  <c r="O11" i="1"/>
  <c r="L10" i="1"/>
  <c r="P11" i="1"/>
  <c r="U12" i="1"/>
  <c r="R13" i="1"/>
  <c r="AK8" i="2"/>
  <c r="AF8" i="2"/>
  <c r="I9" i="2"/>
  <c r="H9" i="2"/>
  <c r="AH9" i="2" s="1"/>
  <c r="F10" i="2"/>
  <c r="E10" i="2"/>
  <c r="AA18" i="2"/>
  <c r="AD10" i="2"/>
  <c r="AI10" i="2" s="1"/>
  <c r="Y10" i="2"/>
  <c r="V11" i="2"/>
  <c r="G10" i="2"/>
  <c r="D11" i="2"/>
  <c r="S11" i="2"/>
  <c r="O10" i="2"/>
  <c r="R11" i="2"/>
  <c r="N10" i="2"/>
  <c r="U11" i="2"/>
  <c r="Q10" i="2"/>
  <c r="T11" i="2"/>
  <c r="P10" i="2"/>
  <c r="M12" i="1"/>
  <c r="Q13" i="1"/>
  <c r="J11" i="1"/>
  <c r="E10" i="1"/>
  <c r="D11" i="1"/>
  <c r="AI11" i="5" l="1"/>
  <c r="U12" i="5"/>
  <c r="E14" i="5"/>
  <c r="F14" i="5"/>
  <c r="AG14" i="5" s="1"/>
  <c r="G14" i="5"/>
  <c r="D15" i="5"/>
  <c r="H13" i="5"/>
  <c r="AH13" i="5" s="1"/>
  <c r="I13" i="5"/>
  <c r="AF12" i="5"/>
  <c r="AO12" i="5" s="1"/>
  <c r="N11" i="5"/>
  <c r="Q11" i="5"/>
  <c r="AE11" i="5" s="1"/>
  <c r="O11" i="5"/>
  <c r="P11" i="5"/>
  <c r="V12" i="5"/>
  <c r="R13" i="5" s="1"/>
  <c r="Y11" i="5"/>
  <c r="AA19" i="4"/>
  <c r="Z19" i="4"/>
  <c r="AF13" i="4"/>
  <c r="AK13" i="4"/>
  <c r="AG14" i="4"/>
  <c r="AL14" i="4"/>
  <c r="H14" i="4"/>
  <c r="AH14" i="4" s="1"/>
  <c r="I14" i="4"/>
  <c r="E15" i="4"/>
  <c r="F15" i="4"/>
  <c r="G15" i="4"/>
  <c r="D16" i="4"/>
  <c r="AD11" i="4"/>
  <c r="U12" i="4"/>
  <c r="AI11" i="4"/>
  <c r="Q11" i="4"/>
  <c r="AE10" i="4"/>
  <c r="AJ10" i="4"/>
  <c r="R12" i="4"/>
  <c r="N11" i="4"/>
  <c r="O11" i="4"/>
  <c r="S12" i="4"/>
  <c r="T12" i="4"/>
  <c r="P11" i="4"/>
  <c r="V12" i="4"/>
  <c r="Y11" i="4"/>
  <c r="AA19" i="3"/>
  <c r="Z19" i="3"/>
  <c r="Y12" i="3"/>
  <c r="V13" i="3"/>
  <c r="S13" i="3"/>
  <c r="O12" i="3"/>
  <c r="AD12" i="3"/>
  <c r="AI12" i="3"/>
  <c r="U13" i="3"/>
  <c r="Q12" i="3"/>
  <c r="AE11" i="3"/>
  <c r="AJ11" i="3" s="1"/>
  <c r="AG10" i="3"/>
  <c r="AL10" i="3" s="1"/>
  <c r="I10" i="3"/>
  <c r="H10" i="3"/>
  <c r="AH10" i="3" s="1"/>
  <c r="F11" i="3"/>
  <c r="G11" i="3"/>
  <c r="E11" i="3"/>
  <c r="D12" i="3"/>
  <c r="AF9" i="3"/>
  <c r="AK9" i="3"/>
  <c r="T13" i="3"/>
  <c r="P12" i="3"/>
  <c r="R13" i="3"/>
  <c r="N12" i="3"/>
  <c r="K11" i="1"/>
  <c r="O12" i="1"/>
  <c r="L11" i="1"/>
  <c r="P12" i="1"/>
  <c r="U13" i="1"/>
  <c r="R14" i="1"/>
  <c r="AF9" i="2"/>
  <c r="AK9" i="2"/>
  <c r="I10" i="2"/>
  <c r="AF10" i="2" s="1"/>
  <c r="AK10" i="2" s="1"/>
  <c r="H10" i="2"/>
  <c r="AH10" i="2" s="1"/>
  <c r="E11" i="2"/>
  <c r="F11" i="2"/>
  <c r="AA19" i="2"/>
  <c r="AD11" i="2"/>
  <c r="AI11" i="2" s="1"/>
  <c r="Y11" i="2"/>
  <c r="V12" i="2"/>
  <c r="G11" i="2"/>
  <c r="D12" i="2"/>
  <c r="S12" i="2"/>
  <c r="O11" i="2"/>
  <c r="R12" i="2"/>
  <c r="N11" i="2"/>
  <c r="U12" i="2"/>
  <c r="Q11" i="2"/>
  <c r="T12" i="2"/>
  <c r="P11" i="2"/>
  <c r="M13" i="1"/>
  <c r="Q14" i="1"/>
  <c r="J12" i="1"/>
  <c r="E11" i="1"/>
  <c r="D12" i="1"/>
  <c r="AI12" i="5" l="1"/>
  <c r="U13" i="5"/>
  <c r="I14" i="5"/>
  <c r="H14" i="5"/>
  <c r="AH14" i="5" s="1"/>
  <c r="E15" i="5"/>
  <c r="G15" i="5"/>
  <c r="F15" i="5"/>
  <c r="AG15" i="5" s="1"/>
  <c r="D16" i="5"/>
  <c r="AF13" i="5"/>
  <c r="AO13" i="5" s="1"/>
  <c r="N12" i="5"/>
  <c r="Q12" i="5"/>
  <c r="AE12" i="5" s="1"/>
  <c r="O12" i="5"/>
  <c r="P12" i="5"/>
  <c r="Y12" i="5"/>
  <c r="V13" i="5"/>
  <c r="R14" i="5" s="1"/>
  <c r="AA20" i="4"/>
  <c r="Z20" i="4"/>
  <c r="AF14" i="4"/>
  <c r="AK14" i="4"/>
  <c r="AG15" i="4"/>
  <c r="AL15" i="4"/>
  <c r="H15" i="4"/>
  <c r="AH15" i="4" s="1"/>
  <c r="I15" i="4"/>
  <c r="E16" i="4"/>
  <c r="F16" i="4"/>
  <c r="G16" i="4"/>
  <c r="D17" i="4"/>
  <c r="AD12" i="4"/>
  <c r="AI12" i="4"/>
  <c r="U13" i="4"/>
  <c r="Q12" i="4"/>
  <c r="AE11" i="4"/>
  <c r="AJ11" i="4" s="1"/>
  <c r="N12" i="4"/>
  <c r="R13" i="4"/>
  <c r="S13" i="4"/>
  <c r="O12" i="4"/>
  <c r="T13" i="4"/>
  <c r="P12" i="4"/>
  <c r="Y12" i="4"/>
  <c r="V13" i="4"/>
  <c r="AA20" i="3"/>
  <c r="Z20" i="3"/>
  <c r="Y13" i="3"/>
  <c r="V14" i="3"/>
  <c r="O13" i="3"/>
  <c r="S14" i="3"/>
  <c r="AD13" i="3"/>
  <c r="AI13" i="3"/>
  <c r="U14" i="3"/>
  <c r="Q13" i="3"/>
  <c r="AE12" i="3"/>
  <c r="AJ12" i="3"/>
  <c r="AF10" i="3"/>
  <c r="AK10" i="3"/>
  <c r="AG11" i="3"/>
  <c r="AL11" i="3" s="1"/>
  <c r="I11" i="3"/>
  <c r="H11" i="3"/>
  <c r="AH11" i="3" s="1"/>
  <c r="E12" i="3"/>
  <c r="F12" i="3"/>
  <c r="G12" i="3"/>
  <c r="D13" i="3"/>
  <c r="T14" i="3"/>
  <c r="P13" i="3"/>
  <c r="N13" i="3"/>
  <c r="R14" i="3"/>
  <c r="K12" i="1"/>
  <c r="O13" i="1"/>
  <c r="L12" i="1"/>
  <c r="P13" i="1"/>
  <c r="U14" i="1"/>
  <c r="R15" i="1"/>
  <c r="I11" i="2"/>
  <c r="AF11" i="2" s="1"/>
  <c r="AK11" i="2" s="1"/>
  <c r="H11" i="2"/>
  <c r="AH11" i="2" s="1"/>
  <c r="E12" i="2"/>
  <c r="F12" i="2"/>
  <c r="AA20" i="2"/>
  <c r="AD12" i="2"/>
  <c r="AI12" i="2" s="1"/>
  <c r="Y12" i="2"/>
  <c r="V13" i="2"/>
  <c r="G12" i="2"/>
  <c r="D13" i="2"/>
  <c r="S13" i="2"/>
  <c r="O12" i="2"/>
  <c r="R13" i="2"/>
  <c r="N12" i="2"/>
  <c r="U13" i="2"/>
  <c r="Q12" i="2"/>
  <c r="T13" i="2"/>
  <c r="P12" i="2"/>
  <c r="M14" i="1"/>
  <c r="Q15" i="1"/>
  <c r="J13" i="1"/>
  <c r="E12" i="1"/>
  <c r="D13" i="1"/>
  <c r="AI13" i="5" l="1"/>
  <c r="U14" i="5"/>
  <c r="AF14" i="5"/>
  <c r="AO14" i="5" s="1"/>
  <c r="I15" i="5"/>
  <c r="H15" i="5"/>
  <c r="AH15" i="5" s="1"/>
  <c r="E16" i="5"/>
  <c r="G16" i="5"/>
  <c r="D17" i="5"/>
  <c r="F16" i="5"/>
  <c r="AG16" i="5" s="1"/>
  <c r="N13" i="5"/>
  <c r="Q13" i="5"/>
  <c r="AE13" i="5" s="1"/>
  <c r="O13" i="5"/>
  <c r="P13" i="5"/>
  <c r="Y13" i="5"/>
  <c r="V14" i="5"/>
  <c r="R15" i="5" s="1"/>
  <c r="AA21" i="4"/>
  <c r="Z21" i="4"/>
  <c r="AF15" i="4"/>
  <c r="AK15" i="4"/>
  <c r="AG16" i="4"/>
  <c r="AL16" i="4"/>
  <c r="H16" i="4"/>
  <c r="AH16" i="4" s="1"/>
  <c r="I16" i="4"/>
  <c r="E17" i="4"/>
  <c r="F17" i="4"/>
  <c r="G17" i="4"/>
  <c r="D18" i="4"/>
  <c r="AD13" i="4"/>
  <c r="AI13" i="4" s="1"/>
  <c r="U14" i="4"/>
  <c r="Q13" i="4"/>
  <c r="AE12" i="4"/>
  <c r="AJ12" i="4"/>
  <c r="R14" i="4"/>
  <c r="N13" i="4"/>
  <c r="S14" i="4"/>
  <c r="O13" i="4"/>
  <c r="T14" i="4"/>
  <c r="P13" i="4"/>
  <c r="Y13" i="4"/>
  <c r="V14" i="4"/>
  <c r="AA21" i="3"/>
  <c r="Z21" i="3"/>
  <c r="Y14" i="3"/>
  <c r="V15" i="3"/>
  <c r="S15" i="3"/>
  <c r="O14" i="3"/>
  <c r="AD14" i="3"/>
  <c r="AI14" i="3"/>
  <c r="U15" i="3"/>
  <c r="Q14" i="3"/>
  <c r="AE13" i="3"/>
  <c r="AJ13" i="3" s="1"/>
  <c r="AF11" i="3"/>
  <c r="AK11" i="3"/>
  <c r="AG12" i="3"/>
  <c r="AL12" i="3" s="1"/>
  <c r="H12" i="3"/>
  <c r="AH12" i="3" s="1"/>
  <c r="I12" i="3"/>
  <c r="F13" i="3"/>
  <c r="E13" i="3"/>
  <c r="G13" i="3"/>
  <c r="D14" i="3"/>
  <c r="T15" i="3"/>
  <c r="P14" i="3"/>
  <c r="R15" i="3"/>
  <c r="N14" i="3"/>
  <c r="K13" i="1"/>
  <c r="O14" i="1"/>
  <c r="L13" i="1"/>
  <c r="P14" i="1"/>
  <c r="U15" i="1"/>
  <c r="R16" i="1"/>
  <c r="I12" i="2"/>
  <c r="AF12" i="2" s="1"/>
  <c r="AK12" i="2" s="1"/>
  <c r="H12" i="2"/>
  <c r="AH12" i="2" s="1"/>
  <c r="E13" i="2"/>
  <c r="F13" i="2"/>
  <c r="AA21" i="2"/>
  <c r="AD13" i="2"/>
  <c r="AI13" i="2" s="1"/>
  <c r="Y13" i="2"/>
  <c r="V14" i="2"/>
  <c r="G13" i="2"/>
  <c r="D14" i="2"/>
  <c r="S14" i="2"/>
  <c r="O13" i="2"/>
  <c r="R14" i="2"/>
  <c r="N13" i="2"/>
  <c r="U14" i="2"/>
  <c r="Q13" i="2"/>
  <c r="T14" i="2"/>
  <c r="P13" i="2"/>
  <c r="M15" i="1"/>
  <c r="Q16" i="1"/>
  <c r="J14" i="1"/>
  <c r="E13" i="1"/>
  <c r="D14" i="1"/>
  <c r="AI14" i="5" l="1"/>
  <c r="U15" i="5"/>
  <c r="AF15" i="5"/>
  <c r="AO15" i="5"/>
  <c r="H16" i="5"/>
  <c r="AH16" i="5" s="1"/>
  <c r="I16" i="5"/>
  <c r="F17" i="5"/>
  <c r="AG17" i="5" s="1"/>
  <c r="E17" i="5"/>
  <c r="G17" i="5"/>
  <c r="D18" i="5"/>
  <c r="N14" i="5"/>
  <c r="Q14" i="5"/>
  <c r="AE14" i="5" s="1"/>
  <c r="O14" i="5"/>
  <c r="P14" i="5"/>
  <c r="Y14" i="5"/>
  <c r="V15" i="5"/>
  <c r="R16" i="5" s="1"/>
  <c r="AA22" i="4"/>
  <c r="Z22" i="4"/>
  <c r="AF16" i="4"/>
  <c r="AK16" i="4"/>
  <c r="AG17" i="4"/>
  <c r="AL17" i="4" s="1"/>
  <c r="H17" i="4"/>
  <c r="AH17" i="4" s="1"/>
  <c r="I17" i="4"/>
  <c r="E18" i="4"/>
  <c r="F18" i="4"/>
  <c r="G18" i="4"/>
  <c r="D19" i="4"/>
  <c r="AD14" i="4"/>
  <c r="AI14" i="4"/>
  <c r="U15" i="4"/>
  <c r="Q14" i="4"/>
  <c r="AE13" i="4"/>
  <c r="AJ13" i="4"/>
  <c r="R15" i="4"/>
  <c r="N14" i="4"/>
  <c r="S15" i="4"/>
  <c r="O14" i="4"/>
  <c r="T15" i="4"/>
  <c r="P14" i="4"/>
  <c r="Y14" i="4"/>
  <c r="V15" i="4"/>
  <c r="AA22" i="3"/>
  <c r="Z22" i="3"/>
  <c r="V16" i="3"/>
  <c r="Y15" i="3"/>
  <c r="O15" i="3"/>
  <c r="S16" i="3"/>
  <c r="AD15" i="3"/>
  <c r="Q15" i="3"/>
  <c r="AI15" i="3"/>
  <c r="U16" i="3"/>
  <c r="AE14" i="3"/>
  <c r="AJ14" i="3"/>
  <c r="AF12" i="3"/>
  <c r="AK12" i="3" s="1"/>
  <c r="AG13" i="3"/>
  <c r="AL13" i="3" s="1"/>
  <c r="I13" i="3"/>
  <c r="H13" i="3"/>
  <c r="AH13" i="3" s="1"/>
  <c r="F14" i="3"/>
  <c r="E14" i="3"/>
  <c r="G14" i="3"/>
  <c r="D15" i="3"/>
  <c r="T16" i="3"/>
  <c r="P15" i="3"/>
  <c r="R16" i="3"/>
  <c r="N15" i="3"/>
  <c r="K14" i="1"/>
  <c r="O15" i="1"/>
  <c r="L14" i="1"/>
  <c r="P15" i="1"/>
  <c r="U16" i="1"/>
  <c r="R17" i="1"/>
  <c r="I13" i="2"/>
  <c r="AF13" i="2" s="1"/>
  <c r="AK13" i="2" s="1"/>
  <c r="H13" i="2"/>
  <c r="AH13" i="2" s="1"/>
  <c r="E14" i="2"/>
  <c r="F14" i="2"/>
  <c r="AA22" i="2"/>
  <c r="AD14" i="2"/>
  <c r="AI14" i="2" s="1"/>
  <c r="Y14" i="2"/>
  <c r="V15" i="2"/>
  <c r="G14" i="2"/>
  <c r="D15" i="2"/>
  <c r="S15" i="2"/>
  <c r="O14" i="2"/>
  <c r="R15" i="2"/>
  <c r="N14" i="2"/>
  <c r="U15" i="2"/>
  <c r="Q14" i="2"/>
  <c r="T15" i="2"/>
  <c r="P14" i="2"/>
  <c r="M16" i="1"/>
  <c r="Q17" i="1"/>
  <c r="J15" i="1"/>
  <c r="E14" i="1"/>
  <c r="D15" i="1"/>
  <c r="AI15" i="5" l="1"/>
  <c r="U16" i="5"/>
  <c r="AF16" i="5"/>
  <c r="AO16" i="5" s="1"/>
  <c r="H17" i="5"/>
  <c r="AH17" i="5" s="1"/>
  <c r="I17" i="5"/>
  <c r="F18" i="5"/>
  <c r="AG18" i="5" s="1"/>
  <c r="E18" i="5"/>
  <c r="G18" i="5"/>
  <c r="D19" i="5"/>
  <c r="N15" i="5"/>
  <c r="Q15" i="5"/>
  <c r="AE15" i="5" s="1"/>
  <c r="O15" i="5"/>
  <c r="P15" i="5"/>
  <c r="V16" i="5"/>
  <c r="R17" i="5" s="1"/>
  <c r="Y15" i="5"/>
  <c r="AA23" i="4"/>
  <c r="Z23" i="4"/>
  <c r="AF17" i="4"/>
  <c r="AK17" i="4"/>
  <c r="AG18" i="4"/>
  <c r="AL18" i="4" s="1"/>
  <c r="H18" i="4"/>
  <c r="AH18" i="4" s="1"/>
  <c r="I18" i="4"/>
  <c r="F19" i="4"/>
  <c r="E19" i="4"/>
  <c r="G19" i="4"/>
  <c r="D20" i="4"/>
  <c r="AD15" i="4"/>
  <c r="AI15" i="4"/>
  <c r="U16" i="4"/>
  <c r="Q15" i="4"/>
  <c r="AE14" i="4"/>
  <c r="AJ14" i="4" s="1"/>
  <c r="R16" i="4"/>
  <c r="N15" i="4"/>
  <c r="S16" i="4"/>
  <c r="O15" i="4"/>
  <c r="T16" i="4"/>
  <c r="P15" i="4"/>
  <c r="Y15" i="4"/>
  <c r="V16" i="4"/>
  <c r="AA23" i="3"/>
  <c r="Z23" i="3"/>
  <c r="Y16" i="3"/>
  <c r="V17" i="3"/>
  <c r="S17" i="3"/>
  <c r="O16" i="3"/>
  <c r="AE15" i="3"/>
  <c r="AJ15" i="3"/>
  <c r="AD16" i="3"/>
  <c r="AI16" i="3"/>
  <c r="U17" i="3"/>
  <c r="Q16" i="3"/>
  <c r="AF13" i="3"/>
  <c r="AK13" i="3"/>
  <c r="AG14" i="3"/>
  <c r="AL14" i="3" s="1"/>
  <c r="H14" i="3"/>
  <c r="AH14" i="3" s="1"/>
  <c r="I14" i="3"/>
  <c r="F15" i="3"/>
  <c r="E15" i="3"/>
  <c r="G15" i="3"/>
  <c r="D16" i="3"/>
  <c r="T17" i="3"/>
  <c r="P16" i="3"/>
  <c r="N16" i="3"/>
  <c r="R17" i="3"/>
  <c r="K15" i="1"/>
  <c r="O16" i="1"/>
  <c r="L15" i="1"/>
  <c r="P16" i="1"/>
  <c r="U17" i="1"/>
  <c r="R18" i="1"/>
  <c r="I14" i="2"/>
  <c r="AF14" i="2" s="1"/>
  <c r="AK14" i="2" s="1"/>
  <c r="H14" i="2"/>
  <c r="AH14" i="2" s="1"/>
  <c r="E15" i="2"/>
  <c r="F15" i="2"/>
  <c r="AA23" i="2"/>
  <c r="AD15" i="2"/>
  <c r="AI15" i="2" s="1"/>
  <c r="Y15" i="2"/>
  <c r="V16" i="2"/>
  <c r="D16" i="2"/>
  <c r="G15" i="2"/>
  <c r="S16" i="2"/>
  <c r="O15" i="2"/>
  <c r="R16" i="2"/>
  <c r="N15" i="2"/>
  <c r="U16" i="2"/>
  <c r="Q15" i="2"/>
  <c r="T16" i="2"/>
  <c r="P15" i="2"/>
  <c r="M17" i="1"/>
  <c r="Q18" i="1"/>
  <c r="J16" i="1"/>
  <c r="E15" i="1"/>
  <c r="D16" i="1"/>
  <c r="AI16" i="5" l="1"/>
  <c r="U17" i="5"/>
  <c r="AF17" i="5"/>
  <c r="AO17" i="5"/>
  <c r="H18" i="5"/>
  <c r="AH18" i="5" s="1"/>
  <c r="I18" i="5"/>
  <c r="F19" i="5"/>
  <c r="AG19" i="5" s="1"/>
  <c r="E19" i="5"/>
  <c r="G19" i="5"/>
  <c r="D20" i="5"/>
  <c r="N16" i="5"/>
  <c r="Q16" i="5"/>
  <c r="AE16" i="5" s="1"/>
  <c r="O16" i="5"/>
  <c r="P16" i="5"/>
  <c r="Y16" i="5"/>
  <c r="V17" i="5"/>
  <c r="R18" i="5" s="1"/>
  <c r="AA24" i="4"/>
  <c r="Z24" i="4"/>
  <c r="AF18" i="4"/>
  <c r="AK18" i="4"/>
  <c r="AG19" i="4"/>
  <c r="AL19" i="4"/>
  <c r="H19" i="4"/>
  <c r="AH19" i="4" s="1"/>
  <c r="I19" i="4"/>
  <c r="F20" i="4"/>
  <c r="E20" i="4"/>
  <c r="G20" i="4"/>
  <c r="D21" i="4"/>
  <c r="AD16" i="4"/>
  <c r="AI16" i="4"/>
  <c r="U17" i="4"/>
  <c r="Q16" i="4"/>
  <c r="AE15" i="4"/>
  <c r="AJ15" i="4"/>
  <c r="R17" i="4"/>
  <c r="N16" i="4"/>
  <c r="S17" i="4"/>
  <c r="O16" i="4"/>
  <c r="T17" i="4"/>
  <c r="P16" i="4"/>
  <c r="Y16" i="4"/>
  <c r="V17" i="4"/>
  <c r="AA24" i="3"/>
  <c r="Z24" i="3"/>
  <c r="Y17" i="3"/>
  <c r="V18" i="3"/>
  <c r="S18" i="3"/>
  <c r="O17" i="3"/>
  <c r="AD17" i="3"/>
  <c r="AI17" i="3"/>
  <c r="U18" i="3"/>
  <c r="Q17" i="3"/>
  <c r="AE16" i="3"/>
  <c r="AJ16" i="3" s="1"/>
  <c r="AF14" i="3"/>
  <c r="AK14" i="3"/>
  <c r="AG15" i="3"/>
  <c r="AL15" i="3" s="1"/>
  <c r="I15" i="3"/>
  <c r="H15" i="3"/>
  <c r="AH15" i="3" s="1"/>
  <c r="E16" i="3"/>
  <c r="G16" i="3"/>
  <c r="D17" i="3"/>
  <c r="F16" i="3"/>
  <c r="T18" i="3"/>
  <c r="P17" i="3"/>
  <c r="R18" i="3"/>
  <c r="N17" i="3"/>
  <c r="K16" i="1"/>
  <c r="O17" i="1"/>
  <c r="L16" i="1"/>
  <c r="P17" i="1"/>
  <c r="U18" i="1"/>
  <c r="R19" i="1"/>
  <c r="F16" i="2"/>
  <c r="E16" i="2"/>
  <c r="I15" i="2"/>
  <c r="AF15" i="2" s="1"/>
  <c r="AK15" i="2" s="1"/>
  <c r="H15" i="2"/>
  <c r="AH15" i="2" s="1"/>
  <c r="AA24" i="2"/>
  <c r="AD16" i="2"/>
  <c r="AI16" i="2" s="1"/>
  <c r="Y16" i="2"/>
  <c r="V17" i="2"/>
  <c r="G16" i="2"/>
  <c r="D17" i="2"/>
  <c r="S17" i="2"/>
  <c r="O16" i="2"/>
  <c r="R17" i="2"/>
  <c r="N16" i="2"/>
  <c r="U17" i="2"/>
  <c r="Q16" i="2"/>
  <c r="T17" i="2"/>
  <c r="P16" i="2"/>
  <c r="M18" i="1"/>
  <c r="Q19" i="1"/>
  <c r="J17" i="1"/>
  <c r="E16" i="1"/>
  <c r="D17" i="1"/>
  <c r="AI17" i="5" l="1"/>
  <c r="U18" i="5"/>
  <c r="AF18" i="5"/>
  <c r="AO18" i="5" s="1"/>
  <c r="I19" i="5"/>
  <c r="H19" i="5"/>
  <c r="AH19" i="5" s="1"/>
  <c r="F20" i="5"/>
  <c r="AG20" i="5" s="1"/>
  <c r="D21" i="5"/>
  <c r="E20" i="5"/>
  <c r="G20" i="5"/>
  <c r="N17" i="5"/>
  <c r="Q17" i="5"/>
  <c r="AE17" i="5" s="1"/>
  <c r="O17" i="5"/>
  <c r="P17" i="5"/>
  <c r="V18" i="5"/>
  <c r="R19" i="5" s="1"/>
  <c r="Y17" i="5"/>
  <c r="AA25" i="4"/>
  <c r="Z25" i="4"/>
  <c r="AF19" i="4"/>
  <c r="AK19" i="4"/>
  <c r="AG20" i="4"/>
  <c r="AL20" i="4"/>
  <c r="I20" i="4"/>
  <c r="H20" i="4"/>
  <c r="AH20" i="4" s="1"/>
  <c r="E21" i="4"/>
  <c r="F21" i="4"/>
  <c r="G21" i="4"/>
  <c r="D22" i="4"/>
  <c r="AD17" i="4"/>
  <c r="AI17" i="4"/>
  <c r="U18" i="4"/>
  <c r="Q17" i="4"/>
  <c r="AE16" i="4"/>
  <c r="AJ16" i="4"/>
  <c r="R18" i="4"/>
  <c r="N17" i="4"/>
  <c r="S18" i="4"/>
  <c r="O17" i="4"/>
  <c r="T18" i="4"/>
  <c r="P17" i="4"/>
  <c r="Y17" i="4"/>
  <c r="V18" i="4"/>
  <c r="AA25" i="3"/>
  <c r="Z25" i="3"/>
  <c r="Y18" i="3"/>
  <c r="V19" i="3"/>
  <c r="S19" i="3"/>
  <c r="O18" i="3"/>
  <c r="AD18" i="3"/>
  <c r="AI18" i="3" s="1"/>
  <c r="U19" i="3"/>
  <c r="Q18" i="3"/>
  <c r="AE17" i="3"/>
  <c r="AJ17" i="3"/>
  <c r="AF15" i="3"/>
  <c r="AK15" i="3"/>
  <c r="I16" i="3"/>
  <c r="H16" i="3"/>
  <c r="AH16" i="3" s="1"/>
  <c r="E17" i="3"/>
  <c r="G17" i="3"/>
  <c r="F17" i="3"/>
  <c r="D18" i="3"/>
  <c r="AG16" i="3"/>
  <c r="AL16" i="3" s="1"/>
  <c r="T19" i="3"/>
  <c r="P18" i="3"/>
  <c r="R19" i="3"/>
  <c r="N18" i="3"/>
  <c r="K17" i="1"/>
  <c r="O18" i="1"/>
  <c r="L17" i="1"/>
  <c r="P18" i="1"/>
  <c r="U19" i="1"/>
  <c r="R20" i="1"/>
  <c r="I16" i="2"/>
  <c r="AF16" i="2" s="1"/>
  <c r="AK16" i="2" s="1"/>
  <c r="H16" i="2"/>
  <c r="AH16" i="2" s="1"/>
  <c r="F17" i="2"/>
  <c r="E17" i="2"/>
  <c r="AA25" i="2"/>
  <c r="AD17" i="2"/>
  <c r="AI17" i="2" s="1"/>
  <c r="Y17" i="2"/>
  <c r="V18" i="2"/>
  <c r="G17" i="2"/>
  <c r="D18" i="2"/>
  <c r="S18" i="2"/>
  <c r="O17" i="2"/>
  <c r="R18" i="2"/>
  <c r="N17" i="2"/>
  <c r="U18" i="2"/>
  <c r="Q17" i="2"/>
  <c r="T18" i="2"/>
  <c r="P17" i="2"/>
  <c r="M19" i="1"/>
  <c r="Q20" i="1"/>
  <c r="J18" i="1"/>
  <c r="E17" i="1"/>
  <c r="D18" i="1"/>
  <c r="AI18" i="5" l="1"/>
  <c r="U19" i="5"/>
  <c r="AF19" i="5"/>
  <c r="AO19" i="5"/>
  <c r="E21" i="5"/>
  <c r="F21" i="5"/>
  <c r="AG21" i="5" s="1"/>
  <c r="G21" i="5"/>
  <c r="D22" i="5"/>
  <c r="I20" i="5"/>
  <c r="H20" i="5"/>
  <c r="AH20" i="5" s="1"/>
  <c r="N18" i="5"/>
  <c r="Q18" i="5"/>
  <c r="AE18" i="5" s="1"/>
  <c r="O18" i="5"/>
  <c r="P18" i="5"/>
  <c r="Y18" i="5"/>
  <c r="V19" i="5"/>
  <c r="R20" i="5" s="1"/>
  <c r="AA26" i="4"/>
  <c r="Z26" i="4"/>
  <c r="AF20" i="4"/>
  <c r="AK20" i="4"/>
  <c r="AG21" i="4"/>
  <c r="AL21" i="4"/>
  <c r="H21" i="4"/>
  <c r="AH21" i="4" s="1"/>
  <c r="I21" i="4"/>
  <c r="E22" i="4"/>
  <c r="F22" i="4"/>
  <c r="G22" i="4"/>
  <c r="D23" i="4"/>
  <c r="AD18" i="4"/>
  <c r="AI18" i="4"/>
  <c r="U19" i="4"/>
  <c r="Q18" i="4"/>
  <c r="AE17" i="4"/>
  <c r="AJ17" i="4"/>
  <c r="R19" i="4"/>
  <c r="N18" i="4"/>
  <c r="S19" i="4"/>
  <c r="O18" i="4"/>
  <c r="T19" i="4"/>
  <c r="P18" i="4"/>
  <c r="Y18" i="4"/>
  <c r="V19" i="4"/>
  <c r="AA26" i="3"/>
  <c r="Z26" i="3"/>
  <c r="V20" i="3"/>
  <c r="Y19" i="3"/>
  <c r="S20" i="3"/>
  <c r="O19" i="3"/>
  <c r="AD19" i="3"/>
  <c r="AI19" i="3" s="1"/>
  <c r="U20" i="3"/>
  <c r="Q19" i="3"/>
  <c r="AE18" i="3"/>
  <c r="AJ18" i="3"/>
  <c r="AF16" i="3"/>
  <c r="AK16" i="3" s="1"/>
  <c r="H17" i="3"/>
  <c r="AH17" i="3" s="1"/>
  <c r="I17" i="3"/>
  <c r="AG17" i="3"/>
  <c r="AL17" i="3" s="1"/>
  <c r="E18" i="3"/>
  <c r="F18" i="3"/>
  <c r="G18" i="3"/>
  <c r="D19" i="3"/>
  <c r="T20" i="3"/>
  <c r="P19" i="3"/>
  <c r="R20" i="3"/>
  <c r="N19" i="3"/>
  <c r="K18" i="1"/>
  <c r="O19" i="1"/>
  <c r="L18" i="1"/>
  <c r="P19" i="1"/>
  <c r="U20" i="1"/>
  <c r="R21" i="1"/>
  <c r="I17" i="2"/>
  <c r="AF17" i="2" s="1"/>
  <c r="AK17" i="2" s="1"/>
  <c r="H17" i="2"/>
  <c r="AH17" i="2" s="1"/>
  <c r="F18" i="2"/>
  <c r="E18" i="2"/>
  <c r="AA26" i="2"/>
  <c r="AD18" i="2"/>
  <c r="AI18" i="2" s="1"/>
  <c r="Y18" i="2"/>
  <c r="V19" i="2"/>
  <c r="G18" i="2"/>
  <c r="D19" i="2"/>
  <c r="S19" i="2"/>
  <c r="O18" i="2"/>
  <c r="R19" i="2"/>
  <c r="N18" i="2"/>
  <c r="U19" i="2"/>
  <c r="Q18" i="2"/>
  <c r="T19" i="2"/>
  <c r="P18" i="2"/>
  <c r="M20" i="1"/>
  <c r="Q21" i="1"/>
  <c r="J19" i="1"/>
  <c r="E18" i="1"/>
  <c r="D19" i="1"/>
  <c r="AI19" i="5" l="1"/>
  <c r="U20" i="5"/>
  <c r="H21" i="5"/>
  <c r="AH21" i="5" s="1"/>
  <c r="I21" i="5"/>
  <c r="E22" i="5"/>
  <c r="F22" i="5"/>
  <c r="AG22" i="5" s="1"/>
  <c r="G22" i="5"/>
  <c r="D23" i="5"/>
  <c r="AF20" i="5"/>
  <c r="AO20" i="5" s="1"/>
  <c r="N19" i="5"/>
  <c r="Q19" i="5"/>
  <c r="AE19" i="5" s="1"/>
  <c r="O19" i="5"/>
  <c r="P19" i="5"/>
  <c r="V20" i="5"/>
  <c r="R21" i="5" s="1"/>
  <c r="Y19" i="5"/>
  <c r="AA27" i="4"/>
  <c r="Z27" i="4"/>
  <c r="AF21" i="4"/>
  <c r="AK21" i="4"/>
  <c r="AG22" i="4"/>
  <c r="AL22" i="4" s="1"/>
  <c r="H22" i="4"/>
  <c r="AH22" i="4" s="1"/>
  <c r="I22" i="4"/>
  <c r="E23" i="4"/>
  <c r="F23" i="4"/>
  <c r="G23" i="4"/>
  <c r="D24" i="4"/>
  <c r="AD19" i="4"/>
  <c r="U20" i="4"/>
  <c r="Q19" i="4"/>
  <c r="AI19" i="4"/>
  <c r="AE18" i="4"/>
  <c r="AJ18" i="4"/>
  <c r="R20" i="4"/>
  <c r="N19" i="4"/>
  <c r="S20" i="4"/>
  <c r="O19" i="4"/>
  <c r="T20" i="4"/>
  <c r="P19" i="4"/>
  <c r="V20" i="4"/>
  <c r="Y19" i="4"/>
  <c r="AA27" i="3"/>
  <c r="Z27" i="3"/>
  <c r="Y20" i="3"/>
  <c r="V21" i="3"/>
  <c r="S21" i="3"/>
  <c r="O20" i="3"/>
  <c r="AD20" i="3"/>
  <c r="U21" i="3"/>
  <c r="AI20" i="3"/>
  <c r="Q20" i="3"/>
  <c r="AE19" i="3"/>
  <c r="AJ19" i="3" s="1"/>
  <c r="AF17" i="3"/>
  <c r="AK17" i="3"/>
  <c r="AG18" i="3"/>
  <c r="AL18" i="3"/>
  <c r="H18" i="3"/>
  <c r="AH18" i="3" s="1"/>
  <c r="I18" i="3"/>
  <c r="F19" i="3"/>
  <c r="E19" i="3"/>
  <c r="G19" i="3"/>
  <c r="D20" i="3"/>
  <c r="T21" i="3"/>
  <c r="P20" i="3"/>
  <c r="R21" i="3"/>
  <c r="N20" i="3"/>
  <c r="K19" i="1"/>
  <c r="O20" i="1"/>
  <c r="L19" i="1"/>
  <c r="P20" i="1"/>
  <c r="U21" i="1"/>
  <c r="R22" i="1"/>
  <c r="I18" i="2"/>
  <c r="AF18" i="2" s="1"/>
  <c r="AK18" i="2" s="1"/>
  <c r="H18" i="2"/>
  <c r="AH18" i="2" s="1"/>
  <c r="E19" i="2"/>
  <c r="F19" i="2"/>
  <c r="AA27" i="2"/>
  <c r="AD19" i="2"/>
  <c r="AI19" i="2" s="1"/>
  <c r="Y19" i="2"/>
  <c r="V20" i="2"/>
  <c r="G19" i="2"/>
  <c r="D20" i="2"/>
  <c r="S20" i="2"/>
  <c r="O19" i="2"/>
  <c r="R20" i="2"/>
  <c r="N19" i="2"/>
  <c r="U20" i="2"/>
  <c r="Q19" i="2"/>
  <c r="T20" i="2"/>
  <c r="P19" i="2"/>
  <c r="M21" i="1"/>
  <c r="Q22" i="1"/>
  <c r="J20" i="1"/>
  <c r="E19" i="1"/>
  <c r="D20" i="1"/>
  <c r="AI20" i="5" l="1"/>
  <c r="U21" i="5"/>
  <c r="AF21" i="5"/>
  <c r="AO21" i="5" s="1"/>
  <c r="H22" i="5"/>
  <c r="AH22" i="5" s="1"/>
  <c r="I22" i="5"/>
  <c r="E23" i="5"/>
  <c r="F23" i="5"/>
  <c r="AG23" i="5" s="1"/>
  <c r="G23" i="5"/>
  <c r="D24" i="5"/>
  <c r="N20" i="5"/>
  <c r="Q20" i="5"/>
  <c r="AE20" i="5" s="1"/>
  <c r="O20" i="5"/>
  <c r="P20" i="5"/>
  <c r="Y20" i="5"/>
  <c r="V21" i="5"/>
  <c r="R22" i="5" s="1"/>
  <c r="AF22" i="4"/>
  <c r="AK22" i="4"/>
  <c r="AG23" i="4"/>
  <c r="AL23" i="4"/>
  <c r="H23" i="4"/>
  <c r="AH23" i="4" s="1"/>
  <c r="I23" i="4"/>
  <c r="E24" i="4"/>
  <c r="F24" i="4"/>
  <c r="G24" i="4"/>
  <c r="D25" i="4"/>
  <c r="AD20" i="4"/>
  <c r="Q20" i="4"/>
  <c r="AI20" i="4"/>
  <c r="U21" i="4"/>
  <c r="AE19" i="4"/>
  <c r="AJ19" i="4"/>
  <c r="R21" i="4"/>
  <c r="N20" i="4"/>
  <c r="O20" i="4"/>
  <c r="S21" i="4"/>
  <c r="T21" i="4"/>
  <c r="P20" i="4"/>
  <c r="V21" i="4"/>
  <c r="Y20" i="4"/>
  <c r="Y21" i="3"/>
  <c r="V22" i="3"/>
  <c r="S22" i="3"/>
  <c r="O21" i="3"/>
  <c r="AD21" i="3"/>
  <c r="AI21" i="3"/>
  <c r="U22" i="3"/>
  <c r="Q21" i="3"/>
  <c r="AE20" i="3"/>
  <c r="AJ20" i="3" s="1"/>
  <c r="AF18" i="3"/>
  <c r="AK18" i="3" s="1"/>
  <c r="AG19" i="3"/>
  <c r="AL19" i="3" s="1"/>
  <c r="I19" i="3"/>
  <c r="H19" i="3"/>
  <c r="AH19" i="3" s="1"/>
  <c r="F20" i="3"/>
  <c r="E20" i="3"/>
  <c r="G20" i="3"/>
  <c r="D21" i="3"/>
  <c r="T22" i="3"/>
  <c r="P21" i="3"/>
  <c r="R22" i="3"/>
  <c r="N21" i="3"/>
  <c r="K20" i="1"/>
  <c r="O21" i="1"/>
  <c r="L20" i="1"/>
  <c r="P21" i="1"/>
  <c r="U22" i="1"/>
  <c r="R23" i="1"/>
  <c r="I19" i="2"/>
  <c r="AF19" i="2" s="1"/>
  <c r="AK19" i="2" s="1"/>
  <c r="H19" i="2"/>
  <c r="AH19" i="2" s="1"/>
  <c r="E20" i="2"/>
  <c r="F20" i="2"/>
  <c r="AD20" i="2"/>
  <c r="AI20" i="2" s="1"/>
  <c r="Y20" i="2"/>
  <c r="V21" i="2"/>
  <c r="G20" i="2"/>
  <c r="D21" i="2"/>
  <c r="S21" i="2"/>
  <c r="O20" i="2"/>
  <c r="R21" i="2"/>
  <c r="N20" i="2"/>
  <c r="U21" i="2"/>
  <c r="Q20" i="2"/>
  <c r="T21" i="2"/>
  <c r="P20" i="2"/>
  <c r="M22" i="1"/>
  <c r="Q23" i="1"/>
  <c r="J21" i="1"/>
  <c r="E20" i="1"/>
  <c r="D21" i="1"/>
  <c r="AI21" i="5" l="1"/>
  <c r="U22" i="5"/>
  <c r="AF22" i="5"/>
  <c r="AO22" i="5" s="1"/>
  <c r="H23" i="5"/>
  <c r="AH23" i="5" s="1"/>
  <c r="I23" i="5"/>
  <c r="E24" i="5"/>
  <c r="F24" i="5"/>
  <c r="AG24" i="5" s="1"/>
  <c r="G24" i="5"/>
  <c r="D25" i="5"/>
  <c r="N21" i="5"/>
  <c r="Q21" i="5"/>
  <c r="AE21" i="5" s="1"/>
  <c r="O21" i="5"/>
  <c r="P21" i="5"/>
  <c r="Y21" i="5"/>
  <c r="V22" i="5"/>
  <c r="R23" i="5" s="1"/>
  <c r="AF23" i="4"/>
  <c r="AK23" i="4"/>
  <c r="AG24" i="4"/>
  <c r="AL24" i="4"/>
  <c r="H24" i="4"/>
  <c r="AH24" i="4" s="1"/>
  <c r="I24" i="4"/>
  <c r="E25" i="4"/>
  <c r="F25" i="4"/>
  <c r="G25" i="4"/>
  <c r="D26" i="4"/>
  <c r="AE20" i="4"/>
  <c r="AJ20" i="4" s="1"/>
  <c r="AD21" i="4"/>
  <c r="AI21" i="4"/>
  <c r="U22" i="4"/>
  <c r="Q21" i="4"/>
  <c r="R22" i="4"/>
  <c r="N21" i="4"/>
  <c r="S22" i="4"/>
  <c r="O21" i="4"/>
  <c r="T22" i="4"/>
  <c r="P21" i="4"/>
  <c r="Y21" i="4"/>
  <c r="V22" i="4"/>
  <c r="Y22" i="3"/>
  <c r="V23" i="3"/>
  <c r="S23" i="3"/>
  <c r="O22" i="3"/>
  <c r="AD22" i="3"/>
  <c r="AI22" i="3" s="1"/>
  <c r="U23" i="3"/>
  <c r="Q22" i="3"/>
  <c r="AE21" i="3"/>
  <c r="AJ21" i="3" s="1"/>
  <c r="AF19" i="3"/>
  <c r="AK19" i="3" s="1"/>
  <c r="AG20" i="3"/>
  <c r="AL20" i="3"/>
  <c r="I20" i="3"/>
  <c r="H20" i="3"/>
  <c r="AH20" i="3" s="1"/>
  <c r="E21" i="3"/>
  <c r="F21" i="3"/>
  <c r="G21" i="3"/>
  <c r="D22" i="3"/>
  <c r="T23" i="3"/>
  <c r="P22" i="3"/>
  <c r="R23" i="3"/>
  <c r="N22" i="3"/>
  <c r="K21" i="1"/>
  <c r="O22" i="1"/>
  <c r="L21" i="1"/>
  <c r="P22" i="1"/>
  <c r="U23" i="1"/>
  <c r="R24" i="1"/>
  <c r="I20" i="2"/>
  <c r="AF20" i="2" s="1"/>
  <c r="AK20" i="2" s="1"/>
  <c r="H20" i="2"/>
  <c r="AH20" i="2" s="1"/>
  <c r="E21" i="2"/>
  <c r="F21" i="2"/>
  <c r="AD21" i="2"/>
  <c r="AI21" i="2" s="1"/>
  <c r="Y21" i="2"/>
  <c r="V22" i="2"/>
  <c r="G21" i="2"/>
  <c r="D22" i="2"/>
  <c r="O21" i="2"/>
  <c r="S22" i="2"/>
  <c r="R22" i="2"/>
  <c r="N21" i="2"/>
  <c r="U22" i="2"/>
  <c r="Q21" i="2"/>
  <c r="T22" i="2"/>
  <c r="P21" i="2"/>
  <c r="M23" i="1"/>
  <c r="Q24" i="1"/>
  <c r="J22" i="1"/>
  <c r="E21" i="1"/>
  <c r="D22" i="1"/>
  <c r="AI22" i="5" l="1"/>
  <c r="U23" i="5"/>
  <c r="AF23" i="5"/>
  <c r="AO23" i="5"/>
  <c r="H24" i="5"/>
  <c r="AH24" i="5" s="1"/>
  <c r="I24" i="5"/>
  <c r="E25" i="5"/>
  <c r="F25" i="5"/>
  <c r="AG25" i="5" s="1"/>
  <c r="G25" i="5"/>
  <c r="D26" i="5"/>
  <c r="N22" i="5"/>
  <c r="Q22" i="5"/>
  <c r="AE22" i="5" s="1"/>
  <c r="O22" i="5"/>
  <c r="P22" i="5"/>
  <c r="Y22" i="5"/>
  <c r="V23" i="5"/>
  <c r="R24" i="5" s="1"/>
  <c r="AF24" i="4"/>
  <c r="AK24" i="4"/>
  <c r="AG25" i="4"/>
  <c r="AL25" i="4" s="1"/>
  <c r="H25" i="4"/>
  <c r="AH25" i="4" s="1"/>
  <c r="I25" i="4"/>
  <c r="E26" i="4"/>
  <c r="F26" i="4"/>
  <c r="G26" i="4"/>
  <c r="D27" i="4"/>
  <c r="AD22" i="4"/>
  <c r="AI22" i="4"/>
  <c r="U23" i="4"/>
  <c r="Q22" i="4"/>
  <c r="AE21" i="4"/>
  <c r="AJ21" i="4" s="1"/>
  <c r="R23" i="4"/>
  <c r="N22" i="4"/>
  <c r="S23" i="4"/>
  <c r="O22" i="4"/>
  <c r="T23" i="4"/>
  <c r="P22" i="4"/>
  <c r="Y22" i="4"/>
  <c r="V23" i="4"/>
  <c r="Y23" i="3"/>
  <c r="V24" i="3"/>
  <c r="S24" i="3"/>
  <c r="O23" i="3"/>
  <c r="AD23" i="3"/>
  <c r="AI23" i="3" s="1"/>
  <c r="U24" i="3"/>
  <c r="Q23" i="3"/>
  <c r="AE22" i="3"/>
  <c r="AJ22" i="3" s="1"/>
  <c r="AF20" i="3"/>
  <c r="AK20" i="3"/>
  <c r="AG21" i="3"/>
  <c r="AL21" i="3"/>
  <c r="H21" i="3"/>
  <c r="AH21" i="3" s="1"/>
  <c r="I21" i="3"/>
  <c r="E22" i="3"/>
  <c r="F22" i="3"/>
  <c r="G22" i="3"/>
  <c r="D23" i="3"/>
  <c r="T24" i="3"/>
  <c r="P23" i="3"/>
  <c r="R24" i="3"/>
  <c r="N23" i="3"/>
  <c r="K22" i="1"/>
  <c r="O23" i="1"/>
  <c r="L22" i="1"/>
  <c r="P23" i="1"/>
  <c r="U24" i="1"/>
  <c r="R25" i="1"/>
  <c r="I21" i="2"/>
  <c r="AF21" i="2" s="1"/>
  <c r="AK21" i="2" s="1"/>
  <c r="H21" i="2"/>
  <c r="AH21" i="2" s="1"/>
  <c r="E22" i="2"/>
  <c r="F22" i="2"/>
  <c r="AD22" i="2"/>
  <c r="AI22" i="2" s="1"/>
  <c r="Y22" i="2"/>
  <c r="V23" i="2"/>
  <c r="G22" i="2"/>
  <c r="D23" i="2"/>
  <c r="S23" i="2"/>
  <c r="O22" i="2"/>
  <c r="R23" i="2"/>
  <c r="N22" i="2"/>
  <c r="U23" i="2"/>
  <c r="Q22" i="2"/>
  <c r="T23" i="2"/>
  <c r="P22" i="2"/>
  <c r="M24" i="1"/>
  <c r="Q25" i="1"/>
  <c r="J23" i="1"/>
  <c r="E22" i="1"/>
  <c r="D23" i="1"/>
  <c r="AI23" i="5" l="1"/>
  <c r="U24" i="5"/>
  <c r="AF24" i="5"/>
  <c r="AO24" i="5" s="1"/>
  <c r="H25" i="5"/>
  <c r="AH25" i="5" s="1"/>
  <c r="I25" i="5"/>
  <c r="E26" i="5"/>
  <c r="F26" i="5"/>
  <c r="AG26" i="5" s="1"/>
  <c r="G26" i="5"/>
  <c r="D27" i="5"/>
  <c r="N23" i="5"/>
  <c r="Q23" i="5"/>
  <c r="AE23" i="5" s="1"/>
  <c r="O23" i="5"/>
  <c r="P23" i="5"/>
  <c r="Y23" i="5"/>
  <c r="V24" i="5"/>
  <c r="R25" i="5" s="1"/>
  <c r="AF25" i="4"/>
  <c r="AK25" i="4"/>
  <c r="AG26" i="4"/>
  <c r="AL26" i="4"/>
  <c r="H26" i="4"/>
  <c r="AH26" i="4" s="1"/>
  <c r="I26" i="4"/>
  <c r="E27" i="4"/>
  <c r="F27" i="4"/>
  <c r="G27" i="4"/>
  <c r="D28" i="4"/>
  <c r="AD23" i="4"/>
  <c r="AI23" i="4"/>
  <c r="U24" i="4"/>
  <c r="Q23" i="4"/>
  <c r="AE22" i="4"/>
  <c r="AJ22" i="4"/>
  <c r="R24" i="4"/>
  <c r="N23" i="4"/>
  <c r="S24" i="4"/>
  <c r="O23" i="4"/>
  <c r="T24" i="4"/>
  <c r="P23" i="4"/>
  <c r="Y23" i="4"/>
  <c r="V24" i="4"/>
  <c r="Y24" i="3"/>
  <c r="V25" i="3"/>
  <c r="S25" i="3"/>
  <c r="O24" i="3"/>
  <c r="AD24" i="3"/>
  <c r="AI24" i="3"/>
  <c r="U25" i="3"/>
  <c r="Q24" i="3"/>
  <c r="AE23" i="3"/>
  <c r="AJ23" i="3"/>
  <c r="AF21" i="3"/>
  <c r="AK21" i="3" s="1"/>
  <c r="AG22" i="3"/>
  <c r="AL22" i="3" s="1"/>
  <c r="H22" i="3"/>
  <c r="AH22" i="3" s="1"/>
  <c r="I22" i="3"/>
  <c r="E23" i="3"/>
  <c r="F23" i="3"/>
  <c r="G23" i="3"/>
  <c r="D24" i="3"/>
  <c r="T25" i="3"/>
  <c r="P24" i="3"/>
  <c r="R25" i="3"/>
  <c r="N24" i="3"/>
  <c r="K23" i="1"/>
  <c r="O24" i="1"/>
  <c r="L23" i="1"/>
  <c r="P24" i="1"/>
  <c r="U25" i="1"/>
  <c r="R26" i="1"/>
  <c r="I22" i="2"/>
  <c r="AF22" i="2" s="1"/>
  <c r="AK22" i="2" s="1"/>
  <c r="H22" i="2"/>
  <c r="AH22" i="2" s="1"/>
  <c r="E23" i="2"/>
  <c r="F23" i="2"/>
  <c r="AD23" i="2"/>
  <c r="AI23" i="2" s="1"/>
  <c r="Y23" i="2"/>
  <c r="V24" i="2"/>
  <c r="G23" i="2"/>
  <c r="D24" i="2"/>
  <c r="S24" i="2"/>
  <c r="O23" i="2"/>
  <c r="R24" i="2"/>
  <c r="N23" i="2"/>
  <c r="U24" i="2"/>
  <c r="Q23" i="2"/>
  <c r="T24" i="2"/>
  <c r="P23" i="2"/>
  <c r="M25" i="1"/>
  <c r="Q26" i="1"/>
  <c r="J24" i="1"/>
  <c r="E23" i="1"/>
  <c r="D24" i="1"/>
  <c r="AI24" i="5" l="1"/>
  <c r="U25" i="5"/>
  <c r="AF25" i="5"/>
  <c r="AO25" i="5"/>
  <c r="H26" i="5"/>
  <c r="AH26" i="5" s="1"/>
  <c r="I26" i="5"/>
  <c r="E27" i="5"/>
  <c r="F27" i="5"/>
  <c r="AG27" i="5" s="1"/>
  <c r="G27" i="5"/>
  <c r="D28" i="5"/>
  <c r="N24" i="5"/>
  <c r="Q24" i="5"/>
  <c r="AE24" i="5" s="1"/>
  <c r="O24" i="5"/>
  <c r="P24" i="5"/>
  <c r="Y24" i="5"/>
  <c r="V25" i="5"/>
  <c r="R26" i="5" s="1"/>
  <c r="AF26" i="4"/>
  <c r="AK26" i="4"/>
  <c r="AG27" i="4"/>
  <c r="AL27" i="4"/>
  <c r="H27" i="4"/>
  <c r="AH27" i="4" s="1"/>
  <c r="I27" i="4"/>
  <c r="E28" i="4"/>
  <c r="F28" i="4"/>
  <c r="AG28" i="4" s="1"/>
  <c r="AL28" i="4" s="1"/>
  <c r="G28" i="4"/>
  <c r="AD24" i="4"/>
  <c r="AI24" i="4"/>
  <c r="U25" i="4"/>
  <c r="Q24" i="4"/>
  <c r="AE23" i="4"/>
  <c r="AJ23" i="4" s="1"/>
  <c r="R25" i="4"/>
  <c r="N24" i="4"/>
  <c r="S25" i="4"/>
  <c r="O24" i="4"/>
  <c r="T25" i="4"/>
  <c r="P24" i="4"/>
  <c r="Y24" i="4"/>
  <c r="V25" i="4"/>
  <c r="Y25" i="3"/>
  <c r="V26" i="3"/>
  <c r="S26" i="3"/>
  <c r="O25" i="3"/>
  <c r="AD25" i="3"/>
  <c r="AI25" i="3" s="1"/>
  <c r="U26" i="3"/>
  <c r="Q25" i="3"/>
  <c r="AE24" i="3"/>
  <c r="AJ24" i="3"/>
  <c r="AF22" i="3"/>
  <c r="AK22" i="3" s="1"/>
  <c r="AG23" i="3"/>
  <c r="AL23" i="3"/>
  <c r="H23" i="3"/>
  <c r="AH23" i="3" s="1"/>
  <c r="I23" i="3"/>
  <c r="E24" i="3"/>
  <c r="F24" i="3"/>
  <c r="G24" i="3"/>
  <c r="D25" i="3"/>
  <c r="T26" i="3"/>
  <c r="P25" i="3"/>
  <c r="R26" i="3"/>
  <c r="N25" i="3"/>
  <c r="K24" i="1"/>
  <c r="O25" i="1"/>
  <c r="L24" i="1"/>
  <c r="P25" i="1"/>
  <c r="U26" i="1"/>
  <c r="R27" i="1"/>
  <c r="I23" i="2"/>
  <c r="AF23" i="2" s="1"/>
  <c r="AK23" i="2" s="1"/>
  <c r="H23" i="2"/>
  <c r="AH23" i="2" s="1"/>
  <c r="E24" i="2"/>
  <c r="F24" i="2"/>
  <c r="AD24" i="2"/>
  <c r="AI24" i="2" s="1"/>
  <c r="Y24" i="2"/>
  <c r="V25" i="2"/>
  <c r="G24" i="2"/>
  <c r="D25" i="2"/>
  <c r="S25" i="2"/>
  <c r="O24" i="2"/>
  <c r="R25" i="2"/>
  <c r="N24" i="2"/>
  <c r="U25" i="2"/>
  <c r="Q24" i="2"/>
  <c r="T25" i="2"/>
  <c r="P24" i="2"/>
  <c r="M26" i="1"/>
  <c r="Q27" i="1"/>
  <c r="J25" i="1"/>
  <c r="E24" i="1"/>
  <c r="D25" i="1"/>
  <c r="AI25" i="5" l="1"/>
  <c r="U26" i="5"/>
  <c r="AF26" i="5"/>
  <c r="AO26" i="5" s="1"/>
  <c r="H27" i="5"/>
  <c r="AH27" i="5" s="1"/>
  <c r="I27" i="5"/>
  <c r="E28" i="5"/>
  <c r="F28" i="5"/>
  <c r="AG28" i="5" s="1"/>
  <c r="G28" i="5"/>
  <c r="N25" i="5"/>
  <c r="Q25" i="5"/>
  <c r="AE25" i="5" s="1"/>
  <c r="O25" i="5"/>
  <c r="P25" i="5"/>
  <c r="Y25" i="5"/>
  <c r="V26" i="5"/>
  <c r="R27" i="5" s="1"/>
  <c r="AF27" i="4"/>
  <c r="AK27" i="4"/>
  <c r="H28" i="4"/>
  <c r="AH28" i="4" s="1"/>
  <c r="I28" i="4"/>
  <c r="AD25" i="4"/>
  <c r="AI25" i="4"/>
  <c r="U26" i="4"/>
  <c r="Q25" i="4"/>
  <c r="AE24" i="4"/>
  <c r="AJ24" i="4"/>
  <c r="R26" i="4"/>
  <c r="N25" i="4"/>
  <c r="S26" i="4"/>
  <c r="O25" i="4"/>
  <c r="T26" i="4"/>
  <c r="P25" i="4"/>
  <c r="Y25" i="4"/>
  <c r="V26" i="4"/>
  <c r="Y26" i="3"/>
  <c r="V27" i="3"/>
  <c r="S27" i="3"/>
  <c r="O26" i="3"/>
  <c r="AD26" i="3"/>
  <c r="AI26" i="3"/>
  <c r="U27" i="3"/>
  <c r="Q26" i="3"/>
  <c r="AE25" i="3"/>
  <c r="AJ25" i="3"/>
  <c r="AF23" i="3"/>
  <c r="AK23" i="3" s="1"/>
  <c r="AG24" i="3"/>
  <c r="AL24" i="3" s="1"/>
  <c r="H24" i="3"/>
  <c r="AH24" i="3" s="1"/>
  <c r="I24" i="3"/>
  <c r="E25" i="3"/>
  <c r="F25" i="3"/>
  <c r="G25" i="3"/>
  <c r="D26" i="3"/>
  <c r="T27" i="3"/>
  <c r="P26" i="3"/>
  <c r="R27" i="3"/>
  <c r="N26" i="3"/>
  <c r="K25" i="1"/>
  <c r="O26" i="1"/>
  <c r="L25" i="1"/>
  <c r="P26" i="1"/>
  <c r="U27" i="1"/>
  <c r="R28" i="1"/>
  <c r="U28" i="1" s="1"/>
  <c r="I24" i="2"/>
  <c r="AF24" i="2" s="1"/>
  <c r="AK24" i="2" s="1"/>
  <c r="H24" i="2"/>
  <c r="AH24" i="2" s="1"/>
  <c r="E25" i="2"/>
  <c r="F25" i="2"/>
  <c r="AD25" i="2"/>
  <c r="AI25" i="2" s="1"/>
  <c r="Y25" i="2"/>
  <c r="V26" i="2"/>
  <c r="G25" i="2"/>
  <c r="D26" i="2"/>
  <c r="S26" i="2"/>
  <c r="O25" i="2"/>
  <c r="R26" i="2"/>
  <c r="N25" i="2"/>
  <c r="U26" i="2"/>
  <c r="Q25" i="2"/>
  <c r="T26" i="2"/>
  <c r="P25" i="2"/>
  <c r="M27" i="1"/>
  <c r="Q28" i="1"/>
  <c r="M28" i="1" s="1"/>
  <c r="J26" i="1"/>
  <c r="E25" i="1"/>
  <c r="D26" i="1"/>
  <c r="AI26" i="5" l="1"/>
  <c r="U27" i="5"/>
  <c r="AF27" i="5"/>
  <c r="AO27" i="5"/>
  <c r="H28" i="5"/>
  <c r="AH28" i="5" s="1"/>
  <c r="I28" i="5"/>
  <c r="N26" i="5"/>
  <c r="Q26" i="5"/>
  <c r="AE26" i="5" s="1"/>
  <c r="O26" i="5"/>
  <c r="P26" i="5"/>
  <c r="Y26" i="5"/>
  <c r="V27" i="5"/>
  <c r="R28" i="5" s="1"/>
  <c r="U28" i="5" s="1"/>
  <c r="AF28" i="4"/>
  <c r="AK28" i="4"/>
  <c r="AD26" i="4"/>
  <c r="AI26" i="4"/>
  <c r="U27" i="4"/>
  <c r="Q26" i="4"/>
  <c r="AE25" i="4"/>
  <c r="AJ25" i="4"/>
  <c r="R27" i="4"/>
  <c r="N26" i="4"/>
  <c r="S27" i="4"/>
  <c r="O26" i="4"/>
  <c r="T27" i="4"/>
  <c r="P26" i="4"/>
  <c r="Y26" i="4"/>
  <c r="V27" i="4"/>
  <c r="Y27" i="3"/>
  <c r="V28" i="3"/>
  <c r="Y28" i="3" s="1"/>
  <c r="S28" i="3"/>
  <c r="O28" i="3" s="1"/>
  <c r="O27" i="3"/>
  <c r="AD27" i="3"/>
  <c r="AI27" i="3"/>
  <c r="U28" i="3"/>
  <c r="Q27" i="3"/>
  <c r="AE26" i="3"/>
  <c r="AJ26" i="3" s="1"/>
  <c r="AF24" i="3"/>
  <c r="AK24" i="3" s="1"/>
  <c r="AG25" i="3"/>
  <c r="AL25" i="3" s="1"/>
  <c r="H25" i="3"/>
  <c r="AH25" i="3" s="1"/>
  <c r="I25" i="3"/>
  <c r="F26" i="3"/>
  <c r="E26" i="3"/>
  <c r="G26" i="3"/>
  <c r="D27" i="3"/>
  <c r="T28" i="3"/>
  <c r="P28" i="3" s="1"/>
  <c r="P27" i="3"/>
  <c r="R28" i="3"/>
  <c r="N28" i="3" s="1"/>
  <c r="N27" i="3"/>
  <c r="K26" i="1"/>
  <c r="O27" i="1"/>
  <c r="L26" i="1"/>
  <c r="P27" i="1"/>
  <c r="I25" i="2"/>
  <c r="AF25" i="2" s="1"/>
  <c r="AK25" i="2" s="1"/>
  <c r="H25" i="2"/>
  <c r="AH25" i="2" s="1"/>
  <c r="E26" i="2"/>
  <c r="F26" i="2"/>
  <c r="AD26" i="2"/>
  <c r="AI26" i="2" s="1"/>
  <c r="Y26" i="2"/>
  <c r="V27" i="2"/>
  <c r="G26" i="2"/>
  <c r="D27" i="2"/>
  <c r="S27" i="2"/>
  <c r="O26" i="2"/>
  <c r="R27" i="2"/>
  <c r="N26" i="2"/>
  <c r="U27" i="2"/>
  <c r="Q26" i="2"/>
  <c r="T27" i="2"/>
  <c r="P26" i="2"/>
  <c r="J27" i="1"/>
  <c r="J28" i="1"/>
  <c r="E26" i="1"/>
  <c r="D27" i="1"/>
  <c r="AI28" i="5" l="1"/>
  <c r="AI27" i="5"/>
  <c r="AF28" i="5"/>
  <c r="AO28" i="5" s="1"/>
  <c r="N28" i="5"/>
  <c r="N27" i="5"/>
  <c r="Q27" i="5"/>
  <c r="AE27" i="5" s="1"/>
  <c r="O28" i="5"/>
  <c r="O27" i="5"/>
  <c r="P28" i="5"/>
  <c r="P27" i="5"/>
  <c r="Y27" i="5"/>
  <c r="V28" i="5"/>
  <c r="Y28" i="5" s="1"/>
  <c r="AD27" i="4"/>
  <c r="AI27" i="4"/>
  <c r="U28" i="4"/>
  <c r="Q27" i="4"/>
  <c r="AE26" i="4"/>
  <c r="AJ26" i="4" s="1"/>
  <c r="R28" i="4"/>
  <c r="N28" i="4" s="1"/>
  <c r="N27" i="4"/>
  <c r="S28" i="4"/>
  <c r="O28" i="4" s="1"/>
  <c r="O27" i="4"/>
  <c r="T28" i="4"/>
  <c r="P28" i="4" s="1"/>
  <c r="P27" i="4"/>
  <c r="Y27" i="4"/>
  <c r="V28" i="4"/>
  <c r="Y28" i="4" s="1"/>
  <c r="AD28" i="3"/>
  <c r="Q28" i="3"/>
  <c r="AI28" i="3"/>
  <c r="AE27" i="3"/>
  <c r="AJ27" i="3" s="1"/>
  <c r="AF25" i="3"/>
  <c r="AK25" i="3" s="1"/>
  <c r="AG26" i="3"/>
  <c r="AL26" i="3"/>
  <c r="I26" i="3"/>
  <c r="H26" i="3"/>
  <c r="AH26" i="3" s="1"/>
  <c r="F27" i="3"/>
  <c r="E27" i="3"/>
  <c r="G27" i="3"/>
  <c r="D28" i="3"/>
  <c r="K27" i="1"/>
  <c r="O28" i="1"/>
  <c r="K28" i="1" s="1"/>
  <c r="L27" i="1"/>
  <c r="P28" i="1"/>
  <c r="L28" i="1" s="1"/>
  <c r="H26" i="2"/>
  <c r="AH26" i="2" s="1"/>
  <c r="I26" i="2"/>
  <c r="AF26" i="2" s="1"/>
  <c r="AK26" i="2" s="1"/>
  <c r="E27" i="2"/>
  <c r="F27" i="2"/>
  <c r="AD27" i="2"/>
  <c r="AI27" i="2" s="1"/>
  <c r="Y27" i="2"/>
  <c r="V28" i="2"/>
  <c r="Y28" i="2" s="1"/>
  <c r="G27" i="2"/>
  <c r="D28" i="2"/>
  <c r="S28" i="2"/>
  <c r="O28" i="2" s="1"/>
  <c r="O27" i="2"/>
  <c r="R28" i="2"/>
  <c r="N28" i="2" s="1"/>
  <c r="N27" i="2"/>
  <c r="U28" i="2"/>
  <c r="Q27" i="2"/>
  <c r="T28" i="2"/>
  <c r="P28" i="2" s="1"/>
  <c r="P27" i="2"/>
  <c r="E27" i="1"/>
  <c r="D28" i="1"/>
  <c r="E28" i="1" s="1"/>
  <c r="Q28" i="5" l="1"/>
  <c r="AE28" i="5" s="1"/>
  <c r="AD28" i="4"/>
  <c r="AI28" i="4"/>
  <c r="Q28" i="4"/>
  <c r="AE27" i="4"/>
  <c r="AJ27" i="4" s="1"/>
  <c r="AE28" i="3"/>
  <c r="AJ28" i="3"/>
  <c r="AF26" i="3"/>
  <c r="AK26" i="3"/>
  <c r="AG27" i="3"/>
  <c r="AL27" i="3"/>
  <c r="H27" i="3"/>
  <c r="AH27" i="3" s="1"/>
  <c r="I27" i="3"/>
  <c r="G28" i="3"/>
  <c r="E28" i="3"/>
  <c r="F28" i="3"/>
  <c r="AG28" i="3" s="1"/>
  <c r="I27" i="2"/>
  <c r="AF27" i="2" s="1"/>
  <c r="AK27" i="2" s="1"/>
  <c r="H27" i="2"/>
  <c r="AH27" i="2" s="1"/>
  <c r="E28" i="2"/>
  <c r="F28" i="2"/>
  <c r="G28" i="2"/>
  <c r="AD28" i="2"/>
  <c r="AI28" i="2" s="1"/>
  <c r="Q28" i="2"/>
  <c r="AE28" i="4" l="1"/>
  <c r="AJ28" i="4"/>
  <c r="AF27" i="3"/>
  <c r="AK27" i="3"/>
  <c r="I28" i="3"/>
  <c r="H28" i="3"/>
  <c r="AH28" i="3" s="1"/>
  <c r="I28" i="2"/>
  <c r="AF28" i="2" s="1"/>
  <c r="AK28" i="2" s="1"/>
  <c r="H28" i="2"/>
  <c r="AH28" i="2" s="1"/>
  <c r="AN9" i="2"/>
  <c r="AN10" i="2" s="1"/>
  <c r="AN11" i="2" s="1"/>
  <c r="AN12" i="2" s="1"/>
  <c r="AN13" i="2" s="1"/>
  <c r="AN14" i="2" s="1"/>
  <c r="AN15" i="2" s="1"/>
  <c r="AN16" i="2" s="1"/>
  <c r="AN17" i="2" s="1"/>
  <c r="AN18" i="2" s="1"/>
  <c r="AN19" i="2" s="1"/>
  <c r="AN20" i="2" s="1"/>
  <c r="AN21" i="2" s="1"/>
  <c r="AN22" i="2" s="1"/>
  <c r="AN23" i="2" s="1"/>
  <c r="AN24" i="2" s="1"/>
  <c r="AN25" i="2" s="1"/>
  <c r="AN26" i="2" s="1"/>
  <c r="AN27" i="2" s="1"/>
  <c r="AE28" i="2"/>
  <c r="AG28" i="2"/>
  <c r="AG9" i="2"/>
  <c r="AE9" i="2"/>
  <c r="AJ28" i="2"/>
  <c r="AL9" i="2"/>
  <c r="AJ9" i="2"/>
  <c r="AF28" i="3" l="1"/>
  <c r="AK28" i="3"/>
  <c r="AE10" i="2"/>
  <c r="AJ10" i="2" s="1"/>
  <c r="AG10" i="2"/>
  <c r="AL10" i="2" s="1"/>
  <c r="AE11" i="2" l="1"/>
  <c r="AJ11" i="2" s="1"/>
  <c r="AG11" i="2"/>
  <c r="AL11" i="2" s="1"/>
  <c r="AG12" i="2" l="1"/>
  <c r="AL12" i="2" s="1"/>
  <c r="AE12" i="2"/>
  <c r="AJ12" i="2" s="1"/>
  <c r="AE13" i="2" l="1"/>
  <c r="AJ13" i="2" s="1"/>
  <c r="AG13" i="2"/>
  <c r="AL13" i="2" s="1"/>
  <c r="AG14" i="2" l="1"/>
  <c r="AL14" i="2" s="1"/>
  <c r="AE14" i="2"/>
  <c r="AJ14" i="2" s="1"/>
  <c r="AE15" i="2" l="1"/>
  <c r="AJ15" i="2" s="1"/>
  <c r="AG15" i="2"/>
  <c r="AL15" i="2" s="1"/>
  <c r="AG16" i="2" l="1"/>
  <c r="AL16" i="2" s="1"/>
  <c r="AE16" i="2"/>
  <c r="AJ16" i="2" s="1"/>
  <c r="AG17" i="2" l="1"/>
  <c r="AL17" i="2" s="1"/>
  <c r="AE17" i="2"/>
  <c r="AJ17" i="2" s="1"/>
  <c r="AG18" i="2" l="1"/>
  <c r="AL18" i="2" s="1"/>
  <c r="AE18" i="2"/>
  <c r="AJ18" i="2" s="1"/>
  <c r="AG19" i="2" l="1"/>
  <c r="AL19" i="2" s="1"/>
  <c r="AE19" i="2"/>
  <c r="AJ19" i="2" s="1"/>
  <c r="AG20" i="2" l="1"/>
  <c r="AL20" i="2" s="1"/>
  <c r="AE20" i="2"/>
  <c r="AJ20" i="2" s="1"/>
  <c r="AE21" i="2" l="1"/>
  <c r="AJ21" i="2" s="1"/>
  <c r="AG21" i="2"/>
  <c r="AL21" i="2" s="1"/>
  <c r="AE22" i="2" l="1"/>
  <c r="AJ22" i="2" s="1"/>
  <c r="AG22" i="2"/>
  <c r="AL22" i="2" s="1"/>
  <c r="AG23" i="2" l="1"/>
  <c r="AL23" i="2" s="1"/>
  <c r="AE23" i="2"/>
  <c r="AJ23" i="2" s="1"/>
  <c r="AE24" i="2" l="1"/>
  <c r="AJ24" i="2" s="1"/>
  <c r="AG24" i="2"/>
  <c r="AL24" i="2" s="1"/>
  <c r="AG25" i="2" l="1"/>
  <c r="AL25" i="2" s="1"/>
  <c r="AE25" i="2"/>
  <c r="AJ25" i="2" s="1"/>
  <c r="AE26" i="2" l="1"/>
  <c r="AJ26" i="2" s="1"/>
  <c r="AG26" i="2"/>
  <c r="AL26" i="2" s="1"/>
  <c r="AE27" i="2" l="1"/>
  <c r="AJ27" i="2" s="1"/>
  <c r="AG27" i="2"/>
  <c r="AL27" i="2" s="1"/>
  <c r="AD5" i="5" l="1"/>
  <c r="AJ5" i="5" s="1"/>
  <c r="AK5" i="5"/>
  <c r="AL5" i="5"/>
  <c r="AD6" i="5"/>
  <c r="AL6" i="5"/>
  <c r="AD7" i="5"/>
  <c r="AL7" i="5"/>
  <c r="AD8" i="5"/>
  <c r="AL8" i="5"/>
  <c r="AL9" i="5"/>
  <c r="AL10" i="5"/>
  <c r="AL11" i="5"/>
  <c r="AL13" i="5"/>
  <c r="AL16" i="5"/>
  <c r="AL17" i="5"/>
  <c r="AL20" i="5"/>
  <c r="AL22" i="5"/>
  <c r="AD28" i="5"/>
  <c r="AJ28" i="5" s="1"/>
  <c r="AK28" i="5"/>
  <c r="AK8" i="5" l="1"/>
  <c r="AJ8" i="5"/>
  <c r="AK7" i="5"/>
  <c r="AJ7" i="5"/>
  <c r="AK6" i="5"/>
  <c r="AJ6" i="5"/>
  <c r="AL12" i="5"/>
  <c r="AL14" i="5"/>
  <c r="AL21" i="5"/>
  <c r="AL23" i="5"/>
  <c r="AL18" i="5"/>
  <c r="AL19" i="5"/>
  <c r="AL15" i="5"/>
  <c r="AL24" i="5"/>
  <c r="AD9" i="5"/>
  <c r="AK9" i="5" l="1"/>
  <c r="AJ9" i="5"/>
  <c r="AD10" i="5"/>
  <c r="AK10" i="5" l="1"/>
  <c r="AJ10" i="5"/>
  <c r="AD11" i="5"/>
  <c r="AK11" i="5" l="1"/>
  <c r="AJ11" i="5"/>
  <c r="AD12" i="5"/>
  <c r="AK12" i="5" l="1"/>
  <c r="AJ12" i="5"/>
  <c r="AD13" i="5"/>
  <c r="AK13" i="5" l="1"/>
  <c r="AJ13" i="5"/>
  <c r="AD14" i="5"/>
  <c r="AK14" i="5" l="1"/>
  <c r="AJ14" i="5"/>
  <c r="AD15" i="5"/>
  <c r="AK15" i="5" l="1"/>
  <c r="AJ15" i="5"/>
  <c r="AD16" i="5"/>
  <c r="AK16" i="5" l="1"/>
  <c r="AJ16" i="5"/>
  <c r="AD17" i="5"/>
  <c r="AK17" i="5" l="1"/>
  <c r="AJ17" i="5"/>
  <c r="AD18" i="5"/>
  <c r="AK18" i="5" l="1"/>
  <c r="AJ18" i="5"/>
  <c r="AD19" i="5"/>
  <c r="AK19" i="5" l="1"/>
  <c r="AJ19" i="5"/>
  <c r="AD20" i="5"/>
  <c r="AK20" i="5" l="1"/>
  <c r="AJ20" i="5"/>
  <c r="AD21" i="5"/>
  <c r="AK21" i="5" l="1"/>
  <c r="AJ21" i="5"/>
  <c r="AD22" i="5"/>
  <c r="AK22" i="5" l="1"/>
  <c r="AJ22" i="5"/>
  <c r="AD23" i="5"/>
  <c r="AK23" i="5" l="1"/>
  <c r="AJ23" i="5"/>
  <c r="AD24" i="5"/>
  <c r="AK24" i="5" l="1"/>
  <c r="AJ24" i="5"/>
  <c r="AD25" i="5"/>
  <c r="AK25" i="5" l="1"/>
  <c r="AJ25" i="5"/>
  <c r="AD26" i="5"/>
  <c r="AD27" i="5"/>
  <c r="AL28" i="5"/>
  <c r="AK27" i="5" l="1"/>
  <c r="AJ27" i="5"/>
  <c r="AK26" i="5"/>
  <c r="AJ26" i="5"/>
  <c r="AL25" i="5"/>
  <c r="AL26" i="5" l="1"/>
  <c r="AL27" i="5" l="1"/>
  <c r="AP8" i="5"/>
  <c r="AP12" i="5" s="1"/>
  <c r="AP9" i="5"/>
  <c r="AP10" i="5"/>
  <c r="AP11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P28" i="5"/>
  <c r="AP25" i="5"/>
  <c r="AP26" i="5"/>
  <c r="AP27" i="5"/>
</calcChain>
</file>

<file path=xl/sharedStrings.xml><?xml version="1.0" encoding="utf-8"?>
<sst xmlns="http://schemas.openxmlformats.org/spreadsheetml/2006/main" count="185" uniqueCount="57">
  <si>
    <t>Commercial: Total Floorspace: Total: Reference case (billion sq ft)</t>
  </si>
  <si>
    <t>Residential: Key Indicators: Households: Single-Family: Reference case</t>
  </si>
  <si>
    <t>Residential: Key Indicators: Households: Multifamily: Reference case</t>
  </si>
  <si>
    <t>Residential: Key Indicators: Households: Mobile Homes: Reference case</t>
  </si>
  <si>
    <t>Residential: Key Indicators: Households: Total: Reference case</t>
  </si>
  <si>
    <t>Year</t>
  </si>
  <si>
    <t>Commercial: Total Floorspace: New Additions: Reference case</t>
  </si>
  <si>
    <t>Commercial: Total Floorspace: New Additions: Reference case (cumul.)</t>
  </si>
  <si>
    <t>Commercial: Total Floorspace: New Additions: Reference case (surviving 2024 stock)</t>
  </si>
  <si>
    <t>Residential: Key Indicators: Households: Single-Family: Reference case (new since 2024)</t>
  </si>
  <si>
    <t>Residential: Key Indicators: Households: Multifamily: Reference case (new since 2024)</t>
  </si>
  <si>
    <t>Residential: Key Indicators: Households: Mobile Homes: Reference case (new since 2024)</t>
  </si>
  <si>
    <t>Residential: Key Indicators: Households: Total: Reference case (new since 2024)</t>
  </si>
  <si>
    <t>Residential: Key Indicators: Households: Single-Family: Reference case (surviving 2024 stock)</t>
  </si>
  <si>
    <t>Residential: Key Indicators: Households: Multifamily: Reference case (surviving 2024 stock)</t>
  </si>
  <si>
    <t>Residential: Key Indicators: Households: Mobile Homes: Reference case (surviving 2024 stock)</t>
  </si>
  <si>
    <t>Residential: Key Indicators: Households: Total: Reference case (surviving 2024 stock)</t>
  </si>
  <si>
    <t>Res. Demolition rate - SF</t>
  </si>
  <si>
    <t>Res. Demolition rate - MF</t>
  </si>
  <si>
    <t>Res. Demolition rate - MH</t>
  </si>
  <si>
    <t>Res. Demolition rate - overall</t>
  </si>
  <si>
    <t>With GHP, res., existing</t>
  </si>
  <si>
    <t>With GHP, res., new</t>
  </si>
  <si>
    <t>With GHP, com.. existing</t>
  </si>
  <si>
    <t>With GHP, com.. new</t>
  </si>
  <si>
    <t>Without GHP, res., existing</t>
  </si>
  <si>
    <t>Without GHP, res., new</t>
  </si>
  <si>
    <t>Without GHP, com.. existing</t>
  </si>
  <si>
    <t>Without GHP, com.. new</t>
  </si>
  <si>
    <t>Adoption rate, cumul, res..</t>
  </si>
  <si>
    <t>Adoption rate, cumul, com..</t>
  </si>
  <si>
    <t>Com. Gap</t>
  </si>
  <si>
    <t>Gap frac</t>
  </si>
  <si>
    <t>Adoption rate, cumul, res.. New</t>
  </si>
  <si>
    <t>Adoption rate, cumul, com.. New</t>
  </si>
  <si>
    <t>Commercial: Total Floorspace: New Additions: Reference case (cumul.) - gap</t>
  </si>
  <si>
    <t>Commercial: Total Floorspace: New Additions: Reference case (cumul.) - nongap</t>
  </si>
  <si>
    <t>Commercial: Total Floorspace: New Additions: Reference case (surviving 2024 stock) - gap</t>
  </si>
  <si>
    <t>Commercial: Total Floorspace: New Additions: Reference case (surviving 2024 stock) - nongap</t>
  </si>
  <si>
    <t>Retrofits of new construction</t>
  </si>
  <si>
    <t>Commercial: Total Floorspace: New Additions: Reference case (surviving 2027 stock)</t>
  </si>
  <si>
    <t>Residential: Key Indicators: Households: Single-Family: Reference case (new since 2027)</t>
  </si>
  <si>
    <t>Residential: Key Indicators: Households: Multifamily: Reference case (new since 2027)</t>
  </si>
  <si>
    <t>Residential: Key Indicators: Households: Mobile Homes: Reference case (new since 2027)</t>
  </si>
  <si>
    <t>Commercial: Total Floorspace: New Additions: Reference case (surviving 2027 stock) - gap</t>
  </si>
  <si>
    <t>Commercial: Total Floorspace: New Additions: Reference case (surviving 2027 stock) - nongap</t>
  </si>
  <si>
    <t>Residential: Key Indicators: Households: Total: Reference case (new since 2027)</t>
  </si>
  <si>
    <t>Residential: Key Indicators: Households: Single-Family: Reference case (surviving 2027 stock)</t>
  </si>
  <si>
    <t>Residential: Key Indicators: Households: Multifamily: Reference case (surviving 2027 stock)</t>
  </si>
  <si>
    <t>Residential: Key Indicators: Households: Mobile Homes: Reference case (surviving 2027 stock)</t>
  </si>
  <si>
    <t>Residential: Key Indicators: Households: Total: Reference case (surviving 2027 stock)</t>
  </si>
  <si>
    <t>Without GHP, res., existing - total</t>
  </si>
  <si>
    <t>Without GHP, com.. existing - total</t>
  </si>
  <si>
    <t>Without GHP, res., existing - ineligible</t>
  </si>
  <si>
    <t>Without GHP, res., existing - eligible</t>
  </si>
  <si>
    <t>Without GHP, com.. existing - ineligible</t>
  </si>
  <si>
    <t>Without GHP, com.. existing - 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</si>
</sst>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E88E4-0B82-AE4D-938F-5704977E0A70}">
  <dimension ref="A1:U29"/>
  <sheetViews>
    <sheetView workbookViewId="0">
      <selection activeCell="H28" sqref="H28"/>
    </sheetView>
  </sheetViews>
  <sheetFormatPr baseColWidth="10" defaultRowHeight="16" x14ac:dyDescent="0.2"/>
  <sheetData>
    <row r="1" spans="1:21" s="2" customFormat="1" ht="170" x14ac:dyDescent="0.2">
      <c r="A1" s="2" t="s">
        <v>5</v>
      </c>
      <c r="B1" s="2" t="s">
        <v>0</v>
      </c>
      <c r="C1" s="2" t="s">
        <v>6</v>
      </c>
      <c r="D1" s="2" t="s">
        <v>7</v>
      </c>
      <c r="E1" s="2" t="s">
        <v>8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">
      <c r="A2">
        <v>2024</v>
      </c>
      <c r="B2">
        <v>103.371872</v>
      </c>
      <c r="C2">
        <v>2.7420749999999998</v>
      </c>
      <c r="D2">
        <f>C2</f>
        <v>2.7420749999999998</v>
      </c>
      <c r="E2">
        <f t="shared" ref="E2:E28" si="0">B2-D2</f>
        <v>100.629797</v>
      </c>
      <c r="F2">
        <v>88.609744000000006</v>
      </c>
      <c r="G2">
        <v>34.017912000000003</v>
      </c>
      <c r="H2">
        <v>6.7559019999999999</v>
      </c>
      <c r="I2">
        <v>129.383557</v>
      </c>
      <c r="J2">
        <f>F2-N2</f>
        <v>0</v>
      </c>
      <c r="K2">
        <f t="shared" ref="K2:M2" si="1">G2-O2</f>
        <v>0</v>
      </c>
      <c r="L2">
        <f t="shared" si="1"/>
        <v>0</v>
      </c>
      <c r="M2">
        <f t="shared" si="1"/>
        <v>0</v>
      </c>
      <c r="N2">
        <f>F2</f>
        <v>88.609744000000006</v>
      </c>
      <c r="O2">
        <f t="shared" ref="O2:Q2" si="2">G2</f>
        <v>34.017912000000003</v>
      </c>
      <c r="P2">
        <f t="shared" si="2"/>
        <v>6.7559019999999999</v>
      </c>
      <c r="Q2">
        <f t="shared" si="2"/>
        <v>129.383557</v>
      </c>
      <c r="R2">
        <f>0.625/F2</f>
        <v>7.0534003574144162E-3</v>
      </c>
      <c r="S2">
        <f>0.4/G2</f>
        <v>1.1758511221970355E-2</v>
      </c>
      <c r="T2">
        <f>0.25/H2</f>
        <v>3.7004681240195611E-2</v>
      </c>
      <c r="U2">
        <f>(R2*F2+S2*G2+T2*H2)/I2</f>
        <v>9.8544206819109158E-3</v>
      </c>
    </row>
    <row r="3" spans="1:21" x14ac:dyDescent="0.2">
      <c r="A3">
        <v>2025</v>
      </c>
      <c r="B3">
        <v>104.52195</v>
      </c>
      <c r="C3">
        <v>2.676447</v>
      </c>
      <c r="D3">
        <f>C3+D2</f>
        <v>5.4185219999999994</v>
      </c>
      <c r="E3">
        <f t="shared" si="0"/>
        <v>99.103428000000008</v>
      </c>
      <c r="F3">
        <v>89.620040000000003</v>
      </c>
      <c r="G3">
        <v>34.380152000000002</v>
      </c>
      <c r="H3">
        <v>6.7485489999999997</v>
      </c>
      <c r="I3">
        <v>130.74874</v>
      </c>
      <c r="J3">
        <f>F3-N3</f>
        <v>1.6352959999999968</v>
      </c>
      <c r="K3">
        <f t="shared" ref="K3:K28" si="3">G3-O3</f>
        <v>0.76223999999999847</v>
      </c>
      <c r="L3">
        <f t="shared" ref="L3:L28" si="4">H3-P3</f>
        <v>0.24264699999999984</v>
      </c>
      <c r="M3">
        <f t="shared" ref="M3:M28" si="5">I3-Q3</f>
        <v>2.6401830000000075</v>
      </c>
      <c r="N3">
        <f>N2*(1-R2)</f>
        <v>87.984744000000006</v>
      </c>
      <c r="O3">
        <f>O2*(1-S2)</f>
        <v>33.617912000000004</v>
      </c>
      <c r="P3">
        <f>P2*(1-T2)</f>
        <v>6.5059019999999999</v>
      </c>
      <c r="Q3">
        <f>Q2*(1-U2)</f>
        <v>128.10855699999999</v>
      </c>
      <c r="R3">
        <f>R2</f>
        <v>7.0534003574144162E-3</v>
      </c>
      <c r="S3">
        <f>S2</f>
        <v>1.1758511221970355E-2</v>
      </c>
      <c r="T3">
        <f>T2</f>
        <v>3.7004681240195611E-2</v>
      </c>
      <c r="U3">
        <f t="shared" ref="U3:U28" si="6">(R3*F3+S3*G3+T3*H3)/I3</f>
        <v>9.8365256128004116E-3</v>
      </c>
    </row>
    <row r="4" spans="1:21" x14ac:dyDescent="0.2">
      <c r="A4">
        <v>2026</v>
      </c>
      <c r="B4">
        <v>105.93501999999999</v>
      </c>
      <c r="C4">
        <v>2.951616</v>
      </c>
      <c r="D4">
        <f t="shared" ref="D4:D28" si="7">C4+D3</f>
        <v>8.370137999999999</v>
      </c>
      <c r="E4">
        <f t="shared" si="0"/>
        <v>97.564881999999997</v>
      </c>
      <c r="F4">
        <v>90.630319999999998</v>
      </c>
      <c r="G4">
        <v>34.797908</v>
      </c>
      <c r="H4">
        <v>6.7703420000000003</v>
      </c>
      <c r="I4">
        <v>132.19856999999999</v>
      </c>
      <c r="J4">
        <f t="shared" ref="J4:J28" si="8">F4-N4</f>
        <v>3.2661676247766138</v>
      </c>
      <c r="K4">
        <f t="shared" si="3"/>
        <v>1.4171165925163223</v>
      </c>
      <c r="L4">
        <f t="shared" si="4"/>
        <v>0.31032873149210349</v>
      </c>
      <c r="M4">
        <f t="shared" si="5"/>
        <v>4.9936139417316383</v>
      </c>
      <c r="N4">
        <f t="shared" ref="N4:N28" si="9">N3*(1-$R3)</f>
        <v>87.364152375223384</v>
      </c>
      <c r="O4">
        <f t="shared" ref="O4:O28" si="10">O3*(1-$R3)</f>
        <v>33.380791407483677</v>
      </c>
      <c r="P4">
        <f t="shared" ref="P4:P28" si="11">P3*(1-$R3)</f>
        <v>6.4600132685078968</v>
      </c>
      <c r="Q4">
        <f t="shared" ref="Q4:Q28" si="12">Q3*(1-$R3)</f>
        <v>127.20495605826835</v>
      </c>
      <c r="R4">
        <f t="shared" ref="R4:R28" si="13">R3</f>
        <v>7.0534003574144162E-3</v>
      </c>
      <c r="S4">
        <f t="shared" ref="S4:S28" si="14">S3</f>
        <v>1.1758511221970355E-2</v>
      </c>
      <c r="T4">
        <f t="shared" ref="T4:T28" si="15">T3</f>
        <v>3.7004681240195611E-2</v>
      </c>
      <c r="U4">
        <f t="shared" si="6"/>
        <v>9.8258087874686043E-3</v>
      </c>
    </row>
    <row r="5" spans="1:21" x14ac:dyDescent="0.2">
      <c r="A5">
        <v>2027</v>
      </c>
      <c r="B5">
        <v>107.51918000000001</v>
      </c>
      <c r="C5">
        <v>3.1368719999999999</v>
      </c>
      <c r="D5">
        <f t="shared" si="7"/>
        <v>11.507009999999999</v>
      </c>
      <c r="E5">
        <f t="shared" si="0"/>
        <v>96.012170000000012</v>
      </c>
      <c r="F5">
        <v>91.639303999999996</v>
      </c>
      <c r="G5">
        <v>35.233668000000002</v>
      </c>
      <c r="H5">
        <v>6.7927460000000002</v>
      </c>
      <c r="I5">
        <v>133.665718</v>
      </c>
      <c r="J5">
        <f t="shared" si="8"/>
        <v>4.8913659683652213</v>
      </c>
      <c r="K5">
        <f t="shared" si="3"/>
        <v>2.088324678560646</v>
      </c>
      <c r="L5">
        <f t="shared" si="4"/>
        <v>0.37829779138909903</v>
      </c>
      <c r="M5">
        <f t="shared" si="5"/>
        <v>7.3579894242579229</v>
      </c>
      <c r="N5">
        <f t="shared" si="9"/>
        <v>86.747938031634774</v>
      </c>
      <c r="O5">
        <f t="shared" si="10"/>
        <v>33.145343321439356</v>
      </c>
      <c r="P5">
        <f t="shared" si="11"/>
        <v>6.4144482086109011</v>
      </c>
      <c r="Q5">
        <f t="shared" si="12"/>
        <v>126.30772857574208</v>
      </c>
      <c r="R5">
        <f t="shared" si="13"/>
        <v>7.0534003574144162E-3</v>
      </c>
      <c r="S5">
        <f t="shared" si="14"/>
        <v>1.1758511221970355E-2</v>
      </c>
      <c r="T5">
        <f t="shared" si="15"/>
        <v>3.7004681240195611E-2</v>
      </c>
      <c r="U5">
        <f t="shared" si="6"/>
        <v>9.8157373503324156E-3</v>
      </c>
    </row>
    <row r="6" spans="1:21" x14ac:dyDescent="0.2">
      <c r="A6">
        <v>2028</v>
      </c>
      <c r="B6">
        <v>109.194839</v>
      </c>
      <c r="C6">
        <v>3.2451020000000002</v>
      </c>
      <c r="D6">
        <f t="shared" si="7"/>
        <v>14.752112</v>
      </c>
      <c r="E6">
        <f t="shared" si="0"/>
        <v>94.442727000000005</v>
      </c>
      <c r="F6">
        <v>92.631463999999994</v>
      </c>
      <c r="G6">
        <v>35.702212000000003</v>
      </c>
      <c r="H6">
        <v>6.8042499999999997</v>
      </c>
      <c r="I6">
        <v>135.13792599999999</v>
      </c>
      <c r="J6">
        <f t="shared" si="8"/>
        <v>6.4953939054825156</v>
      </c>
      <c r="K6">
        <f t="shared" si="3"/>
        <v>2.7906560549907127</v>
      </c>
      <c r="L6">
        <f t="shared" si="4"/>
        <v>0.43504546267633071</v>
      </c>
      <c r="M6">
        <f t="shared" si="5"/>
        <v>9.721096402138258</v>
      </c>
      <c r="N6">
        <f t="shared" si="9"/>
        <v>86.136070094517478</v>
      </c>
      <c r="O6">
        <f t="shared" si="10"/>
        <v>32.91155594500929</v>
      </c>
      <c r="P6">
        <f t="shared" si="11"/>
        <v>6.369204537323669</v>
      </c>
      <c r="Q6">
        <f t="shared" si="12"/>
        <v>125.41682959786174</v>
      </c>
      <c r="R6">
        <f t="shared" si="13"/>
        <v>7.0534003574144162E-3</v>
      </c>
      <c r="S6">
        <f t="shared" si="14"/>
        <v>1.1758511221970355E-2</v>
      </c>
      <c r="T6">
        <f t="shared" si="15"/>
        <v>3.7004681240195611E-2</v>
      </c>
      <c r="U6">
        <f t="shared" si="6"/>
        <v>9.8045071674785524E-3</v>
      </c>
    </row>
    <row r="7" spans="1:21" x14ac:dyDescent="0.2">
      <c r="A7">
        <v>2029</v>
      </c>
      <c r="B7">
        <v>110.865685</v>
      </c>
      <c r="C7">
        <v>3.2589950000000001</v>
      </c>
      <c r="D7">
        <f t="shared" si="7"/>
        <v>18.011106999999999</v>
      </c>
      <c r="E7">
        <f t="shared" si="0"/>
        <v>92.854578000000004</v>
      </c>
      <c r="F7">
        <v>93.625664</v>
      </c>
      <c r="G7">
        <v>36.208348000000001</v>
      </c>
      <c r="H7">
        <v>6.8139190000000003</v>
      </c>
      <c r="I7">
        <v>136.647931</v>
      </c>
      <c r="J7">
        <f t="shared" si="8"/>
        <v>8.0971460930734622</v>
      </c>
      <c r="K7">
        <f t="shared" si="3"/>
        <v>3.5289304354563029</v>
      </c>
      <c r="L7">
        <f t="shared" si="4"/>
        <v>0.48963901223633588</v>
      </c>
      <c r="M7">
        <f t="shared" si="5"/>
        <v>12.115716512849602</v>
      </c>
      <c r="N7">
        <f t="shared" si="9"/>
        <v>85.528517906926538</v>
      </c>
      <c r="O7">
        <f t="shared" si="10"/>
        <v>32.679417564543698</v>
      </c>
      <c r="P7">
        <f t="shared" si="11"/>
        <v>6.3242799877636644</v>
      </c>
      <c r="Q7">
        <f t="shared" si="12"/>
        <v>124.5322144871504</v>
      </c>
      <c r="R7">
        <f t="shared" si="13"/>
        <v>7.0534003574144162E-3</v>
      </c>
      <c r="S7">
        <f t="shared" si="14"/>
        <v>1.1758511221970355E-2</v>
      </c>
      <c r="T7">
        <f t="shared" si="15"/>
        <v>3.7004681240195611E-2</v>
      </c>
      <c r="U7">
        <f t="shared" si="6"/>
        <v>9.7936532884591015E-3</v>
      </c>
    </row>
    <row r="8" spans="1:21" x14ac:dyDescent="0.2">
      <c r="A8">
        <v>2030</v>
      </c>
      <c r="B8">
        <v>112.493584</v>
      </c>
      <c r="C8">
        <v>3.2359849999999999</v>
      </c>
      <c r="D8">
        <f t="shared" si="7"/>
        <v>21.247091999999999</v>
      </c>
      <c r="E8">
        <f t="shared" si="0"/>
        <v>91.246492000000003</v>
      </c>
      <c r="F8">
        <v>94.613568000000001</v>
      </c>
      <c r="G8">
        <v>36.726568</v>
      </c>
      <c r="H8">
        <v>6.8189890000000002</v>
      </c>
      <c r="I8">
        <v>138.15912499999999</v>
      </c>
      <c r="J8">
        <f t="shared" si="8"/>
        <v>9.6883169718472999</v>
      </c>
      <c r="K8">
        <f t="shared" si="3"/>
        <v>4.2776514509861485</v>
      </c>
      <c r="L8">
        <f t="shared" si="4"/>
        <v>0.53931669096241652</v>
      </c>
      <c r="M8">
        <f t="shared" si="5"/>
        <v>14.505286079022866</v>
      </c>
      <c r="N8">
        <f t="shared" si="9"/>
        <v>84.925251028152701</v>
      </c>
      <c r="O8">
        <f t="shared" si="10"/>
        <v>32.448916549013852</v>
      </c>
      <c r="P8">
        <f t="shared" si="11"/>
        <v>6.2796723090375837</v>
      </c>
      <c r="Q8">
        <f t="shared" si="12"/>
        <v>123.65383892097712</v>
      </c>
      <c r="R8">
        <f t="shared" si="13"/>
        <v>7.0534003574144162E-3</v>
      </c>
      <c r="S8">
        <f t="shared" si="14"/>
        <v>1.1758511221970355E-2</v>
      </c>
      <c r="T8">
        <f t="shared" si="15"/>
        <v>3.7004681240195611E-2</v>
      </c>
      <c r="U8">
        <f t="shared" si="6"/>
        <v>9.7824276944813507E-3</v>
      </c>
    </row>
    <row r="9" spans="1:21" x14ac:dyDescent="0.2">
      <c r="A9">
        <v>2031</v>
      </c>
      <c r="B9">
        <v>114.092934</v>
      </c>
      <c r="C9">
        <v>3.227938</v>
      </c>
      <c r="D9">
        <f t="shared" si="7"/>
        <v>24.475029999999997</v>
      </c>
      <c r="E9">
        <f t="shared" si="0"/>
        <v>89.61790400000001</v>
      </c>
      <c r="F9">
        <v>95.599119999999999</v>
      </c>
      <c r="G9">
        <v>37.247472000000002</v>
      </c>
      <c r="H9">
        <v>6.8253740000000001</v>
      </c>
      <c r="I9">
        <v>139.671966</v>
      </c>
      <c r="J9">
        <f t="shared" si="8"/>
        <v>11.272880767802775</v>
      </c>
      <c r="K9">
        <f t="shared" si="3"/>
        <v>5.0274306505706718</v>
      </c>
      <c r="L9">
        <f t="shared" si="4"/>
        <v>0.58999473387142753</v>
      </c>
      <c r="M9">
        <f t="shared" si="5"/>
        <v>16.890307110663755</v>
      </c>
      <c r="N9">
        <f t="shared" si="9"/>
        <v>84.326239232197224</v>
      </c>
      <c r="O9">
        <f t="shared" si="10"/>
        <v>32.22004134942933</v>
      </c>
      <c r="P9">
        <f t="shared" si="11"/>
        <v>6.2353792661285725</v>
      </c>
      <c r="Q9">
        <f t="shared" si="12"/>
        <v>122.78165888933624</v>
      </c>
      <c r="R9">
        <f t="shared" si="13"/>
        <v>7.0534003574144162E-3</v>
      </c>
      <c r="S9">
        <f t="shared" si="14"/>
        <v>1.1758511221970355E-2</v>
      </c>
      <c r="T9">
        <f t="shared" si="15"/>
        <v>3.7004681240195611E-2</v>
      </c>
      <c r="U9">
        <f t="shared" si="6"/>
        <v>9.7717853695397216E-3</v>
      </c>
    </row>
    <row r="10" spans="1:21" x14ac:dyDescent="0.2">
      <c r="A10">
        <v>2032</v>
      </c>
      <c r="B10">
        <v>115.698303</v>
      </c>
      <c r="C10">
        <v>3.2548240000000002</v>
      </c>
      <c r="D10">
        <f t="shared" si="7"/>
        <v>27.729853999999996</v>
      </c>
      <c r="E10">
        <f t="shared" si="0"/>
        <v>87.968448999999993</v>
      </c>
      <c r="F10">
        <v>96.580712000000005</v>
      </c>
      <c r="G10">
        <v>37.754384000000002</v>
      </c>
      <c r="H10">
        <v>6.8344959999999997</v>
      </c>
      <c r="I10">
        <v>141.16959199999999</v>
      </c>
      <c r="J10">
        <f t="shared" si="8"/>
        <v>12.849259493742579</v>
      </c>
      <c r="K10">
        <f t="shared" si="3"/>
        <v>5.7616035017406446</v>
      </c>
      <c r="L10">
        <f t="shared" si="4"/>
        <v>0.64309736021575326</v>
      </c>
      <c r="M10">
        <f t="shared" si="5"/>
        <v>19.253961307357727</v>
      </c>
      <c r="N10">
        <f t="shared" si="9"/>
        <v>83.731452506257426</v>
      </c>
      <c r="O10">
        <f t="shared" si="10"/>
        <v>31.992780498259357</v>
      </c>
      <c r="P10">
        <f t="shared" si="11"/>
        <v>6.1913986397842464</v>
      </c>
      <c r="Q10">
        <f t="shared" si="12"/>
        <v>121.91563069264227</v>
      </c>
      <c r="R10">
        <f t="shared" si="13"/>
        <v>7.0534003574144162E-3</v>
      </c>
      <c r="S10">
        <f t="shared" si="14"/>
        <v>1.1758511221970355E-2</v>
      </c>
      <c r="T10">
        <f t="shared" si="15"/>
        <v>3.7004681240195611E-2</v>
      </c>
      <c r="U10">
        <f t="shared" si="6"/>
        <v>9.7617773266647171E-3</v>
      </c>
    </row>
    <row r="11" spans="1:21" x14ac:dyDescent="0.2">
      <c r="A11">
        <v>2033</v>
      </c>
      <c r="B11">
        <v>117.31967899999999</v>
      </c>
      <c r="C11">
        <v>3.2921589999999998</v>
      </c>
      <c r="D11">
        <f t="shared" si="7"/>
        <v>31.022012999999994</v>
      </c>
      <c r="E11">
        <f t="shared" si="0"/>
        <v>86.297665999999992</v>
      </c>
      <c r="F11">
        <v>97.542320000000004</v>
      </c>
      <c r="G11">
        <v>38.228700000000003</v>
      </c>
      <c r="H11">
        <v>6.8445270000000002</v>
      </c>
      <c r="I11">
        <v>142.61554799999999</v>
      </c>
      <c r="J11">
        <f t="shared" si="8"/>
        <v>14.401458950777041</v>
      </c>
      <c r="K11">
        <f t="shared" si="3"/>
        <v>6.4615773911417484</v>
      </c>
      <c r="L11">
        <f t="shared" si="4"/>
        <v>0.69679877359450337</v>
      </c>
      <c r="M11">
        <f t="shared" si="5"/>
        <v>21.559837060459614</v>
      </c>
      <c r="N11">
        <f t="shared" si="9"/>
        <v>83.140861049222963</v>
      </c>
      <c r="O11">
        <f t="shared" si="10"/>
        <v>31.767122608858255</v>
      </c>
      <c r="P11">
        <f t="shared" si="11"/>
        <v>6.1477282264054969</v>
      </c>
      <c r="Q11">
        <f t="shared" si="12"/>
        <v>121.05571093954038</v>
      </c>
      <c r="R11">
        <f t="shared" si="13"/>
        <v>7.0534003574144162E-3</v>
      </c>
      <c r="S11">
        <f t="shared" si="14"/>
        <v>1.1758511221970355E-2</v>
      </c>
      <c r="T11">
        <f t="shared" si="15"/>
        <v>3.7004681240195611E-2</v>
      </c>
      <c r="U11">
        <f t="shared" si="6"/>
        <v>9.7520725620833561E-3</v>
      </c>
    </row>
    <row r="12" spans="1:21" x14ac:dyDescent="0.2">
      <c r="A12">
        <v>2034</v>
      </c>
      <c r="B12">
        <v>118.94864699999999</v>
      </c>
      <c r="C12">
        <v>3.3216220000000001</v>
      </c>
      <c r="D12">
        <f t="shared" si="7"/>
        <v>34.343634999999992</v>
      </c>
      <c r="E12">
        <f t="shared" si="0"/>
        <v>84.605012000000002</v>
      </c>
      <c r="F12">
        <v>98.475399999999993</v>
      </c>
      <c r="G12">
        <v>38.669908</v>
      </c>
      <c r="H12">
        <v>6.8523969999999998</v>
      </c>
      <c r="I12">
        <v>143.997705</v>
      </c>
      <c r="J12">
        <f t="shared" si="8"/>
        <v>15.920964729817356</v>
      </c>
      <c r="K12">
        <f t="shared" si="3"/>
        <v>7.1268516251050933</v>
      </c>
      <c r="L12">
        <f t="shared" si="4"/>
        <v>0.74803116206391795</v>
      </c>
      <c r="M12">
        <f t="shared" si="5"/>
        <v>23.795848455267631</v>
      </c>
      <c r="N12">
        <f t="shared" si="9"/>
        <v>82.554435270182637</v>
      </c>
      <c r="O12">
        <f t="shared" si="10"/>
        <v>31.543056374894906</v>
      </c>
      <c r="P12">
        <f t="shared" si="11"/>
        <v>6.1043658379360819</v>
      </c>
      <c r="Q12">
        <f t="shared" si="12"/>
        <v>120.20185654473237</v>
      </c>
      <c r="R12">
        <f t="shared" si="13"/>
        <v>7.0534003574144162E-3</v>
      </c>
      <c r="S12">
        <f t="shared" si="14"/>
        <v>1.1758511221970355E-2</v>
      </c>
      <c r="T12">
        <f t="shared" si="15"/>
        <v>3.7004681240195611E-2</v>
      </c>
      <c r="U12">
        <f t="shared" si="6"/>
        <v>9.7422228739226183E-3</v>
      </c>
    </row>
    <row r="13" spans="1:21" x14ac:dyDescent="0.2">
      <c r="A13">
        <v>2035</v>
      </c>
      <c r="B13">
        <v>120.570572</v>
      </c>
      <c r="C13">
        <v>3.3368820000000001</v>
      </c>
      <c r="D13">
        <f t="shared" si="7"/>
        <v>37.680516999999995</v>
      </c>
      <c r="E13">
        <f t="shared" si="0"/>
        <v>82.890055000000004</v>
      </c>
      <c r="F13">
        <v>99.402584000000004</v>
      </c>
      <c r="G13">
        <v>39.096772000000001</v>
      </c>
      <c r="H13">
        <v>6.8581479999999999</v>
      </c>
      <c r="I13">
        <v>145.35750400000001</v>
      </c>
      <c r="J13">
        <f t="shared" si="8"/>
        <v>17.430438213058224</v>
      </c>
      <c r="K13">
        <f t="shared" si="3"/>
        <v>7.776201430213721</v>
      </c>
      <c r="L13">
        <f t="shared" si="4"/>
        <v>0.79683869824700437</v>
      </c>
      <c r="M13">
        <f t="shared" si="5"/>
        <v>26.003479273182137</v>
      </c>
      <c r="N13">
        <f t="shared" si="9"/>
        <v>81.97214578694178</v>
      </c>
      <c r="O13">
        <f t="shared" si="10"/>
        <v>31.32057056978628</v>
      </c>
      <c r="P13">
        <f t="shared" si="11"/>
        <v>6.0613093017529955</v>
      </c>
      <c r="Q13">
        <f t="shared" si="12"/>
        <v>119.35402472681787</v>
      </c>
      <c r="R13">
        <f t="shared" si="13"/>
        <v>7.0534003574144162E-3</v>
      </c>
      <c r="S13">
        <f t="shared" si="14"/>
        <v>1.1758511221970355E-2</v>
      </c>
      <c r="T13">
        <f t="shared" si="15"/>
        <v>3.7004681240195611E-2</v>
      </c>
      <c r="U13">
        <f t="shared" si="6"/>
        <v>9.732071585767034E-3</v>
      </c>
    </row>
    <row r="14" spans="1:21" x14ac:dyDescent="0.2">
      <c r="A14">
        <v>2036</v>
      </c>
      <c r="B14">
        <v>122.16892199999999</v>
      </c>
      <c r="C14">
        <v>3.3359239999999999</v>
      </c>
      <c r="D14">
        <f t="shared" si="7"/>
        <v>41.016440999999993</v>
      </c>
      <c r="E14">
        <f t="shared" si="0"/>
        <v>81.152480999999995</v>
      </c>
      <c r="F14">
        <v>100.314464</v>
      </c>
      <c r="G14">
        <v>39.507691999999999</v>
      </c>
      <c r="H14">
        <v>6.863969</v>
      </c>
      <c r="I14">
        <v>146.686126</v>
      </c>
      <c r="J14">
        <f t="shared" si="8"/>
        <v>18.920500575449864</v>
      </c>
      <c r="K14">
        <f t="shared" si="3"/>
        <v>8.4080379538650725</v>
      </c>
      <c r="L14">
        <f t="shared" si="4"/>
        <v>0.84541253944238814</v>
      </c>
      <c r="M14">
        <f t="shared" si="5"/>
        <v>28.173952993849113</v>
      </c>
      <c r="N14">
        <f t="shared" si="9"/>
        <v>81.393963424550137</v>
      </c>
      <c r="O14">
        <f t="shared" si="10"/>
        <v>31.099654046134926</v>
      </c>
      <c r="P14">
        <f t="shared" si="11"/>
        <v>6.0185564605576118</v>
      </c>
      <c r="Q14">
        <f t="shared" si="12"/>
        <v>118.51217300615089</v>
      </c>
      <c r="R14">
        <f t="shared" si="13"/>
        <v>7.0534003574144162E-3</v>
      </c>
      <c r="S14">
        <f t="shared" si="14"/>
        <v>1.1758511221970355E-2</v>
      </c>
      <c r="T14">
        <f t="shared" si="15"/>
        <v>3.7004681240195611E-2</v>
      </c>
      <c r="U14">
        <f t="shared" si="6"/>
        <v>9.7221785027928834E-3</v>
      </c>
    </row>
    <row r="15" spans="1:21" x14ac:dyDescent="0.2">
      <c r="A15">
        <v>2037</v>
      </c>
      <c r="B15">
        <v>123.73555</v>
      </c>
      <c r="C15">
        <v>3.3269090000000001</v>
      </c>
      <c r="D15">
        <f t="shared" si="7"/>
        <v>44.343349999999994</v>
      </c>
      <c r="E15">
        <f t="shared" si="0"/>
        <v>79.392200000000003</v>
      </c>
      <c r="F15">
        <v>101.201392</v>
      </c>
      <c r="G15">
        <v>39.887748000000002</v>
      </c>
      <c r="H15">
        <v>6.8687569999999996</v>
      </c>
      <c r="I15">
        <v>147.957897</v>
      </c>
      <c r="J15">
        <f t="shared" si="8"/>
        <v>20.381532786159966</v>
      </c>
      <c r="K15">
        <f t="shared" si="3"/>
        <v>9.0074522648295492</v>
      </c>
      <c r="L15">
        <f t="shared" si="4"/>
        <v>0.89265182773240337</v>
      </c>
      <c r="M15">
        <f t="shared" si="5"/>
        <v>30.281637797288653</v>
      </c>
      <c r="N15">
        <f t="shared" si="9"/>
        <v>80.819859213840033</v>
      </c>
      <c r="O15">
        <f t="shared" si="10"/>
        <v>30.880295735170453</v>
      </c>
      <c r="P15">
        <f t="shared" si="11"/>
        <v>5.9761051722675962</v>
      </c>
      <c r="Q15">
        <f t="shared" si="12"/>
        <v>117.67625920271135</v>
      </c>
      <c r="R15">
        <f t="shared" si="13"/>
        <v>7.0534003574144162E-3</v>
      </c>
      <c r="S15">
        <f t="shared" si="14"/>
        <v>1.1758511221970355E-2</v>
      </c>
      <c r="T15">
        <f t="shared" si="15"/>
        <v>3.7004681240195611E-2</v>
      </c>
      <c r="U15">
        <f t="shared" si="6"/>
        <v>9.712294236529492E-3</v>
      </c>
    </row>
    <row r="16" spans="1:21" x14ac:dyDescent="0.2">
      <c r="A16">
        <v>2038</v>
      </c>
      <c r="B16">
        <v>125.27293400000001</v>
      </c>
      <c r="C16">
        <v>3.3203109999999998</v>
      </c>
      <c r="D16">
        <f t="shared" si="7"/>
        <v>47.663660999999991</v>
      </c>
      <c r="E16">
        <f t="shared" si="0"/>
        <v>77.609273000000016</v>
      </c>
      <c r="F16">
        <v>102.063192</v>
      </c>
      <c r="G16">
        <v>40.244427999999999</v>
      </c>
      <c r="H16">
        <v>6.872681</v>
      </c>
      <c r="I16">
        <v>149.18030099999999</v>
      </c>
      <c r="J16">
        <f t="shared" si="8"/>
        <v>21.813387610025046</v>
      </c>
      <c r="K16">
        <f t="shared" si="3"/>
        <v>9.5819433538050589</v>
      </c>
      <c r="L16">
        <f t="shared" si="4"/>
        <v>0.93872769009042223</v>
      </c>
      <c r="M16">
        <f t="shared" si="5"/>
        <v>32.334059566008236</v>
      </c>
      <c r="N16">
        <f t="shared" si="9"/>
        <v>80.249804389974955</v>
      </c>
      <c r="O16">
        <f t="shared" si="10"/>
        <v>30.66248464619494</v>
      </c>
      <c r="P16">
        <f t="shared" si="11"/>
        <v>5.9339533099095778</v>
      </c>
      <c r="Q16">
        <f t="shared" si="12"/>
        <v>116.84624143399175</v>
      </c>
      <c r="R16">
        <f t="shared" si="13"/>
        <v>7.0534003574144162E-3</v>
      </c>
      <c r="S16">
        <f t="shared" si="14"/>
        <v>1.1758511221970355E-2</v>
      </c>
      <c r="T16">
        <f t="shared" si="15"/>
        <v>3.7004681240195611E-2</v>
      </c>
      <c r="U16">
        <f t="shared" si="6"/>
        <v>9.7025443249506727E-3</v>
      </c>
    </row>
    <row r="17" spans="1:21" x14ac:dyDescent="0.2">
      <c r="A17">
        <v>2039</v>
      </c>
      <c r="B17">
        <v>126.786034</v>
      </c>
      <c r="C17">
        <v>3.3185319999999998</v>
      </c>
      <c r="D17">
        <f t="shared" si="7"/>
        <v>50.982192999999988</v>
      </c>
      <c r="E17">
        <f t="shared" si="0"/>
        <v>75.803841000000006</v>
      </c>
      <c r="F17">
        <v>102.89217600000001</v>
      </c>
      <c r="G17">
        <v>40.580072000000001</v>
      </c>
      <c r="H17">
        <v>6.8761729999999996</v>
      </c>
      <c r="I17">
        <v>150.348421</v>
      </c>
      <c r="J17">
        <f t="shared" si="8"/>
        <v>23.20840560899174</v>
      </c>
      <c r="K17">
        <f t="shared" si="3"/>
        <v>10.133862133967746</v>
      </c>
      <c r="L17">
        <f t="shared" si="4"/>
        <v>0.98407423848741882</v>
      </c>
      <c r="M17">
        <f t="shared" si="5"/>
        <v>34.326342887101305</v>
      </c>
      <c r="N17">
        <f t="shared" si="9"/>
        <v>79.683770391008267</v>
      </c>
      <c r="O17">
        <f t="shared" si="10"/>
        <v>30.446209866032255</v>
      </c>
      <c r="P17">
        <f t="shared" si="11"/>
        <v>5.8920987615125808</v>
      </c>
      <c r="Q17">
        <f t="shared" si="12"/>
        <v>116.0220781128987</v>
      </c>
      <c r="R17">
        <f t="shared" si="13"/>
        <v>7.0534003574144162E-3</v>
      </c>
      <c r="S17">
        <f t="shared" si="14"/>
        <v>1.1758511221970355E-2</v>
      </c>
      <c r="T17">
        <f t="shared" si="15"/>
        <v>3.7004681240195611E-2</v>
      </c>
      <c r="U17">
        <f t="shared" si="6"/>
        <v>9.6931615463480766E-3</v>
      </c>
    </row>
    <row r="18" spans="1:21" x14ac:dyDescent="0.2">
      <c r="A18">
        <v>2040</v>
      </c>
      <c r="B18">
        <v>128.28021200000001</v>
      </c>
      <c r="C18">
        <v>3.3219720000000001</v>
      </c>
      <c r="D18">
        <f t="shared" si="7"/>
        <v>54.30416499999999</v>
      </c>
      <c r="E18">
        <f t="shared" si="0"/>
        <v>73.976047000000023</v>
      </c>
      <c r="F18">
        <v>103.692392</v>
      </c>
      <c r="G18">
        <v>40.897655999999998</v>
      </c>
      <c r="H18">
        <v>6.8816290000000002</v>
      </c>
      <c r="I18">
        <v>151.471677</v>
      </c>
      <c r="J18">
        <f t="shared" si="8"/>
        <v>24.570663143547804</v>
      </c>
      <c r="K18">
        <f t="shared" si="3"/>
        <v>10.666195441518727</v>
      </c>
      <c r="L18">
        <f t="shared" si="4"/>
        <v>1.0310895699977936</v>
      </c>
      <c r="M18">
        <f t="shared" si="5"/>
        <v>36.267949054330785</v>
      </c>
      <c r="N18">
        <f t="shared" si="9"/>
        <v>79.121728856452194</v>
      </c>
      <c r="O18">
        <f t="shared" si="10"/>
        <v>30.23146055848127</v>
      </c>
      <c r="P18">
        <f t="shared" si="11"/>
        <v>5.8505394300022067</v>
      </c>
      <c r="Q18">
        <f t="shared" si="12"/>
        <v>115.20372794566921</v>
      </c>
      <c r="R18">
        <f t="shared" si="13"/>
        <v>7.0534003574144162E-3</v>
      </c>
      <c r="S18">
        <f t="shared" si="14"/>
        <v>1.1758511221970355E-2</v>
      </c>
      <c r="T18">
        <f t="shared" si="15"/>
        <v>3.7004681240195611E-2</v>
      </c>
      <c r="U18">
        <f t="shared" si="6"/>
        <v>9.6845299295162945E-3</v>
      </c>
    </row>
    <row r="19" spans="1:21" x14ac:dyDescent="0.2">
      <c r="A19">
        <v>2041</v>
      </c>
      <c r="B19">
        <v>129.76083399999999</v>
      </c>
      <c r="C19">
        <v>3.3306</v>
      </c>
      <c r="D19">
        <f t="shared" si="7"/>
        <v>57.634764999999987</v>
      </c>
      <c r="E19">
        <f t="shared" si="0"/>
        <v>72.126069000000001</v>
      </c>
      <c r="F19">
        <v>104.460888</v>
      </c>
      <c r="G19">
        <v>41.193407999999998</v>
      </c>
      <c r="H19">
        <v>6.8880090000000003</v>
      </c>
      <c r="I19">
        <v>152.542305</v>
      </c>
      <c r="J19">
        <f t="shared" si="8"/>
        <v>25.897236374143148</v>
      </c>
      <c r="K19">
        <f t="shared" si="3"/>
        <v>11.175182036227078</v>
      </c>
      <c r="L19">
        <f t="shared" si="4"/>
        <v>1.0787357669044386</v>
      </c>
      <c r="M19">
        <f t="shared" si="5"/>
        <v>38.151155070198243</v>
      </c>
      <c r="N19">
        <f t="shared" si="9"/>
        <v>78.563651625856849</v>
      </c>
      <c r="O19">
        <f t="shared" si="10"/>
        <v>30.01822596377292</v>
      </c>
      <c r="P19">
        <f t="shared" si="11"/>
        <v>5.8092732330955617</v>
      </c>
      <c r="Q19">
        <f t="shared" si="12"/>
        <v>114.39114992980176</v>
      </c>
      <c r="R19">
        <f t="shared" si="13"/>
        <v>7.0534003574144162E-3</v>
      </c>
      <c r="S19">
        <f t="shared" si="14"/>
        <v>1.1758511221970355E-2</v>
      </c>
      <c r="T19">
        <f t="shared" si="15"/>
        <v>3.7004681240195611E-2</v>
      </c>
      <c r="U19">
        <f t="shared" si="6"/>
        <v>9.6764382340940053E-3</v>
      </c>
    </row>
    <row r="20" spans="1:21" x14ac:dyDescent="0.2">
      <c r="A20">
        <v>2042</v>
      </c>
      <c r="B20">
        <v>131.231323</v>
      </c>
      <c r="C20">
        <v>3.3425159999999998</v>
      </c>
      <c r="D20">
        <f t="shared" si="7"/>
        <v>60.977280999999991</v>
      </c>
      <c r="E20">
        <f t="shared" si="0"/>
        <v>70.254042000000013</v>
      </c>
      <c r="F20">
        <v>105.20867200000001</v>
      </c>
      <c r="G20">
        <v>41.472396000000003</v>
      </c>
      <c r="H20">
        <v>6.8943719999999997</v>
      </c>
      <c r="I20">
        <v>153.57543999999999</v>
      </c>
      <c r="J20">
        <f t="shared" si="8"/>
        <v>27.199161262600754</v>
      </c>
      <c r="K20">
        <f t="shared" si="3"/>
        <v>11.665900601968907</v>
      </c>
      <c r="L20">
        <f t="shared" si="4"/>
        <v>1.1260738968030726</v>
      </c>
      <c r="M20">
        <f t="shared" si="5"/>
        <v>39.991136647998147</v>
      </c>
      <c r="N20">
        <f t="shared" si="9"/>
        <v>78.009510737399253</v>
      </c>
      <c r="O20">
        <f t="shared" si="10"/>
        <v>29.806495398031096</v>
      </c>
      <c r="P20">
        <f t="shared" si="11"/>
        <v>5.7682981031969272</v>
      </c>
      <c r="Q20">
        <f t="shared" si="12"/>
        <v>113.58430335200184</v>
      </c>
      <c r="R20">
        <f t="shared" si="13"/>
        <v>7.0534003574144162E-3</v>
      </c>
      <c r="S20">
        <f t="shared" si="14"/>
        <v>1.1758511221970355E-2</v>
      </c>
      <c r="T20">
        <f t="shared" si="15"/>
        <v>3.7004681240195611E-2</v>
      </c>
      <c r="U20">
        <f t="shared" si="6"/>
        <v>9.6685808399261282E-3</v>
      </c>
    </row>
    <row r="21" spans="1:21" x14ac:dyDescent="0.2">
      <c r="A21">
        <v>2043</v>
      </c>
      <c r="B21">
        <v>132.69490099999999</v>
      </c>
      <c r="C21">
        <v>3.3574739999999998</v>
      </c>
      <c r="D21">
        <f t="shared" si="7"/>
        <v>64.334754999999987</v>
      </c>
      <c r="E21">
        <f t="shared" si="0"/>
        <v>68.360146</v>
      </c>
      <c r="F21">
        <v>105.923744</v>
      </c>
      <c r="G21">
        <v>41.742612000000001</v>
      </c>
      <c r="H21">
        <v>6.8997310000000001</v>
      </c>
      <c r="I21">
        <v>154.56608700000001</v>
      </c>
      <c r="J21">
        <f t="shared" si="8"/>
        <v>28.464465573517643</v>
      </c>
      <c r="K21">
        <f t="shared" si="3"/>
        <v>12.146353747262648</v>
      </c>
      <c r="L21">
        <f t="shared" si="4"/>
        <v>1.172119012705835</v>
      </c>
      <c r="M21">
        <f t="shared" si="5"/>
        <v>41.782939213857844</v>
      </c>
      <c r="N21">
        <f t="shared" si="9"/>
        <v>77.459278426482356</v>
      </c>
      <c r="O21">
        <f t="shared" si="10"/>
        <v>29.596258252737353</v>
      </c>
      <c r="P21">
        <f t="shared" si="11"/>
        <v>5.7276119872941651</v>
      </c>
      <c r="Q21">
        <f t="shared" si="12"/>
        <v>112.78314778614217</v>
      </c>
      <c r="R21">
        <f t="shared" si="13"/>
        <v>7.0534003574144162E-3</v>
      </c>
      <c r="S21">
        <f t="shared" si="14"/>
        <v>1.1758511221970355E-2</v>
      </c>
      <c r="T21">
        <f t="shared" si="15"/>
        <v>3.7004681240195611E-2</v>
      </c>
      <c r="U21">
        <f t="shared" si="6"/>
        <v>9.6610836225848387E-3</v>
      </c>
    </row>
    <row r="22" spans="1:21" x14ac:dyDescent="0.2">
      <c r="A22">
        <v>2044</v>
      </c>
      <c r="B22">
        <v>134.15536499999999</v>
      </c>
      <c r="C22">
        <v>3.3761589999999999</v>
      </c>
      <c r="D22">
        <f t="shared" si="7"/>
        <v>67.710913999999988</v>
      </c>
      <c r="E22">
        <f t="shared" si="0"/>
        <v>66.444451000000001</v>
      </c>
      <c r="F22">
        <v>106.61773599999999</v>
      </c>
      <c r="G22">
        <v>42.013559999999998</v>
      </c>
      <c r="H22">
        <v>6.9049379999999996</v>
      </c>
      <c r="I22">
        <v>155.53623400000001</v>
      </c>
      <c r="J22">
        <f t="shared" si="8"/>
        <v>29.704808875656056</v>
      </c>
      <c r="K22">
        <f t="shared" si="3"/>
        <v>12.626056005800631</v>
      </c>
      <c r="L22">
        <f t="shared" si="4"/>
        <v>1.217725153144146</v>
      </c>
      <c r="M22">
        <f t="shared" si="5"/>
        <v>43.548590908762947</v>
      </c>
      <c r="N22">
        <f t="shared" si="9"/>
        <v>76.912927124343938</v>
      </c>
      <c r="O22">
        <f t="shared" si="10"/>
        <v>29.387503994199367</v>
      </c>
      <c r="P22">
        <f t="shared" si="11"/>
        <v>5.6872128468558536</v>
      </c>
      <c r="Q22">
        <f t="shared" si="12"/>
        <v>111.98764309123706</v>
      </c>
      <c r="R22">
        <f t="shared" si="13"/>
        <v>7.0534003574144162E-3</v>
      </c>
      <c r="S22">
        <f t="shared" si="14"/>
        <v>1.1758511221970355E-2</v>
      </c>
      <c r="T22">
        <f t="shared" si="15"/>
        <v>3.7004681240195611E-2</v>
      </c>
      <c r="U22">
        <f t="shared" si="6"/>
        <v>9.6540174916241988E-3</v>
      </c>
    </row>
    <row r="23" spans="1:21" x14ac:dyDescent="0.2">
      <c r="A23">
        <v>2045</v>
      </c>
      <c r="B23">
        <v>135.616333</v>
      </c>
      <c r="C23">
        <v>3.3983430000000001</v>
      </c>
      <c r="D23">
        <f t="shared" si="7"/>
        <v>71.109256999999985</v>
      </c>
      <c r="E23">
        <f t="shared" si="0"/>
        <v>64.507076000000012</v>
      </c>
      <c r="F23">
        <v>107.31068</v>
      </c>
      <c r="G23">
        <v>42.284568</v>
      </c>
      <c r="H23">
        <v>6.9104179999999999</v>
      </c>
      <c r="I23">
        <v>156.50566499999999</v>
      </c>
      <c r="J23">
        <f t="shared" si="8"/>
        <v>30.940250543324709</v>
      </c>
      <c r="K23">
        <f t="shared" si="3"/>
        <v>13.104345836976837</v>
      </c>
      <c r="L23">
        <f t="shared" si="4"/>
        <v>1.2633193422708517</v>
      </c>
      <c r="M23">
        <f t="shared" si="5"/>
        <v>45.307915590568669</v>
      </c>
      <c r="N23">
        <f t="shared" si="9"/>
        <v>76.370429456675296</v>
      </c>
      <c r="O23">
        <f t="shared" si="10"/>
        <v>29.180222163023164</v>
      </c>
      <c r="P23">
        <f t="shared" si="11"/>
        <v>5.6470986577291482</v>
      </c>
      <c r="Q23">
        <f t="shared" si="12"/>
        <v>111.19774940943132</v>
      </c>
      <c r="R23">
        <f t="shared" si="13"/>
        <v>7.0534003574144162E-3</v>
      </c>
      <c r="S23">
        <f t="shared" si="14"/>
        <v>1.1758511221970355E-2</v>
      </c>
      <c r="T23">
        <f t="shared" si="15"/>
        <v>3.7004681240195611E-2</v>
      </c>
      <c r="U23">
        <f t="shared" si="6"/>
        <v>9.6471049232439137E-3</v>
      </c>
    </row>
    <row r="24" spans="1:21" x14ac:dyDescent="0.2">
      <c r="A24">
        <v>2046</v>
      </c>
      <c r="B24">
        <v>137.08107000000001</v>
      </c>
      <c r="C24">
        <v>3.4237730000000002</v>
      </c>
      <c r="D24">
        <f t="shared" si="7"/>
        <v>74.533029999999982</v>
      </c>
      <c r="E24">
        <f t="shared" si="0"/>
        <v>62.548040000000029</v>
      </c>
      <c r="F24">
        <v>107.999864</v>
      </c>
      <c r="G24">
        <v>42.555123999999999</v>
      </c>
      <c r="H24">
        <v>6.9140819999999996</v>
      </c>
      <c r="I24">
        <v>157.46906999999999</v>
      </c>
      <c r="J24">
        <f t="shared" si="8"/>
        <v>32.168105757750311</v>
      </c>
      <c r="K24">
        <f t="shared" si="3"/>
        <v>13.580721626410934</v>
      </c>
      <c r="L24">
        <f t="shared" si="4"/>
        <v>1.3068145899616326</v>
      </c>
      <c r="M24">
        <f t="shared" si="5"/>
        <v>47.055642835996821</v>
      </c>
      <c r="N24">
        <f t="shared" si="9"/>
        <v>75.831758242249691</v>
      </c>
      <c r="O24">
        <f t="shared" si="10"/>
        <v>28.974402373589065</v>
      </c>
      <c r="P24">
        <f t="shared" si="11"/>
        <v>5.607267410038367</v>
      </c>
      <c r="Q24">
        <f t="shared" si="12"/>
        <v>110.41342716400317</v>
      </c>
      <c r="R24">
        <f t="shared" si="13"/>
        <v>7.0534003574144162E-3</v>
      </c>
      <c r="S24">
        <f t="shared" si="14"/>
        <v>1.1758511221970355E-2</v>
      </c>
      <c r="T24">
        <f t="shared" si="15"/>
        <v>3.7004681240195611E-2</v>
      </c>
      <c r="U24">
        <f t="shared" si="6"/>
        <v>9.6400174518286204E-3</v>
      </c>
    </row>
    <row r="25" spans="1:21" x14ac:dyDescent="0.2">
      <c r="A25">
        <v>2047</v>
      </c>
      <c r="B25">
        <v>138.55230700000001</v>
      </c>
      <c r="C25">
        <v>3.4518680000000002</v>
      </c>
      <c r="D25">
        <f t="shared" si="7"/>
        <v>77.984897999999987</v>
      </c>
      <c r="E25">
        <f t="shared" si="0"/>
        <v>60.567409000000026</v>
      </c>
      <c r="F25">
        <v>108.685976</v>
      </c>
      <c r="G25">
        <v>42.823943999999997</v>
      </c>
      <c r="H25">
        <v>6.9172450000000003</v>
      </c>
      <c r="I25">
        <v>158.427165</v>
      </c>
      <c r="J25">
        <f t="shared" si="8"/>
        <v>33.389089508439554</v>
      </c>
      <c r="K25">
        <f t="shared" si="3"/>
        <v>14.053909686468675</v>
      </c>
      <c r="L25">
        <f t="shared" si="4"/>
        <v>1.3495278919157165</v>
      </c>
      <c r="M25">
        <f t="shared" si="5"/>
        <v>48.792527942618761</v>
      </c>
      <c r="N25">
        <f t="shared" si="9"/>
        <v>75.296886491560443</v>
      </c>
      <c r="O25">
        <f t="shared" si="10"/>
        <v>28.770034313531323</v>
      </c>
      <c r="P25">
        <f t="shared" si="11"/>
        <v>5.5677171080842838</v>
      </c>
      <c r="Q25">
        <f t="shared" si="12"/>
        <v>109.63463705738124</v>
      </c>
      <c r="R25">
        <f t="shared" si="13"/>
        <v>7.0534003574144162E-3</v>
      </c>
      <c r="S25">
        <f t="shared" si="14"/>
        <v>1.1758511221970355E-2</v>
      </c>
      <c r="T25">
        <f t="shared" si="15"/>
        <v>3.7004681240195611E-2</v>
      </c>
      <c r="U25">
        <f t="shared" si="6"/>
        <v>9.6329564083451318E-3</v>
      </c>
    </row>
    <row r="26" spans="1:21" x14ac:dyDescent="0.2">
      <c r="A26">
        <v>2048</v>
      </c>
      <c r="B26">
        <v>140.03160099999999</v>
      </c>
      <c r="C26">
        <v>3.4815589999999998</v>
      </c>
      <c r="D26">
        <f t="shared" si="7"/>
        <v>81.466456999999991</v>
      </c>
      <c r="E26">
        <f t="shared" si="0"/>
        <v>58.565144000000004</v>
      </c>
      <c r="F26">
        <v>109.369896</v>
      </c>
      <c r="G26">
        <v>43.093595999999998</v>
      </c>
      <c r="H26">
        <v>6.920223</v>
      </c>
      <c r="I26">
        <v>159.383715</v>
      </c>
      <c r="J26">
        <f t="shared" si="8"/>
        <v>34.604108594531326</v>
      </c>
      <c r="K26">
        <f t="shared" si="3"/>
        <v>14.526488256778563</v>
      </c>
      <c r="L26">
        <f t="shared" si="4"/>
        <v>1.3917772297558599</v>
      </c>
      <c r="M26">
        <f t="shared" si="5"/>
        <v>50.522374930824284</v>
      </c>
      <c r="N26">
        <f t="shared" si="9"/>
        <v>74.765787405468672</v>
      </c>
      <c r="O26">
        <f t="shared" si="10"/>
        <v>28.567107743221435</v>
      </c>
      <c r="P26">
        <f t="shared" si="11"/>
        <v>5.5284457702441401</v>
      </c>
      <c r="Q26">
        <f t="shared" si="12"/>
        <v>108.86134006917571</v>
      </c>
      <c r="R26">
        <f t="shared" si="13"/>
        <v>7.0534003574144162E-3</v>
      </c>
      <c r="S26">
        <f t="shared" si="14"/>
        <v>1.1758511221970355E-2</v>
      </c>
      <c r="T26">
        <f t="shared" si="15"/>
        <v>3.7004681240195611E-2</v>
      </c>
      <c r="U26">
        <f t="shared" si="6"/>
        <v>9.625994989035767E-3</v>
      </c>
    </row>
    <row r="27" spans="1:21" x14ac:dyDescent="0.2">
      <c r="A27">
        <v>2049</v>
      </c>
      <c r="B27">
        <v>141.51960800000001</v>
      </c>
      <c r="C27">
        <v>3.5119199999999999</v>
      </c>
      <c r="D27">
        <f t="shared" si="7"/>
        <v>84.978376999999995</v>
      </c>
      <c r="E27">
        <f t="shared" si="0"/>
        <v>56.54123100000001</v>
      </c>
      <c r="F27">
        <v>110.05512</v>
      </c>
      <c r="G27">
        <v>43.365544</v>
      </c>
      <c r="H27">
        <v>6.9254249999999997</v>
      </c>
      <c r="I27">
        <v>160.34608900000001</v>
      </c>
      <c r="J27">
        <f t="shared" si="8"/>
        <v>35.816685626139432</v>
      </c>
      <c r="K27">
        <f t="shared" si="3"/>
        <v>14.9999315047449</v>
      </c>
      <c r="L27">
        <f t="shared" si="4"/>
        <v>1.4359735711276462</v>
      </c>
      <c r="M27">
        <f t="shared" si="5"/>
        <v>52.252591545776838</v>
      </c>
      <c r="N27">
        <f t="shared" si="9"/>
        <v>74.238434373860571</v>
      </c>
      <c r="O27">
        <f t="shared" si="10"/>
        <v>28.3656124952551</v>
      </c>
      <c r="P27">
        <f t="shared" si="11"/>
        <v>5.4894514288723535</v>
      </c>
      <c r="Q27">
        <f t="shared" si="12"/>
        <v>108.09349745422317</v>
      </c>
      <c r="R27">
        <f t="shared" si="13"/>
        <v>7.0534003574144162E-3</v>
      </c>
      <c r="S27">
        <f t="shared" si="14"/>
        <v>1.1758511221970355E-2</v>
      </c>
      <c r="T27">
        <f t="shared" si="15"/>
        <v>3.7004681240195611E-2</v>
      </c>
      <c r="U27">
        <f t="shared" si="6"/>
        <v>9.6195062362388964E-3</v>
      </c>
    </row>
    <row r="28" spans="1:21" x14ac:dyDescent="0.2">
      <c r="A28">
        <v>2050</v>
      </c>
      <c r="B28">
        <v>143.01623499999999</v>
      </c>
      <c r="C28">
        <v>3.542278</v>
      </c>
      <c r="D28">
        <f t="shared" si="7"/>
        <v>88.520654999999991</v>
      </c>
      <c r="E28">
        <f t="shared" si="0"/>
        <v>54.495580000000004</v>
      </c>
      <c r="F28">
        <v>110.741344</v>
      </c>
      <c r="G28">
        <v>43.639676000000001</v>
      </c>
      <c r="H28">
        <v>6.9324709999999996</v>
      </c>
      <c r="I28">
        <v>161.313491</v>
      </c>
      <c r="J28">
        <f t="shared" si="8"/>
        <v>37.026543025685896</v>
      </c>
      <c r="K28">
        <f t="shared" si="3"/>
        <v>15.474137526057213</v>
      </c>
      <c r="L28">
        <f t="shared" si="4"/>
        <v>1.4817388697980638</v>
      </c>
      <c r="M28">
        <f t="shared" si="5"/>
        <v>53.982420259354626</v>
      </c>
      <c r="N28">
        <f t="shared" si="9"/>
        <v>73.714800974314102</v>
      </c>
      <c r="O28">
        <f t="shared" si="10"/>
        <v>28.165538473942789</v>
      </c>
      <c r="P28">
        <f t="shared" si="11"/>
        <v>5.4507321302019358</v>
      </c>
      <c r="Q28">
        <f t="shared" si="12"/>
        <v>107.33107074064537</v>
      </c>
      <c r="R28">
        <f t="shared" si="13"/>
        <v>7.0534003574144162E-3</v>
      </c>
      <c r="S28">
        <f t="shared" si="14"/>
        <v>1.1758511221970355E-2</v>
      </c>
      <c r="T28">
        <f t="shared" si="15"/>
        <v>3.7004681240195611E-2</v>
      </c>
      <c r="U28">
        <f t="shared" si="6"/>
        <v>9.6134212040653397E-3</v>
      </c>
    </row>
    <row r="29" spans="1:21" x14ac:dyDescent="0.2">
      <c r="B29" s="1"/>
      <c r="C2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AAEB-E417-2342-A8D2-CA544930F146}">
  <dimension ref="A1:AN29"/>
  <sheetViews>
    <sheetView workbookViewId="0">
      <selection activeCell="B5" sqref="B5"/>
    </sheetView>
  </sheetViews>
  <sheetFormatPr baseColWidth="10" defaultRowHeight="16" x14ac:dyDescent="0.2"/>
  <cols>
    <col min="38" max="38" width="11.1640625" bestFit="1" customWidth="1"/>
  </cols>
  <sheetData>
    <row r="1" spans="1:40" s="2" customFormat="1" ht="170" x14ac:dyDescent="0.2">
      <c r="A1" s="2" t="s">
        <v>5</v>
      </c>
      <c r="B1" s="2" t="s">
        <v>0</v>
      </c>
      <c r="C1" s="2" t="s">
        <v>6</v>
      </c>
      <c r="D1" s="2" t="s">
        <v>7</v>
      </c>
      <c r="E1" s="2" t="s">
        <v>35</v>
      </c>
      <c r="F1" s="2" t="s">
        <v>36</v>
      </c>
      <c r="G1" s="2" t="s">
        <v>8</v>
      </c>
      <c r="H1" s="2" t="s">
        <v>37</v>
      </c>
      <c r="I1" s="2" t="s">
        <v>38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29</v>
      </c>
      <c r="AA1" s="2" t="s">
        <v>30</v>
      </c>
      <c r="AB1" s="2" t="s">
        <v>33</v>
      </c>
      <c r="AC1" s="2" t="s">
        <v>34</v>
      </c>
      <c r="AD1" s="2" t="s">
        <v>21</v>
      </c>
      <c r="AE1" s="2" t="s">
        <v>22</v>
      </c>
      <c r="AF1" s="2" t="s">
        <v>23</v>
      </c>
      <c r="AG1" s="2" t="s">
        <v>24</v>
      </c>
      <c r="AH1" s="2" t="s">
        <v>31</v>
      </c>
      <c r="AI1" s="2" t="s">
        <v>25</v>
      </c>
      <c r="AJ1" s="2" t="s">
        <v>26</v>
      </c>
      <c r="AK1" s="2" t="s">
        <v>27</v>
      </c>
      <c r="AL1" s="2" t="s">
        <v>28</v>
      </c>
      <c r="AM1" s="2" t="s">
        <v>32</v>
      </c>
      <c r="AN1" s="2" t="s">
        <v>39</v>
      </c>
    </row>
    <row r="2" spans="1:40" x14ac:dyDescent="0.2">
      <c r="A2">
        <v>2024</v>
      </c>
      <c r="B2">
        <v>103.371872</v>
      </c>
      <c r="C2">
        <v>2.7420749999999998</v>
      </c>
      <c r="D2">
        <f>C2</f>
        <v>2.7420749999999998</v>
      </c>
      <c r="E2">
        <f>D2*$AM2</f>
        <v>1.09683</v>
      </c>
      <c r="F2">
        <f>D2*(1-$AM2)</f>
        <v>1.6452449999999998</v>
      </c>
      <c r="G2">
        <f t="shared" ref="G2:G28" si="0">B2-D2</f>
        <v>100.629797</v>
      </c>
      <c r="H2">
        <f>G2*$AM2</f>
        <v>40.251918799999999</v>
      </c>
      <c r="I2">
        <f>G2*(1-$AM2)</f>
        <v>60.377878199999998</v>
      </c>
      <c r="J2">
        <v>88.609744000000006</v>
      </c>
      <c r="K2">
        <v>34.017912000000003</v>
      </c>
      <c r="L2">
        <v>6.7559019999999999</v>
      </c>
      <c r="M2">
        <v>129.383557</v>
      </c>
      <c r="N2">
        <f>J2-R2</f>
        <v>0</v>
      </c>
      <c r="O2">
        <f t="shared" ref="O2:Q17" si="1">K2-S2</f>
        <v>0</v>
      </c>
      <c r="P2">
        <f t="shared" si="1"/>
        <v>0</v>
      </c>
      <c r="Q2">
        <f t="shared" si="1"/>
        <v>0</v>
      </c>
      <c r="R2">
        <f>J2</f>
        <v>88.609744000000006</v>
      </c>
      <c r="S2">
        <f t="shared" ref="S2:U2" si="2">K2</f>
        <v>34.017912000000003</v>
      </c>
      <c r="T2">
        <f t="shared" si="2"/>
        <v>6.7559019999999999</v>
      </c>
      <c r="U2">
        <f t="shared" si="2"/>
        <v>129.383557</v>
      </c>
      <c r="V2">
        <f>0.625/J2</f>
        <v>7.0534003574144162E-3</v>
      </c>
      <c r="W2">
        <f>0.4/K2</f>
        <v>1.1758511221970355E-2</v>
      </c>
      <c r="X2">
        <f>0.25/L2</f>
        <v>3.7004681240195611E-2</v>
      </c>
      <c r="Y2">
        <f>(V2*J2+W2*K2+X2*L2)/M2</f>
        <v>9.8544206819109158E-3</v>
      </c>
      <c r="Z2">
        <v>0</v>
      </c>
      <c r="AA2">
        <v>0</v>
      </c>
      <c r="AB2">
        <v>0</v>
      </c>
      <c r="AC2">
        <v>0</v>
      </c>
      <c r="AD2">
        <f>$Z2*U2</f>
        <v>0</v>
      </c>
      <c r="AE2">
        <f t="shared" ref="AE2:AE8" si="3">$Z2*Q2</f>
        <v>0</v>
      </c>
      <c r="AF2">
        <f>$AA2*I2</f>
        <v>0</v>
      </c>
      <c r="AG2">
        <v>0</v>
      </c>
      <c r="AH2">
        <f>H2+E2</f>
        <v>41.348748799999996</v>
      </c>
      <c r="AI2">
        <f>U2-AD2</f>
        <v>129.383557</v>
      </c>
      <c r="AJ2">
        <f>Q2-AE2</f>
        <v>0</v>
      </c>
      <c r="AK2">
        <f>I2-AF2</f>
        <v>60.377878199999998</v>
      </c>
      <c r="AL2">
        <f>(F2-AG2)</f>
        <v>1.6452449999999998</v>
      </c>
      <c r="AM2">
        <v>0.4</v>
      </c>
      <c r="AN2">
        <v>0</v>
      </c>
    </row>
    <row r="3" spans="1:40" x14ac:dyDescent="0.2">
      <c r="A3">
        <v>2025</v>
      </c>
      <c r="B3">
        <v>104.52195</v>
      </c>
      <c r="C3">
        <v>2.676447</v>
      </c>
      <c r="D3">
        <f>C3+D2</f>
        <v>5.4185219999999994</v>
      </c>
      <c r="E3">
        <f t="shared" ref="E3:E28" si="4">D3*$AM3</f>
        <v>2.1674088</v>
      </c>
      <c r="F3">
        <f t="shared" ref="F3:F28" si="5">D3*(1-$AM3)</f>
        <v>3.2511131999999994</v>
      </c>
      <c r="G3">
        <f t="shared" si="0"/>
        <v>99.103428000000008</v>
      </c>
      <c r="H3">
        <f t="shared" ref="H3:H28" si="6">G3*$AM3</f>
        <v>39.641371200000009</v>
      </c>
      <c r="I3">
        <f t="shared" ref="I3:I28" si="7">G3*(1-$AM3)</f>
        <v>59.462056799999999</v>
      </c>
      <c r="J3">
        <v>89.620040000000003</v>
      </c>
      <c r="K3">
        <v>34.380152000000002</v>
      </c>
      <c r="L3">
        <v>6.7485489999999997</v>
      </c>
      <c r="M3">
        <v>130.74874</v>
      </c>
      <c r="N3">
        <f>J3-R3</f>
        <v>1.6352959999999968</v>
      </c>
      <c r="O3">
        <f t="shared" si="1"/>
        <v>0.76223999999999847</v>
      </c>
      <c r="P3">
        <f t="shared" si="1"/>
        <v>0.24264699999999984</v>
      </c>
      <c r="Q3">
        <f t="shared" si="1"/>
        <v>2.6401830000000075</v>
      </c>
      <c r="R3">
        <f>R2*(1-V2)</f>
        <v>87.984744000000006</v>
      </c>
      <c r="S3">
        <f>S2*(1-W2)</f>
        <v>33.617912000000004</v>
      </c>
      <c r="T3">
        <f>T2*(1-X2)</f>
        <v>6.5059019999999999</v>
      </c>
      <c r="U3">
        <f>U2*(1-Y2)</f>
        <v>128.10855699999999</v>
      </c>
      <c r="V3">
        <f>V2</f>
        <v>7.0534003574144162E-3</v>
      </c>
      <c r="W3">
        <f>W2</f>
        <v>1.1758511221970355E-2</v>
      </c>
      <c r="X3">
        <f>X2</f>
        <v>3.7004681240195611E-2</v>
      </c>
      <c r="Y3">
        <f t="shared" ref="Y3:Y28" si="8">(V3*J3+W3*K3+X3*L3)/M3</f>
        <v>9.8365256128004116E-3</v>
      </c>
      <c r="Z3">
        <v>0</v>
      </c>
      <c r="AA3">
        <v>0</v>
      </c>
      <c r="AB3">
        <v>0</v>
      </c>
      <c r="AC3">
        <v>0</v>
      </c>
      <c r="AD3">
        <f t="shared" ref="AD3:AD28" si="9">$Z3*U3</f>
        <v>0</v>
      </c>
      <c r="AE3">
        <f t="shared" si="3"/>
        <v>0</v>
      </c>
      <c r="AF3">
        <f t="shared" ref="AF3:AF28" si="10">$AA3*I3</f>
        <v>0</v>
      </c>
      <c r="AG3">
        <v>0</v>
      </c>
      <c r="AH3">
        <f t="shared" ref="AH3:AH27" si="11">H3+E3</f>
        <v>41.808780000000006</v>
      </c>
      <c r="AI3">
        <f t="shared" ref="AI3:AI28" si="12">U3-AD3</f>
        <v>128.10855699999999</v>
      </c>
      <c r="AJ3">
        <f t="shared" ref="AJ3:AJ28" si="13">Q3-AE3</f>
        <v>2.6401830000000075</v>
      </c>
      <c r="AK3">
        <f t="shared" ref="AK3:AK28" si="14">I3-AF3</f>
        <v>59.462056799999999</v>
      </c>
      <c r="AL3">
        <f t="shared" ref="AL3:AL27" si="15">(F3-AG3)</f>
        <v>3.2511131999999994</v>
      </c>
      <c r="AM3">
        <v>0.4</v>
      </c>
      <c r="AN3">
        <v>0</v>
      </c>
    </row>
    <row r="4" spans="1:40" x14ac:dyDescent="0.2">
      <c r="A4">
        <v>2026</v>
      </c>
      <c r="B4">
        <v>105.93501999999999</v>
      </c>
      <c r="C4">
        <v>2.951616</v>
      </c>
      <c r="D4">
        <f t="shared" ref="D4:D28" si="16">C4+D3</f>
        <v>8.370137999999999</v>
      </c>
      <c r="E4">
        <f t="shared" si="4"/>
        <v>3.3480551999999997</v>
      </c>
      <c r="F4">
        <f t="shared" si="5"/>
        <v>5.0220827999999988</v>
      </c>
      <c r="G4">
        <f t="shared" si="0"/>
        <v>97.564881999999997</v>
      </c>
      <c r="H4">
        <f t="shared" si="6"/>
        <v>39.025952799999999</v>
      </c>
      <c r="I4">
        <f t="shared" si="7"/>
        <v>58.538929199999998</v>
      </c>
      <c r="J4">
        <v>90.630319999999998</v>
      </c>
      <c r="K4">
        <v>34.797908</v>
      </c>
      <c r="L4">
        <v>6.7703420000000003</v>
      </c>
      <c r="M4">
        <v>132.19856999999999</v>
      </c>
      <c r="N4">
        <f t="shared" ref="N4:Q28" si="17">J4-R4</f>
        <v>3.2661676247766138</v>
      </c>
      <c r="O4">
        <f t="shared" si="1"/>
        <v>1.4171165925163223</v>
      </c>
      <c r="P4">
        <f t="shared" si="1"/>
        <v>0.31032873149210349</v>
      </c>
      <c r="Q4">
        <f t="shared" si="1"/>
        <v>4.9936139417316383</v>
      </c>
      <c r="R4">
        <f t="shared" ref="R4:U28" si="18">R3*(1-$V3)</f>
        <v>87.364152375223384</v>
      </c>
      <c r="S4">
        <f t="shared" si="18"/>
        <v>33.380791407483677</v>
      </c>
      <c r="T4">
        <f t="shared" si="18"/>
        <v>6.4600132685078968</v>
      </c>
      <c r="U4">
        <f t="shared" si="18"/>
        <v>127.20495605826835</v>
      </c>
      <c r="V4">
        <f t="shared" ref="V4:X28" si="19">V3</f>
        <v>7.0534003574144162E-3</v>
      </c>
      <c r="W4">
        <f t="shared" si="19"/>
        <v>1.1758511221970355E-2</v>
      </c>
      <c r="X4">
        <f t="shared" si="19"/>
        <v>3.7004681240195611E-2</v>
      </c>
      <c r="Y4">
        <f t="shared" si="8"/>
        <v>9.8258087874686043E-3</v>
      </c>
      <c r="Z4">
        <v>0</v>
      </c>
      <c r="AA4">
        <v>0</v>
      </c>
      <c r="AB4">
        <v>0</v>
      </c>
      <c r="AC4">
        <v>0</v>
      </c>
      <c r="AD4">
        <f t="shared" si="9"/>
        <v>0</v>
      </c>
      <c r="AE4">
        <f t="shared" si="3"/>
        <v>0</v>
      </c>
      <c r="AF4">
        <f t="shared" si="10"/>
        <v>0</v>
      </c>
      <c r="AG4">
        <v>0</v>
      </c>
      <c r="AH4">
        <f t="shared" si="11"/>
        <v>42.374007999999996</v>
      </c>
      <c r="AI4">
        <f t="shared" si="12"/>
        <v>127.20495605826835</v>
      </c>
      <c r="AJ4">
        <f t="shared" si="13"/>
        <v>4.9936139417316383</v>
      </c>
      <c r="AK4">
        <f t="shared" si="14"/>
        <v>58.538929199999998</v>
      </c>
      <c r="AL4">
        <f t="shared" si="15"/>
        <v>5.0220827999999988</v>
      </c>
      <c r="AM4">
        <v>0.4</v>
      </c>
      <c r="AN4">
        <v>0</v>
      </c>
    </row>
    <row r="5" spans="1:40" x14ac:dyDescent="0.2">
      <c r="A5">
        <v>2027</v>
      </c>
      <c r="B5">
        <v>107.51918000000001</v>
      </c>
      <c r="C5">
        <v>3.1368719999999999</v>
      </c>
      <c r="D5">
        <f t="shared" si="16"/>
        <v>11.507009999999999</v>
      </c>
      <c r="E5">
        <f t="shared" si="4"/>
        <v>4.6028039999999999</v>
      </c>
      <c r="F5">
        <f t="shared" si="5"/>
        <v>6.9042059999999994</v>
      </c>
      <c r="G5">
        <f t="shared" si="0"/>
        <v>96.012170000000012</v>
      </c>
      <c r="H5">
        <f t="shared" si="6"/>
        <v>38.404868000000008</v>
      </c>
      <c r="I5">
        <f t="shared" si="7"/>
        <v>57.607302000000004</v>
      </c>
      <c r="J5">
        <v>91.639303999999996</v>
      </c>
      <c r="K5">
        <v>35.233668000000002</v>
      </c>
      <c r="L5">
        <v>6.7927460000000002</v>
      </c>
      <c r="M5">
        <v>133.665718</v>
      </c>
      <c r="N5">
        <f t="shared" si="17"/>
        <v>4.8913659683652213</v>
      </c>
      <c r="O5">
        <f t="shared" si="1"/>
        <v>2.088324678560646</v>
      </c>
      <c r="P5">
        <f t="shared" si="1"/>
        <v>0.37829779138909903</v>
      </c>
      <c r="Q5">
        <f t="shared" si="1"/>
        <v>7.3579894242579229</v>
      </c>
      <c r="R5">
        <f t="shared" si="18"/>
        <v>86.747938031634774</v>
      </c>
      <c r="S5">
        <f t="shared" si="18"/>
        <v>33.145343321439356</v>
      </c>
      <c r="T5">
        <f t="shared" si="18"/>
        <v>6.4144482086109011</v>
      </c>
      <c r="U5">
        <f t="shared" si="18"/>
        <v>126.30772857574208</v>
      </c>
      <c r="V5">
        <f t="shared" si="19"/>
        <v>7.0534003574144162E-3</v>
      </c>
      <c r="W5">
        <f t="shared" si="19"/>
        <v>1.1758511221970355E-2</v>
      </c>
      <c r="X5">
        <f t="shared" si="19"/>
        <v>3.7004681240195611E-2</v>
      </c>
      <c r="Y5">
        <f t="shared" si="8"/>
        <v>9.8157373503324156E-3</v>
      </c>
      <c r="Z5">
        <v>0</v>
      </c>
      <c r="AA5">
        <v>0</v>
      </c>
      <c r="AB5">
        <v>0</v>
      </c>
      <c r="AC5">
        <v>0</v>
      </c>
      <c r="AD5">
        <f t="shared" si="9"/>
        <v>0</v>
      </c>
      <c r="AE5">
        <f t="shared" si="3"/>
        <v>0</v>
      </c>
      <c r="AF5">
        <f t="shared" si="10"/>
        <v>0</v>
      </c>
      <c r="AG5">
        <v>0</v>
      </c>
      <c r="AH5">
        <f t="shared" si="11"/>
        <v>43.007672000000007</v>
      </c>
      <c r="AI5">
        <f t="shared" si="12"/>
        <v>126.30772857574208</v>
      </c>
      <c r="AJ5">
        <f t="shared" si="13"/>
        <v>7.3579894242579229</v>
      </c>
      <c r="AK5">
        <f t="shared" si="14"/>
        <v>57.607302000000004</v>
      </c>
      <c r="AL5">
        <f t="shared" si="15"/>
        <v>6.9042059999999994</v>
      </c>
      <c r="AM5">
        <v>0.4</v>
      </c>
      <c r="AN5">
        <v>0</v>
      </c>
    </row>
    <row r="6" spans="1:40" x14ac:dyDescent="0.2">
      <c r="A6">
        <v>2028</v>
      </c>
      <c r="B6">
        <v>109.194839</v>
      </c>
      <c r="C6">
        <v>3.2451020000000002</v>
      </c>
      <c r="D6">
        <f t="shared" si="16"/>
        <v>14.752112</v>
      </c>
      <c r="E6">
        <f t="shared" si="4"/>
        <v>5.9008448000000007</v>
      </c>
      <c r="F6">
        <f t="shared" si="5"/>
        <v>8.8512672000000006</v>
      </c>
      <c r="G6">
        <f t="shared" si="0"/>
        <v>94.442727000000005</v>
      </c>
      <c r="H6">
        <f t="shared" si="6"/>
        <v>37.777090800000003</v>
      </c>
      <c r="I6">
        <f t="shared" si="7"/>
        <v>56.665636200000002</v>
      </c>
      <c r="J6">
        <v>92.631463999999994</v>
      </c>
      <c r="K6">
        <v>35.702212000000003</v>
      </c>
      <c r="L6">
        <v>6.8042499999999997</v>
      </c>
      <c r="M6">
        <v>135.13792599999999</v>
      </c>
      <c r="N6">
        <f t="shared" si="17"/>
        <v>6.4953939054825156</v>
      </c>
      <c r="O6">
        <f t="shared" si="1"/>
        <v>2.7906560549907127</v>
      </c>
      <c r="P6">
        <f t="shared" si="1"/>
        <v>0.43504546267633071</v>
      </c>
      <c r="Q6">
        <f t="shared" si="1"/>
        <v>9.721096402138258</v>
      </c>
      <c r="R6">
        <f t="shared" si="18"/>
        <v>86.136070094517478</v>
      </c>
      <c r="S6">
        <f t="shared" si="18"/>
        <v>32.91155594500929</v>
      </c>
      <c r="T6">
        <f t="shared" si="18"/>
        <v>6.369204537323669</v>
      </c>
      <c r="U6">
        <f t="shared" si="18"/>
        <v>125.41682959786174</v>
      </c>
      <c r="V6">
        <f t="shared" si="19"/>
        <v>7.0534003574144162E-3</v>
      </c>
      <c r="W6">
        <f t="shared" si="19"/>
        <v>1.1758511221970355E-2</v>
      </c>
      <c r="X6">
        <f t="shared" si="19"/>
        <v>3.7004681240195611E-2</v>
      </c>
      <c r="Y6">
        <f t="shared" si="8"/>
        <v>9.8045071674785524E-3</v>
      </c>
      <c r="Z6">
        <v>0</v>
      </c>
      <c r="AA6">
        <v>0</v>
      </c>
      <c r="AB6">
        <v>0</v>
      </c>
      <c r="AC6">
        <v>0</v>
      </c>
      <c r="AD6">
        <f t="shared" si="9"/>
        <v>0</v>
      </c>
      <c r="AE6">
        <f t="shared" si="3"/>
        <v>0</v>
      </c>
      <c r="AF6">
        <f t="shared" si="10"/>
        <v>0</v>
      </c>
      <c r="AG6">
        <v>0</v>
      </c>
      <c r="AH6">
        <f t="shared" si="11"/>
        <v>43.677935600000005</v>
      </c>
      <c r="AI6">
        <f t="shared" si="12"/>
        <v>125.41682959786174</v>
      </c>
      <c r="AJ6">
        <f t="shared" si="13"/>
        <v>9.721096402138258</v>
      </c>
      <c r="AK6">
        <f t="shared" si="14"/>
        <v>56.665636200000002</v>
      </c>
      <c r="AL6">
        <f t="shared" si="15"/>
        <v>8.8512672000000006</v>
      </c>
      <c r="AM6">
        <v>0.4</v>
      </c>
      <c r="AN6">
        <v>0</v>
      </c>
    </row>
    <row r="7" spans="1:40" x14ac:dyDescent="0.2">
      <c r="A7">
        <v>2029</v>
      </c>
      <c r="B7">
        <v>110.865685</v>
      </c>
      <c r="C7">
        <v>3.2589950000000001</v>
      </c>
      <c r="D7">
        <f t="shared" si="16"/>
        <v>18.011106999999999</v>
      </c>
      <c r="E7">
        <f t="shared" si="4"/>
        <v>7.2044427999999998</v>
      </c>
      <c r="F7">
        <f t="shared" si="5"/>
        <v>10.806664199999998</v>
      </c>
      <c r="G7">
        <f t="shared" si="0"/>
        <v>92.854578000000004</v>
      </c>
      <c r="H7">
        <f t="shared" si="6"/>
        <v>37.141831200000006</v>
      </c>
      <c r="I7">
        <f t="shared" si="7"/>
        <v>55.712746799999998</v>
      </c>
      <c r="J7">
        <v>93.625664</v>
      </c>
      <c r="K7">
        <v>36.208348000000001</v>
      </c>
      <c r="L7">
        <v>6.8139190000000003</v>
      </c>
      <c r="M7">
        <v>136.647931</v>
      </c>
      <c r="N7">
        <f t="shared" si="17"/>
        <v>8.0971460930734622</v>
      </c>
      <c r="O7">
        <f t="shared" si="1"/>
        <v>3.5289304354563029</v>
      </c>
      <c r="P7">
        <f t="shared" si="1"/>
        <v>0.48963901223633588</v>
      </c>
      <c r="Q7">
        <f t="shared" si="1"/>
        <v>12.115716512849602</v>
      </c>
      <c r="R7">
        <f t="shared" si="18"/>
        <v>85.528517906926538</v>
      </c>
      <c r="S7">
        <f t="shared" si="18"/>
        <v>32.679417564543698</v>
      </c>
      <c r="T7">
        <f t="shared" si="18"/>
        <v>6.3242799877636644</v>
      </c>
      <c r="U7">
        <f t="shared" si="18"/>
        <v>124.5322144871504</v>
      </c>
      <c r="V7">
        <f t="shared" si="19"/>
        <v>7.0534003574144162E-3</v>
      </c>
      <c r="W7">
        <f t="shared" si="19"/>
        <v>1.1758511221970355E-2</v>
      </c>
      <c r="X7">
        <f t="shared" si="19"/>
        <v>3.7004681240195611E-2</v>
      </c>
      <c r="Y7">
        <f t="shared" si="8"/>
        <v>9.7936532884591015E-3</v>
      </c>
      <c r="Z7">
        <v>0</v>
      </c>
      <c r="AA7">
        <v>0</v>
      </c>
      <c r="AB7">
        <v>0</v>
      </c>
      <c r="AC7">
        <v>0</v>
      </c>
      <c r="AD7">
        <f t="shared" si="9"/>
        <v>0</v>
      </c>
      <c r="AE7">
        <f t="shared" si="3"/>
        <v>0</v>
      </c>
      <c r="AF7">
        <f t="shared" si="10"/>
        <v>0</v>
      </c>
      <c r="AG7">
        <v>0</v>
      </c>
      <c r="AH7">
        <f t="shared" si="11"/>
        <v>44.346274000000008</v>
      </c>
      <c r="AI7">
        <f t="shared" si="12"/>
        <v>124.5322144871504</v>
      </c>
      <c r="AJ7">
        <f t="shared" si="13"/>
        <v>12.115716512849602</v>
      </c>
      <c r="AK7">
        <f t="shared" si="14"/>
        <v>55.712746799999998</v>
      </c>
      <c r="AL7">
        <f t="shared" si="15"/>
        <v>10.806664199999998</v>
      </c>
      <c r="AM7">
        <v>0.4</v>
      </c>
      <c r="AN7">
        <v>0</v>
      </c>
    </row>
    <row r="8" spans="1:40" x14ac:dyDescent="0.2">
      <c r="A8">
        <v>2030</v>
      </c>
      <c r="B8">
        <v>112.493584</v>
      </c>
      <c r="C8">
        <v>3.2359849999999999</v>
      </c>
      <c r="D8">
        <f t="shared" si="16"/>
        <v>21.247091999999999</v>
      </c>
      <c r="E8">
        <f t="shared" si="4"/>
        <v>8.4988367999999994</v>
      </c>
      <c r="F8">
        <f t="shared" si="5"/>
        <v>12.748255199999999</v>
      </c>
      <c r="G8">
        <f t="shared" si="0"/>
        <v>91.246492000000003</v>
      </c>
      <c r="H8">
        <f t="shared" si="6"/>
        <v>36.498596800000001</v>
      </c>
      <c r="I8">
        <f t="shared" si="7"/>
        <v>54.747895200000002</v>
      </c>
      <c r="J8">
        <v>94.613568000000001</v>
      </c>
      <c r="K8">
        <v>36.726568</v>
      </c>
      <c r="L8">
        <v>6.8189890000000002</v>
      </c>
      <c r="M8">
        <v>138.15912499999999</v>
      </c>
      <c r="N8">
        <f t="shared" si="17"/>
        <v>9.6883169718472999</v>
      </c>
      <c r="O8">
        <f t="shared" si="1"/>
        <v>4.2776514509861485</v>
      </c>
      <c r="P8">
        <f t="shared" si="1"/>
        <v>0.53931669096241652</v>
      </c>
      <c r="Q8">
        <f t="shared" si="1"/>
        <v>14.505286079022866</v>
      </c>
      <c r="R8">
        <f t="shared" si="18"/>
        <v>84.925251028152701</v>
      </c>
      <c r="S8">
        <f t="shared" si="18"/>
        <v>32.448916549013852</v>
      </c>
      <c r="T8">
        <f t="shared" si="18"/>
        <v>6.2796723090375837</v>
      </c>
      <c r="U8">
        <f t="shared" si="18"/>
        <v>123.65383892097712</v>
      </c>
      <c r="V8">
        <f t="shared" si="19"/>
        <v>7.0534003574144162E-3</v>
      </c>
      <c r="W8">
        <f t="shared" si="19"/>
        <v>1.1758511221970355E-2</v>
      </c>
      <c r="X8">
        <f t="shared" si="19"/>
        <v>3.7004681240195611E-2</v>
      </c>
      <c r="Y8">
        <f t="shared" si="8"/>
        <v>9.7824276944813507E-3</v>
      </c>
      <c r="Z8">
        <v>0</v>
      </c>
      <c r="AA8">
        <v>0</v>
      </c>
      <c r="AB8">
        <v>0</v>
      </c>
      <c r="AC8">
        <v>0</v>
      </c>
      <c r="AD8">
        <f t="shared" si="9"/>
        <v>0</v>
      </c>
      <c r="AE8">
        <f t="shared" si="3"/>
        <v>0</v>
      </c>
      <c r="AF8">
        <f t="shared" si="10"/>
        <v>0</v>
      </c>
      <c r="AG8">
        <v>0</v>
      </c>
      <c r="AH8">
        <f t="shared" si="11"/>
        <v>44.997433600000001</v>
      </c>
      <c r="AI8">
        <f t="shared" si="12"/>
        <v>123.65383892097712</v>
      </c>
      <c r="AJ8">
        <f t="shared" si="13"/>
        <v>14.505286079022866</v>
      </c>
      <c r="AK8">
        <f t="shared" si="14"/>
        <v>54.747895200000002</v>
      </c>
      <c r="AL8">
        <f t="shared" si="15"/>
        <v>12.748255199999999</v>
      </c>
      <c r="AM8">
        <v>0.4</v>
      </c>
      <c r="AN8">
        <v>0</v>
      </c>
    </row>
    <row r="9" spans="1:40" x14ac:dyDescent="0.2">
      <c r="A9">
        <v>2031</v>
      </c>
      <c r="B9">
        <v>114.092934</v>
      </c>
      <c r="C9">
        <v>3.227938</v>
      </c>
      <c r="D9">
        <f t="shared" si="16"/>
        <v>24.475029999999997</v>
      </c>
      <c r="E9">
        <f t="shared" si="4"/>
        <v>9.790011999999999</v>
      </c>
      <c r="F9">
        <f t="shared" si="5"/>
        <v>14.685017999999998</v>
      </c>
      <c r="G9">
        <f t="shared" si="0"/>
        <v>89.61790400000001</v>
      </c>
      <c r="H9">
        <f t="shared" si="6"/>
        <v>35.847161600000007</v>
      </c>
      <c r="I9">
        <f t="shared" si="7"/>
        <v>53.770742400000003</v>
      </c>
      <c r="J9">
        <v>95.599119999999999</v>
      </c>
      <c r="K9">
        <v>37.247472000000002</v>
      </c>
      <c r="L9">
        <v>6.8253740000000001</v>
      </c>
      <c r="M9">
        <v>139.671966</v>
      </c>
      <c r="N9">
        <f t="shared" si="17"/>
        <v>11.272880767802775</v>
      </c>
      <c r="O9">
        <f t="shared" si="1"/>
        <v>5.0274306505706718</v>
      </c>
      <c r="P9">
        <f t="shared" si="1"/>
        <v>0.58999473387142753</v>
      </c>
      <c r="Q9">
        <f t="shared" si="1"/>
        <v>16.890307110663755</v>
      </c>
      <c r="R9">
        <f t="shared" si="18"/>
        <v>84.326239232197224</v>
      </c>
      <c r="S9">
        <f t="shared" si="18"/>
        <v>32.22004134942933</v>
      </c>
      <c r="T9">
        <f t="shared" si="18"/>
        <v>6.2353792661285725</v>
      </c>
      <c r="U9">
        <f t="shared" si="18"/>
        <v>122.78165888933624</v>
      </c>
      <c r="V9">
        <f t="shared" si="19"/>
        <v>7.0534003574144162E-3</v>
      </c>
      <c r="W9">
        <f t="shared" si="19"/>
        <v>1.1758511221970355E-2</v>
      </c>
      <c r="X9">
        <f t="shared" si="19"/>
        <v>3.7004681240195611E-2</v>
      </c>
      <c r="Y9">
        <f t="shared" si="8"/>
        <v>9.7717853695397216E-3</v>
      </c>
      <c r="Z9">
        <f>Z8+(Z$28/20)</f>
        <v>0.04</v>
      </c>
      <c r="AA9">
        <f>AA8+(AA$28/20)</f>
        <v>0.04</v>
      </c>
      <c r="AB9">
        <v>1</v>
      </c>
      <c r="AC9">
        <v>1</v>
      </c>
      <c r="AD9">
        <f t="shared" si="9"/>
        <v>4.9112663555734501</v>
      </c>
      <c r="AE9">
        <f>$AB9*(Q9-$Q$8)+($AJ$8*$AN9)</f>
        <v>3.1102853355920326</v>
      </c>
      <c r="AF9">
        <f t="shared" si="10"/>
        <v>2.1508296960000002</v>
      </c>
      <c r="AG9">
        <f>$AC9*(F9-$F$8)+($AL$8*AN9)</f>
        <v>2.5741755599999987</v>
      </c>
      <c r="AH9">
        <f t="shared" si="11"/>
        <v>45.637173600000004</v>
      </c>
      <c r="AI9">
        <f t="shared" si="12"/>
        <v>117.8703925337628</v>
      </c>
      <c r="AJ9">
        <f t="shared" si="13"/>
        <v>13.780021775071724</v>
      </c>
      <c r="AK9">
        <f t="shared" si="14"/>
        <v>51.619912704000001</v>
      </c>
      <c r="AL9">
        <f t="shared" si="15"/>
        <v>12.110842439999999</v>
      </c>
      <c r="AM9">
        <v>0.4</v>
      </c>
      <c r="AN9">
        <f>AN8+(AN$28/20)</f>
        <v>0.05</v>
      </c>
    </row>
    <row r="10" spans="1:40" x14ac:dyDescent="0.2">
      <c r="A10">
        <v>2032</v>
      </c>
      <c r="B10">
        <v>115.698303</v>
      </c>
      <c r="C10">
        <v>3.2548240000000002</v>
      </c>
      <c r="D10">
        <f t="shared" si="16"/>
        <v>27.729853999999996</v>
      </c>
      <c r="E10">
        <f t="shared" si="4"/>
        <v>11.091941599999998</v>
      </c>
      <c r="F10">
        <f t="shared" si="5"/>
        <v>16.637912399999998</v>
      </c>
      <c r="G10">
        <f t="shared" si="0"/>
        <v>87.968448999999993</v>
      </c>
      <c r="H10">
        <f t="shared" si="6"/>
        <v>35.1873796</v>
      </c>
      <c r="I10">
        <f t="shared" si="7"/>
        <v>52.781069399999993</v>
      </c>
      <c r="J10">
        <v>96.580712000000005</v>
      </c>
      <c r="K10">
        <v>37.754384000000002</v>
      </c>
      <c r="L10">
        <v>6.8344959999999997</v>
      </c>
      <c r="M10">
        <v>141.16959199999999</v>
      </c>
      <c r="N10">
        <f t="shared" si="17"/>
        <v>12.849259493742579</v>
      </c>
      <c r="O10">
        <f t="shared" si="1"/>
        <v>5.7616035017406446</v>
      </c>
      <c r="P10">
        <f t="shared" si="1"/>
        <v>0.64309736021575326</v>
      </c>
      <c r="Q10">
        <f t="shared" si="1"/>
        <v>19.253961307357727</v>
      </c>
      <c r="R10">
        <f t="shared" si="18"/>
        <v>83.731452506257426</v>
      </c>
      <c r="S10">
        <f t="shared" si="18"/>
        <v>31.992780498259357</v>
      </c>
      <c r="T10">
        <f t="shared" si="18"/>
        <v>6.1913986397842464</v>
      </c>
      <c r="U10">
        <f t="shared" si="18"/>
        <v>121.91563069264227</v>
      </c>
      <c r="V10">
        <f t="shared" si="19"/>
        <v>7.0534003574144162E-3</v>
      </c>
      <c r="W10">
        <f t="shared" si="19"/>
        <v>1.1758511221970355E-2</v>
      </c>
      <c r="X10">
        <f t="shared" si="19"/>
        <v>3.7004681240195611E-2</v>
      </c>
      <c r="Y10">
        <f t="shared" si="8"/>
        <v>9.7617773266647171E-3</v>
      </c>
      <c r="Z10">
        <f t="shared" ref="Z10:Z27" si="20">Z9+($Z$28/20)</f>
        <v>0.08</v>
      </c>
      <c r="AA10">
        <f t="shared" ref="AA10:AA27" si="21">AA9+(AA$28/20)</f>
        <v>0.08</v>
      </c>
      <c r="AB10">
        <v>1</v>
      </c>
      <c r="AC10">
        <v>1</v>
      </c>
      <c r="AD10">
        <f t="shared" si="9"/>
        <v>9.753250455411381</v>
      </c>
      <c r="AE10">
        <f t="shared" ref="AE10:AE28" si="22">$AB10*(Q10-$Q$8)+($AJ$8*$AN10)</f>
        <v>6.1992038362371478</v>
      </c>
      <c r="AF10">
        <f t="shared" si="10"/>
        <v>4.2224855519999993</v>
      </c>
      <c r="AG10">
        <f t="shared" ref="AG10:AG27" si="23">$AC10*(F10-$F$8)+($AL$8*AN10)</f>
        <v>5.1644827199999987</v>
      </c>
      <c r="AH10">
        <f t="shared" si="11"/>
        <v>46.279321199999998</v>
      </c>
      <c r="AI10">
        <f t="shared" si="12"/>
        <v>112.16238023723089</v>
      </c>
      <c r="AJ10">
        <f t="shared" si="13"/>
        <v>13.054757471120579</v>
      </c>
      <c r="AK10">
        <f t="shared" si="14"/>
        <v>48.558583847999991</v>
      </c>
      <c r="AL10">
        <f t="shared" si="15"/>
        <v>11.473429679999999</v>
      </c>
      <c r="AM10">
        <v>0.4</v>
      </c>
      <c r="AN10">
        <f t="shared" ref="AN10:AN27" si="24">AN9+(AN$28/20)</f>
        <v>0.1</v>
      </c>
    </row>
    <row r="11" spans="1:40" x14ac:dyDescent="0.2">
      <c r="A11">
        <v>2033</v>
      </c>
      <c r="B11">
        <v>117.31967899999999</v>
      </c>
      <c r="C11">
        <v>3.2921589999999998</v>
      </c>
      <c r="D11">
        <f t="shared" si="16"/>
        <v>31.022012999999994</v>
      </c>
      <c r="E11">
        <f t="shared" si="4"/>
        <v>12.408805199999998</v>
      </c>
      <c r="F11">
        <f t="shared" si="5"/>
        <v>18.613207799999994</v>
      </c>
      <c r="G11">
        <f t="shared" si="0"/>
        <v>86.297665999999992</v>
      </c>
      <c r="H11">
        <f t="shared" si="6"/>
        <v>34.5190664</v>
      </c>
      <c r="I11">
        <f t="shared" si="7"/>
        <v>51.778599599999993</v>
      </c>
      <c r="J11">
        <v>97.542320000000004</v>
      </c>
      <c r="K11">
        <v>38.228700000000003</v>
      </c>
      <c r="L11">
        <v>6.8445270000000002</v>
      </c>
      <c r="M11">
        <v>142.61554799999999</v>
      </c>
      <c r="N11">
        <f t="shared" si="17"/>
        <v>14.401458950777041</v>
      </c>
      <c r="O11">
        <f t="shared" si="1"/>
        <v>6.4615773911417484</v>
      </c>
      <c r="P11">
        <f t="shared" si="1"/>
        <v>0.69679877359450337</v>
      </c>
      <c r="Q11">
        <f t="shared" si="1"/>
        <v>21.559837060459614</v>
      </c>
      <c r="R11">
        <f t="shared" si="18"/>
        <v>83.140861049222963</v>
      </c>
      <c r="S11">
        <f t="shared" si="18"/>
        <v>31.767122608858255</v>
      </c>
      <c r="T11">
        <f t="shared" si="18"/>
        <v>6.1477282264054969</v>
      </c>
      <c r="U11">
        <f t="shared" si="18"/>
        <v>121.05571093954038</v>
      </c>
      <c r="V11">
        <f t="shared" si="19"/>
        <v>7.0534003574144162E-3</v>
      </c>
      <c r="W11">
        <f t="shared" si="19"/>
        <v>1.1758511221970355E-2</v>
      </c>
      <c r="X11">
        <f t="shared" si="19"/>
        <v>3.7004681240195611E-2</v>
      </c>
      <c r="Y11">
        <f t="shared" si="8"/>
        <v>9.7520725620833561E-3</v>
      </c>
      <c r="Z11">
        <f t="shared" si="20"/>
        <v>0.12</v>
      </c>
      <c r="AA11">
        <f t="shared" si="21"/>
        <v>0.12</v>
      </c>
      <c r="AB11">
        <v>1</v>
      </c>
      <c r="AC11">
        <v>1</v>
      </c>
      <c r="AD11">
        <f t="shared" si="9"/>
        <v>14.526685312744844</v>
      </c>
      <c r="AE11">
        <f t="shared" si="22"/>
        <v>9.2303438932901791</v>
      </c>
      <c r="AF11">
        <f t="shared" si="10"/>
        <v>6.2134319519999988</v>
      </c>
      <c r="AG11">
        <f t="shared" si="23"/>
        <v>7.7771908799999956</v>
      </c>
      <c r="AH11">
        <f t="shared" si="11"/>
        <v>46.927871599999996</v>
      </c>
      <c r="AI11">
        <f t="shared" si="12"/>
        <v>106.52902562679553</v>
      </c>
      <c r="AJ11">
        <f t="shared" si="13"/>
        <v>12.329493167169435</v>
      </c>
      <c r="AK11">
        <f t="shared" si="14"/>
        <v>45.565167647999992</v>
      </c>
      <c r="AL11">
        <f t="shared" si="15"/>
        <v>10.836016919999999</v>
      </c>
      <c r="AM11">
        <v>0.4</v>
      </c>
      <c r="AN11">
        <f t="shared" si="24"/>
        <v>0.15000000000000002</v>
      </c>
    </row>
    <row r="12" spans="1:40" x14ac:dyDescent="0.2">
      <c r="A12">
        <v>2034</v>
      </c>
      <c r="B12">
        <v>118.94864699999999</v>
      </c>
      <c r="C12">
        <v>3.3216220000000001</v>
      </c>
      <c r="D12">
        <f t="shared" si="16"/>
        <v>34.343634999999992</v>
      </c>
      <c r="E12">
        <f t="shared" si="4"/>
        <v>13.737453999999998</v>
      </c>
      <c r="F12">
        <f t="shared" si="5"/>
        <v>20.606180999999996</v>
      </c>
      <c r="G12">
        <f t="shared" si="0"/>
        <v>84.605012000000002</v>
      </c>
      <c r="H12">
        <f t="shared" si="6"/>
        <v>33.842004800000005</v>
      </c>
      <c r="I12">
        <f t="shared" si="7"/>
        <v>50.763007199999997</v>
      </c>
      <c r="J12">
        <v>98.475399999999993</v>
      </c>
      <c r="K12">
        <v>38.669908</v>
      </c>
      <c r="L12">
        <v>6.8523969999999998</v>
      </c>
      <c r="M12">
        <v>143.997705</v>
      </c>
      <c r="N12">
        <f t="shared" si="17"/>
        <v>15.920964729817356</v>
      </c>
      <c r="O12">
        <f t="shared" si="1"/>
        <v>7.1268516251050933</v>
      </c>
      <c r="P12">
        <f t="shared" si="1"/>
        <v>0.74803116206391795</v>
      </c>
      <c r="Q12">
        <f t="shared" si="1"/>
        <v>23.795848455267631</v>
      </c>
      <c r="R12">
        <f t="shared" si="18"/>
        <v>82.554435270182637</v>
      </c>
      <c r="S12">
        <f t="shared" si="18"/>
        <v>31.543056374894906</v>
      </c>
      <c r="T12">
        <f t="shared" si="18"/>
        <v>6.1043658379360819</v>
      </c>
      <c r="U12">
        <f t="shared" si="18"/>
        <v>120.20185654473237</v>
      </c>
      <c r="V12">
        <f t="shared" si="19"/>
        <v>7.0534003574144162E-3</v>
      </c>
      <c r="W12">
        <f t="shared" si="19"/>
        <v>1.1758511221970355E-2</v>
      </c>
      <c r="X12">
        <f t="shared" si="19"/>
        <v>3.7004681240195611E-2</v>
      </c>
      <c r="Y12">
        <f t="shared" si="8"/>
        <v>9.7422228739226183E-3</v>
      </c>
      <c r="Z12">
        <f t="shared" si="20"/>
        <v>0.16</v>
      </c>
      <c r="AA12">
        <f t="shared" si="21"/>
        <v>0.16</v>
      </c>
      <c r="AB12">
        <v>1</v>
      </c>
      <c r="AC12">
        <v>1</v>
      </c>
      <c r="AD12">
        <f t="shared" si="9"/>
        <v>19.232297047157179</v>
      </c>
      <c r="AE12">
        <f t="shared" si="22"/>
        <v>12.191619592049339</v>
      </c>
      <c r="AF12">
        <f t="shared" si="10"/>
        <v>8.1220811519999998</v>
      </c>
      <c r="AG12">
        <f t="shared" si="23"/>
        <v>10.407576839999997</v>
      </c>
      <c r="AH12">
        <f t="shared" si="11"/>
        <v>47.579458800000005</v>
      </c>
      <c r="AI12">
        <f t="shared" si="12"/>
        <v>100.96955949757519</v>
      </c>
      <c r="AJ12">
        <f t="shared" si="13"/>
        <v>11.604228863218292</v>
      </c>
      <c r="AK12">
        <f t="shared" si="14"/>
        <v>42.640926047999997</v>
      </c>
      <c r="AL12">
        <f t="shared" si="15"/>
        <v>10.198604159999999</v>
      </c>
      <c r="AM12">
        <v>0.4</v>
      </c>
      <c r="AN12">
        <f t="shared" si="24"/>
        <v>0.2</v>
      </c>
    </row>
    <row r="13" spans="1:40" x14ac:dyDescent="0.2">
      <c r="A13">
        <v>2035</v>
      </c>
      <c r="B13">
        <v>120.570572</v>
      </c>
      <c r="C13">
        <v>3.3368820000000001</v>
      </c>
      <c r="D13">
        <f t="shared" si="16"/>
        <v>37.680516999999995</v>
      </c>
      <c r="E13">
        <f t="shared" si="4"/>
        <v>15.072206799999998</v>
      </c>
      <c r="F13">
        <f t="shared" si="5"/>
        <v>22.608310199999995</v>
      </c>
      <c r="G13">
        <f t="shared" si="0"/>
        <v>82.890055000000004</v>
      </c>
      <c r="H13">
        <f t="shared" si="6"/>
        <v>33.156022</v>
      </c>
      <c r="I13">
        <f t="shared" si="7"/>
        <v>49.734033000000004</v>
      </c>
      <c r="J13">
        <v>99.402584000000004</v>
      </c>
      <c r="K13">
        <v>39.096772000000001</v>
      </c>
      <c r="L13">
        <v>6.8581479999999999</v>
      </c>
      <c r="M13">
        <v>145.35750400000001</v>
      </c>
      <c r="N13">
        <f t="shared" si="17"/>
        <v>17.430438213058224</v>
      </c>
      <c r="O13">
        <f t="shared" si="1"/>
        <v>7.776201430213721</v>
      </c>
      <c r="P13">
        <f t="shared" si="1"/>
        <v>0.79683869824700437</v>
      </c>
      <c r="Q13">
        <f t="shared" si="1"/>
        <v>26.003479273182137</v>
      </c>
      <c r="R13">
        <f t="shared" si="18"/>
        <v>81.97214578694178</v>
      </c>
      <c r="S13">
        <f t="shared" si="18"/>
        <v>31.32057056978628</v>
      </c>
      <c r="T13">
        <f t="shared" si="18"/>
        <v>6.0613093017529955</v>
      </c>
      <c r="U13">
        <f t="shared" si="18"/>
        <v>119.35402472681787</v>
      </c>
      <c r="V13">
        <f t="shared" si="19"/>
        <v>7.0534003574144162E-3</v>
      </c>
      <c r="W13">
        <f t="shared" si="19"/>
        <v>1.1758511221970355E-2</v>
      </c>
      <c r="X13">
        <f t="shared" si="19"/>
        <v>3.7004681240195611E-2</v>
      </c>
      <c r="Y13">
        <f t="shared" si="8"/>
        <v>9.732071585767034E-3</v>
      </c>
      <c r="Z13">
        <f t="shared" si="20"/>
        <v>0.2</v>
      </c>
      <c r="AA13">
        <f t="shared" si="21"/>
        <v>0.2</v>
      </c>
      <c r="AB13">
        <v>1</v>
      </c>
      <c r="AC13">
        <v>1</v>
      </c>
      <c r="AD13">
        <f t="shared" si="9"/>
        <v>23.870804945363574</v>
      </c>
      <c r="AE13">
        <f t="shared" si="22"/>
        <v>15.124514713914987</v>
      </c>
      <c r="AF13">
        <f t="shared" si="10"/>
        <v>9.9468066000000022</v>
      </c>
      <c r="AG13">
        <f t="shared" si="23"/>
        <v>13.047118799999996</v>
      </c>
      <c r="AH13">
        <f t="shared" si="11"/>
        <v>48.228228799999997</v>
      </c>
      <c r="AI13">
        <f t="shared" si="12"/>
        <v>95.483219781454295</v>
      </c>
      <c r="AJ13">
        <f t="shared" si="13"/>
        <v>10.87896455926715</v>
      </c>
      <c r="AK13">
        <f t="shared" si="14"/>
        <v>39.787226400000002</v>
      </c>
      <c r="AL13">
        <f t="shared" si="15"/>
        <v>9.5611913999999985</v>
      </c>
      <c r="AM13">
        <v>0.4</v>
      </c>
      <c r="AN13">
        <f t="shared" si="24"/>
        <v>0.25</v>
      </c>
    </row>
    <row r="14" spans="1:40" x14ac:dyDescent="0.2">
      <c r="A14">
        <v>2036</v>
      </c>
      <c r="B14">
        <v>122.16892199999999</v>
      </c>
      <c r="C14">
        <v>3.3359239999999999</v>
      </c>
      <c r="D14">
        <f t="shared" si="16"/>
        <v>41.016440999999993</v>
      </c>
      <c r="E14">
        <f t="shared" si="4"/>
        <v>16.406576399999999</v>
      </c>
      <c r="F14">
        <f t="shared" si="5"/>
        <v>24.609864599999995</v>
      </c>
      <c r="G14">
        <f t="shared" si="0"/>
        <v>81.152480999999995</v>
      </c>
      <c r="H14">
        <f t="shared" si="6"/>
        <v>32.460992400000002</v>
      </c>
      <c r="I14">
        <f t="shared" si="7"/>
        <v>48.691488599999992</v>
      </c>
      <c r="J14">
        <v>100.314464</v>
      </c>
      <c r="K14">
        <v>39.507691999999999</v>
      </c>
      <c r="L14">
        <v>6.863969</v>
      </c>
      <c r="M14">
        <v>146.686126</v>
      </c>
      <c r="N14">
        <f t="shared" si="17"/>
        <v>18.920500575449864</v>
      </c>
      <c r="O14">
        <f t="shared" si="1"/>
        <v>8.4080379538650725</v>
      </c>
      <c r="P14">
        <f t="shared" si="1"/>
        <v>0.84541253944238814</v>
      </c>
      <c r="Q14">
        <f t="shared" si="1"/>
        <v>28.173952993849113</v>
      </c>
      <c r="R14">
        <f t="shared" si="18"/>
        <v>81.393963424550137</v>
      </c>
      <c r="S14">
        <f t="shared" si="18"/>
        <v>31.099654046134926</v>
      </c>
      <c r="T14">
        <f t="shared" si="18"/>
        <v>6.0185564605576118</v>
      </c>
      <c r="U14">
        <f t="shared" si="18"/>
        <v>118.51217300615089</v>
      </c>
      <c r="V14">
        <f t="shared" si="19"/>
        <v>7.0534003574144162E-3</v>
      </c>
      <c r="W14">
        <f t="shared" si="19"/>
        <v>1.1758511221970355E-2</v>
      </c>
      <c r="X14">
        <f t="shared" si="19"/>
        <v>3.7004681240195611E-2</v>
      </c>
      <c r="Y14">
        <f t="shared" si="8"/>
        <v>9.7221785027928834E-3</v>
      </c>
      <c r="Z14">
        <f t="shared" si="20"/>
        <v>0.24000000000000002</v>
      </c>
      <c r="AA14">
        <f t="shared" si="21"/>
        <v>0.24000000000000002</v>
      </c>
      <c r="AB14">
        <v>1</v>
      </c>
      <c r="AC14">
        <v>1</v>
      </c>
      <c r="AD14">
        <f t="shared" si="9"/>
        <v>28.442921521476215</v>
      </c>
      <c r="AE14">
        <f t="shared" si="22"/>
        <v>18.020252738533106</v>
      </c>
      <c r="AF14">
        <f t="shared" si="10"/>
        <v>11.685957263999999</v>
      </c>
      <c r="AG14">
        <f t="shared" si="23"/>
        <v>15.686085959999994</v>
      </c>
      <c r="AH14">
        <f t="shared" si="11"/>
        <v>48.867568800000001</v>
      </c>
      <c r="AI14">
        <f t="shared" si="12"/>
        <v>90.06925148467468</v>
      </c>
      <c r="AJ14">
        <f t="shared" si="13"/>
        <v>10.153700255316007</v>
      </c>
      <c r="AK14">
        <f t="shared" si="14"/>
        <v>37.00553133599999</v>
      </c>
      <c r="AL14">
        <f t="shared" si="15"/>
        <v>8.9237786400000001</v>
      </c>
      <c r="AM14">
        <v>0.4</v>
      </c>
      <c r="AN14">
        <f t="shared" si="24"/>
        <v>0.3</v>
      </c>
    </row>
    <row r="15" spans="1:40" x14ac:dyDescent="0.2">
      <c r="A15">
        <v>2037</v>
      </c>
      <c r="B15">
        <v>123.73555</v>
      </c>
      <c r="C15">
        <v>3.3269090000000001</v>
      </c>
      <c r="D15">
        <f t="shared" si="16"/>
        <v>44.343349999999994</v>
      </c>
      <c r="E15">
        <f t="shared" si="4"/>
        <v>17.73734</v>
      </c>
      <c r="F15">
        <f t="shared" si="5"/>
        <v>26.606009999999994</v>
      </c>
      <c r="G15">
        <f t="shared" si="0"/>
        <v>79.392200000000003</v>
      </c>
      <c r="H15">
        <f t="shared" si="6"/>
        <v>31.756880000000002</v>
      </c>
      <c r="I15">
        <f t="shared" si="7"/>
        <v>47.63532</v>
      </c>
      <c r="J15">
        <v>101.201392</v>
      </c>
      <c r="K15">
        <v>39.887748000000002</v>
      </c>
      <c r="L15">
        <v>6.8687569999999996</v>
      </c>
      <c r="M15">
        <v>147.957897</v>
      </c>
      <c r="N15">
        <f t="shared" si="17"/>
        <v>20.381532786159966</v>
      </c>
      <c r="O15">
        <f t="shared" si="1"/>
        <v>9.0074522648295492</v>
      </c>
      <c r="P15">
        <f t="shared" si="1"/>
        <v>0.89265182773240337</v>
      </c>
      <c r="Q15">
        <f t="shared" si="1"/>
        <v>30.281637797288653</v>
      </c>
      <c r="R15">
        <f t="shared" si="18"/>
        <v>80.819859213840033</v>
      </c>
      <c r="S15">
        <f t="shared" si="18"/>
        <v>30.880295735170453</v>
      </c>
      <c r="T15">
        <f t="shared" si="18"/>
        <v>5.9761051722675962</v>
      </c>
      <c r="U15">
        <f t="shared" si="18"/>
        <v>117.67625920271135</v>
      </c>
      <c r="V15">
        <f t="shared" si="19"/>
        <v>7.0534003574144162E-3</v>
      </c>
      <c r="W15">
        <f t="shared" si="19"/>
        <v>1.1758511221970355E-2</v>
      </c>
      <c r="X15">
        <f t="shared" si="19"/>
        <v>3.7004681240195611E-2</v>
      </c>
      <c r="Y15">
        <f t="shared" si="8"/>
        <v>9.712294236529492E-3</v>
      </c>
      <c r="Z15">
        <f t="shared" si="20"/>
        <v>0.28000000000000003</v>
      </c>
      <c r="AA15">
        <f t="shared" si="21"/>
        <v>0.28000000000000003</v>
      </c>
      <c r="AB15">
        <v>1</v>
      </c>
      <c r="AC15">
        <v>1</v>
      </c>
      <c r="AD15">
        <f t="shared" si="9"/>
        <v>32.949352576759182</v>
      </c>
      <c r="AE15">
        <f t="shared" si="22"/>
        <v>20.853201845923788</v>
      </c>
      <c r="AF15">
        <f t="shared" si="10"/>
        <v>13.3378896</v>
      </c>
      <c r="AG15">
        <f t="shared" si="23"/>
        <v>18.319644119999992</v>
      </c>
      <c r="AH15">
        <f t="shared" si="11"/>
        <v>49.494219999999999</v>
      </c>
      <c r="AI15">
        <f t="shared" si="12"/>
        <v>84.726906625952168</v>
      </c>
      <c r="AJ15">
        <f t="shared" si="13"/>
        <v>9.4284359513648646</v>
      </c>
      <c r="AK15">
        <f t="shared" si="14"/>
        <v>34.297430399999996</v>
      </c>
      <c r="AL15">
        <f t="shared" si="15"/>
        <v>8.2863658800000017</v>
      </c>
      <c r="AM15">
        <v>0.4</v>
      </c>
      <c r="AN15">
        <f t="shared" si="24"/>
        <v>0.35</v>
      </c>
    </row>
    <row r="16" spans="1:40" x14ac:dyDescent="0.2">
      <c r="A16">
        <v>2038</v>
      </c>
      <c r="B16">
        <v>125.27293400000001</v>
      </c>
      <c r="C16">
        <v>3.3203109999999998</v>
      </c>
      <c r="D16">
        <f t="shared" si="16"/>
        <v>47.663660999999991</v>
      </c>
      <c r="E16">
        <f t="shared" si="4"/>
        <v>19.065464399999996</v>
      </c>
      <c r="F16">
        <f t="shared" si="5"/>
        <v>28.598196599999994</v>
      </c>
      <c r="G16">
        <f t="shared" si="0"/>
        <v>77.609273000000016</v>
      </c>
      <c r="H16">
        <f t="shared" si="6"/>
        <v>31.043709200000009</v>
      </c>
      <c r="I16">
        <f t="shared" si="7"/>
        <v>46.565563800000007</v>
      </c>
      <c r="J16">
        <v>102.063192</v>
      </c>
      <c r="K16">
        <v>40.244427999999999</v>
      </c>
      <c r="L16">
        <v>6.872681</v>
      </c>
      <c r="M16">
        <v>149.18030099999999</v>
      </c>
      <c r="N16">
        <f t="shared" si="17"/>
        <v>21.813387610025046</v>
      </c>
      <c r="O16">
        <f t="shared" si="1"/>
        <v>9.5819433538050589</v>
      </c>
      <c r="P16">
        <f t="shared" si="1"/>
        <v>0.93872769009042223</v>
      </c>
      <c r="Q16">
        <f t="shared" si="1"/>
        <v>32.334059566008236</v>
      </c>
      <c r="R16">
        <f t="shared" si="18"/>
        <v>80.249804389974955</v>
      </c>
      <c r="S16">
        <f t="shared" si="18"/>
        <v>30.66248464619494</v>
      </c>
      <c r="T16">
        <f t="shared" si="18"/>
        <v>5.9339533099095778</v>
      </c>
      <c r="U16">
        <f t="shared" si="18"/>
        <v>116.84624143399175</v>
      </c>
      <c r="V16">
        <f t="shared" si="19"/>
        <v>7.0534003574144162E-3</v>
      </c>
      <c r="W16">
        <f t="shared" si="19"/>
        <v>1.1758511221970355E-2</v>
      </c>
      <c r="X16">
        <f t="shared" si="19"/>
        <v>3.7004681240195611E-2</v>
      </c>
      <c r="Y16">
        <f t="shared" si="8"/>
        <v>9.7025443249506727E-3</v>
      </c>
      <c r="Z16">
        <f t="shared" si="20"/>
        <v>0.32</v>
      </c>
      <c r="AA16">
        <f t="shared" si="21"/>
        <v>0.32</v>
      </c>
      <c r="AB16">
        <v>1</v>
      </c>
      <c r="AC16">
        <v>1</v>
      </c>
      <c r="AD16">
        <f t="shared" si="9"/>
        <v>37.390797258877363</v>
      </c>
      <c r="AE16">
        <f t="shared" si="22"/>
        <v>23.630887918594517</v>
      </c>
      <c r="AF16">
        <f t="shared" si="10"/>
        <v>14.900980416000003</v>
      </c>
      <c r="AG16">
        <f t="shared" si="23"/>
        <v>20.949243479999993</v>
      </c>
      <c r="AH16">
        <f t="shared" si="11"/>
        <v>50.109173600000005</v>
      </c>
      <c r="AI16">
        <f t="shared" si="12"/>
        <v>79.455444175114394</v>
      </c>
      <c r="AJ16">
        <f t="shared" si="13"/>
        <v>8.7031716474137184</v>
      </c>
      <c r="AK16">
        <f t="shared" si="14"/>
        <v>31.664583384000004</v>
      </c>
      <c r="AL16">
        <f t="shared" si="15"/>
        <v>7.6489531200000016</v>
      </c>
      <c r="AM16">
        <v>0.4</v>
      </c>
      <c r="AN16">
        <f t="shared" si="24"/>
        <v>0.39999999999999997</v>
      </c>
    </row>
    <row r="17" spans="1:40" x14ac:dyDescent="0.2">
      <c r="A17">
        <v>2039</v>
      </c>
      <c r="B17">
        <v>126.786034</v>
      </c>
      <c r="C17">
        <v>3.3185319999999998</v>
      </c>
      <c r="D17">
        <f t="shared" si="16"/>
        <v>50.982192999999988</v>
      </c>
      <c r="E17">
        <f t="shared" si="4"/>
        <v>20.392877199999997</v>
      </c>
      <c r="F17">
        <f t="shared" si="5"/>
        <v>30.589315799999991</v>
      </c>
      <c r="G17">
        <f t="shared" si="0"/>
        <v>75.803841000000006</v>
      </c>
      <c r="H17">
        <f t="shared" si="6"/>
        <v>30.321536400000003</v>
      </c>
      <c r="I17">
        <f t="shared" si="7"/>
        <v>45.482304599999999</v>
      </c>
      <c r="J17">
        <v>102.89217600000001</v>
      </c>
      <c r="K17">
        <v>40.580072000000001</v>
      </c>
      <c r="L17">
        <v>6.8761729999999996</v>
      </c>
      <c r="M17">
        <v>150.348421</v>
      </c>
      <c r="N17">
        <f t="shared" si="17"/>
        <v>23.20840560899174</v>
      </c>
      <c r="O17">
        <f t="shared" si="1"/>
        <v>10.133862133967746</v>
      </c>
      <c r="P17">
        <f t="shared" si="1"/>
        <v>0.98407423848741882</v>
      </c>
      <c r="Q17">
        <f t="shared" si="1"/>
        <v>34.326342887101305</v>
      </c>
      <c r="R17">
        <f t="shared" si="18"/>
        <v>79.683770391008267</v>
      </c>
      <c r="S17">
        <f t="shared" si="18"/>
        <v>30.446209866032255</v>
      </c>
      <c r="T17">
        <f t="shared" si="18"/>
        <v>5.8920987615125808</v>
      </c>
      <c r="U17">
        <f t="shared" si="18"/>
        <v>116.0220781128987</v>
      </c>
      <c r="V17">
        <f t="shared" si="19"/>
        <v>7.0534003574144162E-3</v>
      </c>
      <c r="W17">
        <f t="shared" si="19"/>
        <v>1.1758511221970355E-2</v>
      </c>
      <c r="X17">
        <f t="shared" si="19"/>
        <v>3.7004681240195611E-2</v>
      </c>
      <c r="Y17">
        <f t="shared" si="8"/>
        <v>9.6931615463480766E-3</v>
      </c>
      <c r="Z17">
        <f t="shared" si="20"/>
        <v>0.36</v>
      </c>
      <c r="AA17">
        <f t="shared" si="21"/>
        <v>0.36</v>
      </c>
      <c r="AB17">
        <v>1</v>
      </c>
      <c r="AC17">
        <v>1</v>
      </c>
      <c r="AD17">
        <f t="shared" si="9"/>
        <v>41.767948120643531</v>
      </c>
      <c r="AE17">
        <f t="shared" si="22"/>
        <v>26.348435543638729</v>
      </c>
      <c r="AF17">
        <f t="shared" si="10"/>
        <v>16.373629655999999</v>
      </c>
      <c r="AG17">
        <f t="shared" si="23"/>
        <v>23.577775439999989</v>
      </c>
      <c r="AH17">
        <f t="shared" si="11"/>
        <v>50.7144136</v>
      </c>
      <c r="AI17">
        <f t="shared" si="12"/>
        <v>74.254129992255173</v>
      </c>
      <c r="AJ17">
        <f t="shared" si="13"/>
        <v>7.9779073434625758</v>
      </c>
      <c r="AK17">
        <f t="shared" si="14"/>
        <v>29.108674944000001</v>
      </c>
      <c r="AL17">
        <f t="shared" si="15"/>
        <v>7.0115403600000015</v>
      </c>
      <c r="AM17">
        <v>0.4</v>
      </c>
      <c r="AN17">
        <f t="shared" si="24"/>
        <v>0.44999999999999996</v>
      </c>
    </row>
    <row r="18" spans="1:40" x14ac:dyDescent="0.2">
      <c r="A18">
        <v>2040</v>
      </c>
      <c r="B18">
        <v>128.28021200000001</v>
      </c>
      <c r="C18">
        <v>3.3219720000000001</v>
      </c>
      <c r="D18">
        <f t="shared" si="16"/>
        <v>54.30416499999999</v>
      </c>
      <c r="E18">
        <f t="shared" si="4"/>
        <v>21.721665999999999</v>
      </c>
      <c r="F18">
        <f t="shared" si="5"/>
        <v>32.582498999999991</v>
      </c>
      <c r="G18">
        <f t="shared" si="0"/>
        <v>73.976047000000023</v>
      </c>
      <c r="H18">
        <f t="shared" si="6"/>
        <v>29.590418800000009</v>
      </c>
      <c r="I18">
        <f t="shared" si="7"/>
        <v>44.385628200000014</v>
      </c>
      <c r="J18">
        <v>103.692392</v>
      </c>
      <c r="K18">
        <v>40.897655999999998</v>
      </c>
      <c r="L18">
        <v>6.8816290000000002</v>
      </c>
      <c r="M18">
        <v>151.471677</v>
      </c>
      <c r="N18">
        <f t="shared" si="17"/>
        <v>24.570663143547804</v>
      </c>
      <c r="O18">
        <f t="shared" si="17"/>
        <v>10.666195441518727</v>
      </c>
      <c r="P18">
        <f t="shared" si="17"/>
        <v>1.0310895699977936</v>
      </c>
      <c r="Q18">
        <f t="shared" si="17"/>
        <v>36.267949054330785</v>
      </c>
      <c r="R18">
        <f t="shared" si="18"/>
        <v>79.121728856452194</v>
      </c>
      <c r="S18">
        <f t="shared" si="18"/>
        <v>30.23146055848127</v>
      </c>
      <c r="T18">
        <f t="shared" si="18"/>
        <v>5.8505394300022067</v>
      </c>
      <c r="U18">
        <f t="shared" si="18"/>
        <v>115.20372794566921</v>
      </c>
      <c r="V18">
        <f t="shared" si="19"/>
        <v>7.0534003574144162E-3</v>
      </c>
      <c r="W18">
        <f t="shared" si="19"/>
        <v>1.1758511221970355E-2</v>
      </c>
      <c r="X18">
        <f t="shared" si="19"/>
        <v>3.7004681240195611E-2</v>
      </c>
      <c r="Y18">
        <f t="shared" si="8"/>
        <v>9.6845299295162945E-3</v>
      </c>
      <c r="Z18">
        <f t="shared" si="20"/>
        <v>0.39999999999999997</v>
      </c>
      <c r="AA18">
        <f t="shared" si="21"/>
        <v>0.39999999999999997</v>
      </c>
      <c r="AB18">
        <v>1</v>
      </c>
      <c r="AC18">
        <v>1</v>
      </c>
      <c r="AD18">
        <f t="shared" si="9"/>
        <v>46.081491178267683</v>
      </c>
      <c r="AE18">
        <f t="shared" si="22"/>
        <v>29.015306014819352</v>
      </c>
      <c r="AF18">
        <f t="shared" si="10"/>
        <v>17.754251280000005</v>
      </c>
      <c r="AG18">
        <f t="shared" si="23"/>
        <v>26.20837139999999</v>
      </c>
      <c r="AH18">
        <f t="shared" si="11"/>
        <v>51.312084800000008</v>
      </c>
      <c r="AI18">
        <f t="shared" si="12"/>
        <v>69.122236767401532</v>
      </c>
      <c r="AJ18">
        <f t="shared" si="13"/>
        <v>7.2526430395114332</v>
      </c>
      <c r="AK18">
        <f t="shared" si="14"/>
        <v>26.631376920000008</v>
      </c>
      <c r="AL18">
        <f t="shared" si="15"/>
        <v>6.3741276000000013</v>
      </c>
      <c r="AM18">
        <v>0.4</v>
      </c>
      <c r="AN18">
        <f t="shared" si="24"/>
        <v>0.49999999999999994</v>
      </c>
    </row>
    <row r="19" spans="1:40" x14ac:dyDescent="0.2">
      <c r="A19">
        <v>2041</v>
      </c>
      <c r="B19">
        <v>129.76083399999999</v>
      </c>
      <c r="C19">
        <v>3.3306</v>
      </c>
      <c r="D19">
        <f t="shared" si="16"/>
        <v>57.634764999999987</v>
      </c>
      <c r="E19">
        <f t="shared" si="4"/>
        <v>23.053905999999998</v>
      </c>
      <c r="F19">
        <f t="shared" si="5"/>
        <v>34.58085899999999</v>
      </c>
      <c r="G19">
        <f t="shared" si="0"/>
        <v>72.126069000000001</v>
      </c>
      <c r="H19">
        <f t="shared" si="6"/>
        <v>28.850427600000003</v>
      </c>
      <c r="I19">
        <f t="shared" si="7"/>
        <v>43.275641399999998</v>
      </c>
      <c r="J19">
        <v>104.460888</v>
      </c>
      <c r="K19">
        <v>41.193407999999998</v>
      </c>
      <c r="L19">
        <v>6.8880090000000003</v>
      </c>
      <c r="M19">
        <v>152.542305</v>
      </c>
      <c r="N19">
        <f t="shared" si="17"/>
        <v>25.897236374143148</v>
      </c>
      <c r="O19">
        <f t="shared" si="17"/>
        <v>11.175182036227078</v>
      </c>
      <c r="P19">
        <f t="shared" si="17"/>
        <v>1.0787357669044386</v>
      </c>
      <c r="Q19">
        <f t="shared" si="17"/>
        <v>38.151155070198243</v>
      </c>
      <c r="R19">
        <f t="shared" si="18"/>
        <v>78.563651625856849</v>
      </c>
      <c r="S19">
        <f t="shared" si="18"/>
        <v>30.01822596377292</v>
      </c>
      <c r="T19">
        <f t="shared" si="18"/>
        <v>5.8092732330955617</v>
      </c>
      <c r="U19">
        <f t="shared" si="18"/>
        <v>114.39114992980176</v>
      </c>
      <c r="V19">
        <f t="shared" si="19"/>
        <v>7.0534003574144162E-3</v>
      </c>
      <c r="W19">
        <f t="shared" si="19"/>
        <v>1.1758511221970355E-2</v>
      </c>
      <c r="X19">
        <f t="shared" si="19"/>
        <v>3.7004681240195611E-2</v>
      </c>
      <c r="Y19">
        <f t="shared" si="8"/>
        <v>9.6764382340940053E-3</v>
      </c>
      <c r="Z19">
        <f t="shared" si="20"/>
        <v>0.43999999999999995</v>
      </c>
      <c r="AA19">
        <f t="shared" si="21"/>
        <v>0.43999999999999995</v>
      </c>
      <c r="AB19">
        <v>1</v>
      </c>
      <c r="AC19">
        <v>1</v>
      </c>
      <c r="AD19">
        <f t="shared" si="9"/>
        <v>50.332105969112767</v>
      </c>
      <c r="AE19">
        <f t="shared" si="22"/>
        <v>31.623776334637952</v>
      </c>
      <c r="AF19">
        <f t="shared" si="10"/>
        <v>19.041282215999995</v>
      </c>
      <c r="AG19">
        <f t="shared" si="23"/>
        <v>28.844144159999988</v>
      </c>
      <c r="AH19">
        <f t="shared" si="11"/>
        <v>51.904333600000001</v>
      </c>
      <c r="AI19">
        <f t="shared" si="12"/>
        <v>64.059043960688996</v>
      </c>
      <c r="AJ19">
        <f t="shared" si="13"/>
        <v>6.5273787355602906</v>
      </c>
      <c r="AK19">
        <f t="shared" si="14"/>
        <v>24.234359184000002</v>
      </c>
      <c r="AL19">
        <f t="shared" si="15"/>
        <v>5.7367148400000012</v>
      </c>
      <c r="AM19">
        <v>0.4</v>
      </c>
      <c r="AN19">
        <f t="shared" si="24"/>
        <v>0.54999999999999993</v>
      </c>
    </row>
    <row r="20" spans="1:40" x14ac:dyDescent="0.2">
      <c r="A20">
        <v>2042</v>
      </c>
      <c r="B20">
        <v>131.231323</v>
      </c>
      <c r="C20">
        <v>3.3425159999999998</v>
      </c>
      <c r="D20">
        <f t="shared" si="16"/>
        <v>60.977280999999991</v>
      </c>
      <c r="E20">
        <f t="shared" si="4"/>
        <v>24.390912399999998</v>
      </c>
      <c r="F20">
        <f t="shared" si="5"/>
        <v>36.586368599999993</v>
      </c>
      <c r="G20">
        <f t="shared" si="0"/>
        <v>70.254042000000013</v>
      </c>
      <c r="H20">
        <f t="shared" si="6"/>
        <v>28.101616800000006</v>
      </c>
      <c r="I20">
        <f t="shared" si="7"/>
        <v>42.152425200000003</v>
      </c>
      <c r="J20">
        <v>105.20867200000001</v>
      </c>
      <c r="K20">
        <v>41.472396000000003</v>
      </c>
      <c r="L20">
        <v>6.8943719999999997</v>
      </c>
      <c r="M20">
        <v>153.57543999999999</v>
      </c>
      <c r="N20">
        <f t="shared" si="17"/>
        <v>27.199161262600754</v>
      </c>
      <c r="O20">
        <f t="shared" si="17"/>
        <v>11.665900601968907</v>
      </c>
      <c r="P20">
        <f t="shared" si="17"/>
        <v>1.1260738968030726</v>
      </c>
      <c r="Q20">
        <f t="shared" si="17"/>
        <v>39.991136647998147</v>
      </c>
      <c r="R20">
        <f t="shared" si="18"/>
        <v>78.009510737399253</v>
      </c>
      <c r="S20">
        <f t="shared" si="18"/>
        <v>29.806495398031096</v>
      </c>
      <c r="T20">
        <f t="shared" si="18"/>
        <v>5.7682981031969272</v>
      </c>
      <c r="U20">
        <f t="shared" si="18"/>
        <v>113.58430335200184</v>
      </c>
      <c r="V20">
        <f t="shared" si="19"/>
        <v>7.0534003574144162E-3</v>
      </c>
      <c r="W20">
        <f t="shared" si="19"/>
        <v>1.1758511221970355E-2</v>
      </c>
      <c r="X20">
        <f t="shared" si="19"/>
        <v>3.7004681240195611E-2</v>
      </c>
      <c r="Y20">
        <f t="shared" si="8"/>
        <v>9.6685808399261282E-3</v>
      </c>
      <c r="Z20">
        <f t="shared" si="20"/>
        <v>0.47999999999999993</v>
      </c>
      <c r="AA20">
        <f t="shared" si="21"/>
        <v>0.47999999999999993</v>
      </c>
      <c r="AB20">
        <v>1</v>
      </c>
      <c r="AC20">
        <v>1</v>
      </c>
      <c r="AD20">
        <f t="shared" si="9"/>
        <v>54.520465608960876</v>
      </c>
      <c r="AE20">
        <f t="shared" si="22"/>
        <v>34.189022216388999</v>
      </c>
      <c r="AF20">
        <f t="shared" si="10"/>
        <v>20.233164095999999</v>
      </c>
      <c r="AG20">
        <f t="shared" si="23"/>
        <v>31.487066519999992</v>
      </c>
      <c r="AH20">
        <f t="shared" si="11"/>
        <v>52.492529200000007</v>
      </c>
      <c r="AI20">
        <f t="shared" si="12"/>
        <v>59.063837743040963</v>
      </c>
      <c r="AJ20">
        <f t="shared" si="13"/>
        <v>5.802114431609148</v>
      </c>
      <c r="AK20">
        <f t="shared" si="14"/>
        <v>21.919261104000004</v>
      </c>
      <c r="AL20">
        <f t="shared" si="15"/>
        <v>5.0993020800000011</v>
      </c>
      <c r="AM20">
        <v>0.4</v>
      </c>
      <c r="AN20">
        <f t="shared" si="24"/>
        <v>0.6</v>
      </c>
    </row>
    <row r="21" spans="1:40" x14ac:dyDescent="0.2">
      <c r="A21">
        <v>2043</v>
      </c>
      <c r="B21">
        <v>132.69490099999999</v>
      </c>
      <c r="C21">
        <v>3.3574739999999998</v>
      </c>
      <c r="D21">
        <f t="shared" si="16"/>
        <v>64.334754999999987</v>
      </c>
      <c r="E21">
        <f t="shared" si="4"/>
        <v>25.733901999999997</v>
      </c>
      <c r="F21">
        <f t="shared" si="5"/>
        <v>38.600852999999994</v>
      </c>
      <c r="G21">
        <f t="shared" si="0"/>
        <v>68.360146</v>
      </c>
      <c r="H21">
        <f t="shared" si="6"/>
        <v>27.344058400000002</v>
      </c>
      <c r="I21">
        <f t="shared" si="7"/>
        <v>41.016087599999999</v>
      </c>
      <c r="J21">
        <v>105.923744</v>
      </c>
      <c r="K21">
        <v>41.742612000000001</v>
      </c>
      <c r="L21">
        <v>6.8997310000000001</v>
      </c>
      <c r="M21">
        <v>154.56608700000001</v>
      </c>
      <c r="N21">
        <f t="shared" si="17"/>
        <v>28.464465573517643</v>
      </c>
      <c r="O21">
        <f t="shared" si="17"/>
        <v>12.146353747262648</v>
      </c>
      <c r="P21">
        <f t="shared" si="17"/>
        <v>1.172119012705835</v>
      </c>
      <c r="Q21">
        <f t="shared" si="17"/>
        <v>41.782939213857844</v>
      </c>
      <c r="R21">
        <f t="shared" si="18"/>
        <v>77.459278426482356</v>
      </c>
      <c r="S21">
        <f t="shared" si="18"/>
        <v>29.596258252737353</v>
      </c>
      <c r="T21">
        <f t="shared" si="18"/>
        <v>5.7276119872941651</v>
      </c>
      <c r="U21">
        <f t="shared" si="18"/>
        <v>112.78314778614217</v>
      </c>
      <c r="V21">
        <f t="shared" si="19"/>
        <v>7.0534003574144162E-3</v>
      </c>
      <c r="W21">
        <f t="shared" si="19"/>
        <v>1.1758511221970355E-2</v>
      </c>
      <c r="X21">
        <f t="shared" si="19"/>
        <v>3.7004681240195611E-2</v>
      </c>
      <c r="Y21">
        <f t="shared" si="8"/>
        <v>9.6610836225848387E-3</v>
      </c>
      <c r="Z21">
        <f t="shared" si="20"/>
        <v>0.51999999999999991</v>
      </c>
      <c r="AA21">
        <f t="shared" si="21"/>
        <v>0.51999999999999991</v>
      </c>
      <c r="AB21">
        <v>1</v>
      </c>
      <c r="AC21">
        <v>1</v>
      </c>
      <c r="AD21">
        <f t="shared" si="9"/>
        <v>58.647236848793916</v>
      </c>
      <c r="AE21">
        <f t="shared" si="22"/>
        <v>36.706089086199839</v>
      </c>
      <c r="AF21">
        <f t="shared" si="10"/>
        <v>21.328365551999994</v>
      </c>
      <c r="AG21">
        <f t="shared" si="23"/>
        <v>34.138963679999996</v>
      </c>
      <c r="AH21">
        <f t="shared" si="11"/>
        <v>53.077960399999995</v>
      </c>
      <c r="AI21">
        <f t="shared" si="12"/>
        <v>54.13591093734825</v>
      </c>
      <c r="AJ21">
        <f t="shared" si="13"/>
        <v>5.0768501276580054</v>
      </c>
      <c r="AK21">
        <f t="shared" si="14"/>
        <v>19.687722048000005</v>
      </c>
      <c r="AL21">
        <f t="shared" si="15"/>
        <v>4.4618893199999974</v>
      </c>
      <c r="AM21">
        <v>0.4</v>
      </c>
      <c r="AN21">
        <f t="shared" si="24"/>
        <v>0.65</v>
      </c>
    </row>
    <row r="22" spans="1:40" x14ac:dyDescent="0.2">
      <c r="A22">
        <v>2044</v>
      </c>
      <c r="B22">
        <v>134.15536499999999</v>
      </c>
      <c r="C22">
        <v>3.3761589999999999</v>
      </c>
      <c r="D22">
        <f t="shared" si="16"/>
        <v>67.710913999999988</v>
      </c>
      <c r="E22">
        <f t="shared" si="4"/>
        <v>27.084365599999998</v>
      </c>
      <c r="F22">
        <f t="shared" si="5"/>
        <v>40.62654839999999</v>
      </c>
      <c r="G22">
        <f t="shared" si="0"/>
        <v>66.444451000000001</v>
      </c>
      <c r="H22">
        <f t="shared" si="6"/>
        <v>26.577780400000002</v>
      </c>
      <c r="I22">
        <f t="shared" si="7"/>
        <v>39.866670599999999</v>
      </c>
      <c r="J22">
        <v>106.61773599999999</v>
      </c>
      <c r="K22">
        <v>42.013559999999998</v>
      </c>
      <c r="L22">
        <v>6.9049379999999996</v>
      </c>
      <c r="M22">
        <v>155.53623400000001</v>
      </c>
      <c r="N22">
        <f t="shared" si="17"/>
        <v>29.704808875656056</v>
      </c>
      <c r="O22">
        <f t="shared" si="17"/>
        <v>12.626056005800631</v>
      </c>
      <c r="P22">
        <f t="shared" si="17"/>
        <v>1.217725153144146</v>
      </c>
      <c r="Q22">
        <f t="shared" si="17"/>
        <v>43.548590908762947</v>
      </c>
      <c r="R22">
        <f t="shared" si="18"/>
        <v>76.912927124343938</v>
      </c>
      <c r="S22">
        <f t="shared" si="18"/>
        <v>29.387503994199367</v>
      </c>
      <c r="T22">
        <f t="shared" si="18"/>
        <v>5.6872128468558536</v>
      </c>
      <c r="U22">
        <f t="shared" si="18"/>
        <v>111.98764309123706</v>
      </c>
      <c r="V22">
        <f t="shared" si="19"/>
        <v>7.0534003574144162E-3</v>
      </c>
      <c r="W22">
        <f t="shared" si="19"/>
        <v>1.1758511221970355E-2</v>
      </c>
      <c r="X22">
        <f t="shared" si="19"/>
        <v>3.7004681240195611E-2</v>
      </c>
      <c r="Y22">
        <f t="shared" si="8"/>
        <v>9.6540174916241988E-3</v>
      </c>
      <c r="Z22">
        <f t="shared" si="20"/>
        <v>0.55999999999999994</v>
      </c>
      <c r="AA22">
        <f t="shared" si="21"/>
        <v>0.55999999999999994</v>
      </c>
      <c r="AB22">
        <v>1</v>
      </c>
      <c r="AC22">
        <v>1</v>
      </c>
      <c r="AD22">
        <f t="shared" si="9"/>
        <v>62.713080131092745</v>
      </c>
      <c r="AE22">
        <f t="shared" si="22"/>
        <v>39.197005085056091</v>
      </c>
      <c r="AF22">
        <f t="shared" si="10"/>
        <v>22.325335535999997</v>
      </c>
      <c r="AG22">
        <f t="shared" si="23"/>
        <v>36.802071839999989</v>
      </c>
      <c r="AH22">
        <f t="shared" si="11"/>
        <v>53.662146</v>
      </c>
      <c r="AI22">
        <f t="shared" si="12"/>
        <v>49.274562960144316</v>
      </c>
      <c r="AJ22">
        <f t="shared" si="13"/>
        <v>4.3515858237068556</v>
      </c>
      <c r="AK22">
        <f t="shared" si="14"/>
        <v>17.541335064000002</v>
      </c>
      <c r="AL22">
        <f t="shared" si="15"/>
        <v>3.8244765600000008</v>
      </c>
      <c r="AM22">
        <v>0.4</v>
      </c>
      <c r="AN22">
        <f t="shared" si="24"/>
        <v>0.70000000000000007</v>
      </c>
    </row>
    <row r="23" spans="1:40" x14ac:dyDescent="0.2">
      <c r="A23">
        <v>2045</v>
      </c>
      <c r="B23">
        <v>135.616333</v>
      </c>
      <c r="C23">
        <v>3.3983430000000001</v>
      </c>
      <c r="D23">
        <f t="shared" si="16"/>
        <v>71.109256999999985</v>
      </c>
      <c r="E23">
        <f t="shared" si="4"/>
        <v>28.443702799999997</v>
      </c>
      <c r="F23">
        <f t="shared" si="5"/>
        <v>42.665554199999988</v>
      </c>
      <c r="G23">
        <f t="shared" si="0"/>
        <v>64.507076000000012</v>
      </c>
      <c r="H23">
        <f t="shared" si="6"/>
        <v>25.802830400000005</v>
      </c>
      <c r="I23">
        <f t="shared" si="7"/>
        <v>38.704245600000007</v>
      </c>
      <c r="J23">
        <v>107.31068</v>
      </c>
      <c r="K23">
        <v>42.284568</v>
      </c>
      <c r="L23">
        <v>6.9104179999999999</v>
      </c>
      <c r="M23">
        <v>156.50566499999999</v>
      </c>
      <c r="N23">
        <f t="shared" si="17"/>
        <v>30.940250543324709</v>
      </c>
      <c r="O23">
        <f t="shared" si="17"/>
        <v>13.104345836976837</v>
      </c>
      <c r="P23">
        <f t="shared" si="17"/>
        <v>1.2633193422708517</v>
      </c>
      <c r="Q23">
        <f t="shared" si="17"/>
        <v>45.307915590568669</v>
      </c>
      <c r="R23">
        <f t="shared" si="18"/>
        <v>76.370429456675296</v>
      </c>
      <c r="S23">
        <f t="shared" si="18"/>
        <v>29.180222163023164</v>
      </c>
      <c r="T23">
        <f t="shared" si="18"/>
        <v>5.6470986577291482</v>
      </c>
      <c r="U23">
        <f t="shared" si="18"/>
        <v>111.19774940943132</v>
      </c>
      <c r="V23">
        <f t="shared" si="19"/>
        <v>7.0534003574144162E-3</v>
      </c>
      <c r="W23">
        <f t="shared" si="19"/>
        <v>1.1758511221970355E-2</v>
      </c>
      <c r="X23">
        <f t="shared" si="19"/>
        <v>3.7004681240195611E-2</v>
      </c>
      <c r="Y23">
        <f t="shared" si="8"/>
        <v>9.6471049232439137E-3</v>
      </c>
      <c r="Z23">
        <f t="shared" si="20"/>
        <v>0.6</v>
      </c>
      <c r="AA23">
        <f t="shared" si="21"/>
        <v>0.6</v>
      </c>
      <c r="AB23">
        <v>1</v>
      </c>
      <c r="AC23">
        <v>1</v>
      </c>
      <c r="AD23">
        <f t="shared" si="9"/>
        <v>66.718649645658786</v>
      </c>
      <c r="AE23">
        <f t="shared" si="22"/>
        <v>41.681594070812956</v>
      </c>
      <c r="AF23">
        <f t="shared" si="10"/>
        <v>23.222547360000004</v>
      </c>
      <c r="AG23">
        <f t="shared" si="23"/>
        <v>39.478490399999991</v>
      </c>
      <c r="AH23">
        <f t="shared" si="11"/>
        <v>54.246533200000002</v>
      </c>
      <c r="AI23">
        <f t="shared" si="12"/>
        <v>44.479099763772538</v>
      </c>
      <c r="AJ23">
        <f t="shared" si="13"/>
        <v>3.626321519755713</v>
      </c>
      <c r="AK23">
        <f t="shared" si="14"/>
        <v>15.481698240000004</v>
      </c>
      <c r="AL23">
        <f t="shared" si="15"/>
        <v>3.1870637999999971</v>
      </c>
      <c r="AM23">
        <v>0.4</v>
      </c>
      <c r="AN23">
        <f t="shared" si="24"/>
        <v>0.75000000000000011</v>
      </c>
    </row>
    <row r="24" spans="1:40" x14ac:dyDescent="0.2">
      <c r="A24">
        <v>2046</v>
      </c>
      <c r="B24">
        <v>137.08107000000001</v>
      </c>
      <c r="C24">
        <v>3.4237730000000002</v>
      </c>
      <c r="D24">
        <f t="shared" si="16"/>
        <v>74.533029999999982</v>
      </c>
      <c r="E24">
        <f t="shared" si="4"/>
        <v>29.813211999999993</v>
      </c>
      <c r="F24">
        <f t="shared" si="5"/>
        <v>44.719817999999989</v>
      </c>
      <c r="G24">
        <f t="shared" si="0"/>
        <v>62.548040000000029</v>
      </c>
      <c r="H24">
        <f t="shared" si="6"/>
        <v>25.019216000000014</v>
      </c>
      <c r="I24">
        <f t="shared" si="7"/>
        <v>37.528824000000014</v>
      </c>
      <c r="J24">
        <v>107.999864</v>
      </c>
      <c r="K24">
        <v>42.555123999999999</v>
      </c>
      <c r="L24">
        <v>6.9140819999999996</v>
      </c>
      <c r="M24">
        <v>157.46906999999999</v>
      </c>
      <c r="N24">
        <f t="shared" si="17"/>
        <v>32.168105757750311</v>
      </c>
      <c r="O24">
        <f t="shared" si="17"/>
        <v>13.580721626410934</v>
      </c>
      <c r="P24">
        <f t="shared" si="17"/>
        <v>1.3068145899616326</v>
      </c>
      <c r="Q24">
        <f t="shared" si="17"/>
        <v>47.055642835996821</v>
      </c>
      <c r="R24">
        <f t="shared" si="18"/>
        <v>75.831758242249691</v>
      </c>
      <c r="S24">
        <f t="shared" si="18"/>
        <v>28.974402373589065</v>
      </c>
      <c r="T24">
        <f t="shared" si="18"/>
        <v>5.607267410038367</v>
      </c>
      <c r="U24">
        <f t="shared" si="18"/>
        <v>110.41342716400317</v>
      </c>
      <c r="V24">
        <f t="shared" si="19"/>
        <v>7.0534003574144162E-3</v>
      </c>
      <c r="W24">
        <f t="shared" si="19"/>
        <v>1.1758511221970355E-2</v>
      </c>
      <c r="X24">
        <f t="shared" si="19"/>
        <v>3.7004681240195611E-2</v>
      </c>
      <c r="Y24">
        <f t="shared" si="8"/>
        <v>9.6400174518286204E-3</v>
      </c>
      <c r="Z24">
        <f t="shared" si="20"/>
        <v>0.64</v>
      </c>
      <c r="AA24">
        <f t="shared" si="21"/>
        <v>0.64</v>
      </c>
      <c r="AB24">
        <v>1</v>
      </c>
      <c r="AC24">
        <v>1</v>
      </c>
      <c r="AD24">
        <f t="shared" si="9"/>
        <v>70.664593384962032</v>
      </c>
      <c r="AE24">
        <f t="shared" si="22"/>
        <v>44.15458562019225</v>
      </c>
      <c r="AF24">
        <f t="shared" si="10"/>
        <v>24.01844736000001</v>
      </c>
      <c r="AG24">
        <f t="shared" si="23"/>
        <v>42.170166959999989</v>
      </c>
      <c r="AH24">
        <f t="shared" si="11"/>
        <v>54.832428000000007</v>
      </c>
      <c r="AI24">
        <f t="shared" si="12"/>
        <v>39.748833779041135</v>
      </c>
      <c r="AJ24">
        <f t="shared" si="13"/>
        <v>2.9010572158045704</v>
      </c>
      <c r="AK24">
        <f t="shared" si="14"/>
        <v>13.510376640000004</v>
      </c>
      <c r="AL24">
        <f t="shared" si="15"/>
        <v>2.5496510400000005</v>
      </c>
      <c r="AM24">
        <v>0.4</v>
      </c>
      <c r="AN24">
        <f t="shared" si="24"/>
        <v>0.80000000000000016</v>
      </c>
    </row>
    <row r="25" spans="1:40" x14ac:dyDescent="0.2">
      <c r="A25">
        <v>2047</v>
      </c>
      <c r="B25">
        <v>138.55230700000001</v>
      </c>
      <c r="C25">
        <v>3.4518680000000002</v>
      </c>
      <c r="D25">
        <f t="shared" si="16"/>
        <v>77.984897999999987</v>
      </c>
      <c r="E25">
        <f t="shared" si="4"/>
        <v>31.193959199999995</v>
      </c>
      <c r="F25">
        <f t="shared" si="5"/>
        <v>46.790938799999992</v>
      </c>
      <c r="G25">
        <f t="shared" si="0"/>
        <v>60.567409000000026</v>
      </c>
      <c r="H25">
        <f t="shared" si="6"/>
        <v>24.226963600000012</v>
      </c>
      <c r="I25">
        <f t="shared" si="7"/>
        <v>36.340445400000014</v>
      </c>
      <c r="J25">
        <v>108.685976</v>
      </c>
      <c r="K25">
        <v>42.823943999999997</v>
      </c>
      <c r="L25">
        <v>6.9172450000000003</v>
      </c>
      <c r="M25">
        <v>158.427165</v>
      </c>
      <c r="N25">
        <f t="shared" si="17"/>
        <v>33.389089508439554</v>
      </c>
      <c r="O25">
        <f t="shared" si="17"/>
        <v>14.053909686468675</v>
      </c>
      <c r="P25">
        <f t="shared" si="17"/>
        <v>1.3495278919157165</v>
      </c>
      <c r="Q25">
        <f t="shared" si="17"/>
        <v>48.792527942618761</v>
      </c>
      <c r="R25">
        <f t="shared" si="18"/>
        <v>75.296886491560443</v>
      </c>
      <c r="S25">
        <f t="shared" si="18"/>
        <v>28.770034313531323</v>
      </c>
      <c r="T25">
        <f t="shared" si="18"/>
        <v>5.5677171080842838</v>
      </c>
      <c r="U25">
        <f t="shared" si="18"/>
        <v>109.63463705738124</v>
      </c>
      <c r="V25">
        <f t="shared" si="19"/>
        <v>7.0534003574144162E-3</v>
      </c>
      <c r="W25">
        <f t="shared" si="19"/>
        <v>1.1758511221970355E-2</v>
      </c>
      <c r="X25">
        <f t="shared" si="19"/>
        <v>3.7004681240195611E-2</v>
      </c>
      <c r="Y25">
        <f t="shared" si="8"/>
        <v>9.6329564083451318E-3</v>
      </c>
      <c r="Z25">
        <f t="shared" si="20"/>
        <v>0.68</v>
      </c>
      <c r="AA25">
        <f t="shared" si="21"/>
        <v>0.68</v>
      </c>
      <c r="AB25">
        <v>1</v>
      </c>
      <c r="AC25">
        <v>1</v>
      </c>
      <c r="AD25">
        <f t="shared" si="9"/>
        <v>74.551553199019253</v>
      </c>
      <c r="AE25">
        <f t="shared" si="22"/>
        <v>46.616735030765334</v>
      </c>
      <c r="AF25">
        <f t="shared" si="10"/>
        <v>24.711502872000011</v>
      </c>
      <c r="AG25">
        <f t="shared" si="23"/>
        <v>44.878700519999995</v>
      </c>
      <c r="AH25">
        <f t="shared" si="11"/>
        <v>55.420922800000007</v>
      </c>
      <c r="AI25">
        <f t="shared" si="12"/>
        <v>35.083083858361988</v>
      </c>
      <c r="AJ25">
        <f t="shared" si="13"/>
        <v>2.1757929118534278</v>
      </c>
      <c r="AK25">
        <f t="shared" si="14"/>
        <v>11.628942528000003</v>
      </c>
      <c r="AL25">
        <f t="shared" si="15"/>
        <v>1.9122382799999968</v>
      </c>
      <c r="AM25">
        <v>0.4</v>
      </c>
      <c r="AN25">
        <f t="shared" si="24"/>
        <v>0.8500000000000002</v>
      </c>
    </row>
    <row r="26" spans="1:40" x14ac:dyDescent="0.2">
      <c r="A26">
        <v>2048</v>
      </c>
      <c r="B26">
        <v>140.03160099999999</v>
      </c>
      <c r="C26">
        <v>3.4815589999999998</v>
      </c>
      <c r="D26">
        <f t="shared" si="16"/>
        <v>81.466456999999991</v>
      </c>
      <c r="E26">
        <f t="shared" si="4"/>
        <v>32.586582799999995</v>
      </c>
      <c r="F26">
        <f t="shared" si="5"/>
        <v>48.879874199999996</v>
      </c>
      <c r="G26">
        <f t="shared" si="0"/>
        <v>58.565144000000004</v>
      </c>
      <c r="H26">
        <f t="shared" si="6"/>
        <v>23.426057600000004</v>
      </c>
      <c r="I26">
        <f t="shared" si="7"/>
        <v>35.139086400000004</v>
      </c>
      <c r="J26">
        <v>109.369896</v>
      </c>
      <c r="K26">
        <v>43.093595999999998</v>
      </c>
      <c r="L26">
        <v>6.920223</v>
      </c>
      <c r="M26">
        <v>159.383715</v>
      </c>
      <c r="N26">
        <f t="shared" si="17"/>
        <v>34.604108594531326</v>
      </c>
      <c r="O26">
        <f t="shared" si="17"/>
        <v>14.526488256778563</v>
      </c>
      <c r="P26">
        <f t="shared" si="17"/>
        <v>1.3917772297558599</v>
      </c>
      <c r="Q26">
        <f t="shared" si="17"/>
        <v>50.522374930824284</v>
      </c>
      <c r="R26">
        <f t="shared" si="18"/>
        <v>74.765787405468672</v>
      </c>
      <c r="S26">
        <f t="shared" si="18"/>
        <v>28.567107743221435</v>
      </c>
      <c r="T26">
        <f t="shared" si="18"/>
        <v>5.5284457702441401</v>
      </c>
      <c r="U26">
        <f t="shared" si="18"/>
        <v>108.86134006917571</v>
      </c>
      <c r="V26">
        <f t="shared" si="19"/>
        <v>7.0534003574144162E-3</v>
      </c>
      <c r="W26">
        <f t="shared" si="19"/>
        <v>1.1758511221970355E-2</v>
      </c>
      <c r="X26">
        <f t="shared" si="19"/>
        <v>3.7004681240195611E-2</v>
      </c>
      <c r="Y26">
        <f t="shared" si="8"/>
        <v>9.625994989035767E-3</v>
      </c>
      <c r="Z26">
        <f t="shared" si="20"/>
        <v>0.72000000000000008</v>
      </c>
      <c r="AA26">
        <f t="shared" si="21"/>
        <v>0.72000000000000008</v>
      </c>
      <c r="AB26">
        <v>1</v>
      </c>
      <c r="AC26">
        <v>1</v>
      </c>
      <c r="AD26">
        <f t="shared" si="9"/>
        <v>78.380164849806519</v>
      </c>
      <c r="AE26">
        <f t="shared" si="22"/>
        <v>49.071846322921999</v>
      </c>
      <c r="AF26">
        <f t="shared" si="10"/>
        <v>25.300142208000004</v>
      </c>
      <c r="AG26">
        <f t="shared" si="23"/>
        <v>47.605048680000003</v>
      </c>
      <c r="AH26">
        <f t="shared" si="11"/>
        <v>56.012640399999995</v>
      </c>
      <c r="AI26">
        <f t="shared" si="12"/>
        <v>30.481175219369192</v>
      </c>
      <c r="AJ26">
        <f t="shared" si="13"/>
        <v>1.4505286079022852</v>
      </c>
      <c r="AK26">
        <f t="shared" si="14"/>
        <v>9.8389441919999996</v>
      </c>
      <c r="AL26">
        <f t="shared" si="15"/>
        <v>1.2748255199999932</v>
      </c>
      <c r="AM26">
        <v>0.4</v>
      </c>
      <c r="AN26">
        <f t="shared" si="24"/>
        <v>0.90000000000000024</v>
      </c>
    </row>
    <row r="27" spans="1:40" x14ac:dyDescent="0.2">
      <c r="A27">
        <v>2049</v>
      </c>
      <c r="B27">
        <v>141.51960800000001</v>
      </c>
      <c r="C27">
        <v>3.5119199999999999</v>
      </c>
      <c r="D27">
        <f t="shared" si="16"/>
        <v>84.978376999999995</v>
      </c>
      <c r="E27">
        <f t="shared" si="4"/>
        <v>33.991350799999999</v>
      </c>
      <c r="F27">
        <f t="shared" si="5"/>
        <v>50.987026199999995</v>
      </c>
      <c r="G27">
        <f t="shared" si="0"/>
        <v>56.54123100000001</v>
      </c>
      <c r="H27">
        <f t="shared" si="6"/>
        <v>22.616492400000006</v>
      </c>
      <c r="I27">
        <f t="shared" si="7"/>
        <v>33.924738600000005</v>
      </c>
      <c r="J27">
        <v>110.05512</v>
      </c>
      <c r="K27">
        <v>43.365544</v>
      </c>
      <c r="L27">
        <v>6.9254249999999997</v>
      </c>
      <c r="M27">
        <v>160.34608900000001</v>
      </c>
      <c r="N27">
        <f t="shared" si="17"/>
        <v>35.816685626139432</v>
      </c>
      <c r="O27">
        <f t="shared" si="17"/>
        <v>14.9999315047449</v>
      </c>
      <c r="P27">
        <f t="shared" si="17"/>
        <v>1.4359735711276462</v>
      </c>
      <c r="Q27">
        <f t="shared" si="17"/>
        <v>52.252591545776838</v>
      </c>
      <c r="R27">
        <f t="shared" si="18"/>
        <v>74.238434373860571</v>
      </c>
      <c r="S27">
        <f t="shared" si="18"/>
        <v>28.3656124952551</v>
      </c>
      <c r="T27">
        <f t="shared" si="18"/>
        <v>5.4894514288723535</v>
      </c>
      <c r="U27">
        <f t="shared" si="18"/>
        <v>108.09349745422317</v>
      </c>
      <c r="V27">
        <f t="shared" si="19"/>
        <v>7.0534003574144162E-3</v>
      </c>
      <c r="W27">
        <f t="shared" si="19"/>
        <v>1.1758511221970355E-2</v>
      </c>
      <c r="X27">
        <f t="shared" si="19"/>
        <v>3.7004681240195611E-2</v>
      </c>
      <c r="Y27">
        <f t="shared" si="8"/>
        <v>9.6195062362388964E-3</v>
      </c>
      <c r="Z27">
        <f t="shared" si="20"/>
        <v>0.76000000000000012</v>
      </c>
      <c r="AA27">
        <f t="shared" si="21"/>
        <v>0.76000000000000012</v>
      </c>
      <c r="AB27">
        <v>1</v>
      </c>
      <c r="AC27">
        <v>1</v>
      </c>
      <c r="AD27">
        <f t="shared" si="9"/>
        <v>82.151058065209625</v>
      </c>
      <c r="AE27">
        <f t="shared" si="22"/>
        <v>51.527327241825702</v>
      </c>
      <c r="AF27">
        <f t="shared" si="10"/>
        <v>25.782801336000009</v>
      </c>
      <c r="AG27">
        <f t="shared" si="23"/>
        <v>50.349613439999999</v>
      </c>
      <c r="AH27">
        <f t="shared" si="11"/>
        <v>56.607843200000005</v>
      </c>
      <c r="AI27">
        <f t="shared" si="12"/>
        <v>25.942439389013543</v>
      </c>
      <c r="AJ27">
        <f t="shared" si="13"/>
        <v>0.7252643039511355</v>
      </c>
      <c r="AK27">
        <f t="shared" si="14"/>
        <v>8.1419372639999956</v>
      </c>
      <c r="AL27">
        <f t="shared" si="15"/>
        <v>0.63741275999999658</v>
      </c>
      <c r="AM27">
        <v>0.4</v>
      </c>
      <c r="AN27">
        <f t="shared" si="24"/>
        <v>0.95000000000000029</v>
      </c>
    </row>
    <row r="28" spans="1:40" x14ac:dyDescent="0.2">
      <c r="A28">
        <v>2050</v>
      </c>
      <c r="B28">
        <v>143.01623499999999</v>
      </c>
      <c r="C28">
        <v>3.542278</v>
      </c>
      <c r="D28">
        <f t="shared" si="16"/>
        <v>88.520654999999991</v>
      </c>
      <c r="E28">
        <f t="shared" si="4"/>
        <v>35.408262000000001</v>
      </c>
      <c r="F28">
        <f t="shared" si="5"/>
        <v>53.11239299999999</v>
      </c>
      <c r="G28">
        <f t="shared" si="0"/>
        <v>54.495580000000004</v>
      </c>
      <c r="H28">
        <f t="shared" si="6"/>
        <v>21.798232000000002</v>
      </c>
      <c r="I28">
        <f t="shared" si="7"/>
        <v>32.697347999999998</v>
      </c>
      <c r="J28">
        <v>110.741344</v>
      </c>
      <c r="K28">
        <v>43.639676000000001</v>
      </c>
      <c r="L28">
        <v>6.9324709999999996</v>
      </c>
      <c r="M28">
        <v>161.313491</v>
      </c>
      <c r="N28">
        <f t="shared" si="17"/>
        <v>37.026543025685896</v>
      </c>
      <c r="O28">
        <f t="shared" si="17"/>
        <v>15.474137526057213</v>
      </c>
      <c r="P28">
        <f t="shared" si="17"/>
        <v>1.4817388697980638</v>
      </c>
      <c r="Q28">
        <f t="shared" si="17"/>
        <v>53.982420259354626</v>
      </c>
      <c r="R28">
        <f t="shared" si="18"/>
        <v>73.714800974314102</v>
      </c>
      <c r="S28">
        <f t="shared" si="18"/>
        <v>28.165538473942789</v>
      </c>
      <c r="T28">
        <f t="shared" si="18"/>
        <v>5.4507321302019358</v>
      </c>
      <c r="U28">
        <f t="shared" si="18"/>
        <v>107.33107074064537</v>
      </c>
      <c r="V28">
        <f t="shared" si="19"/>
        <v>7.0534003574144162E-3</v>
      </c>
      <c r="W28">
        <f t="shared" si="19"/>
        <v>1.1758511221970355E-2</v>
      </c>
      <c r="X28">
        <f t="shared" si="19"/>
        <v>3.7004681240195611E-2</v>
      </c>
      <c r="Y28">
        <f t="shared" si="8"/>
        <v>9.6134212040653397E-3</v>
      </c>
      <c r="Z28">
        <v>0.8</v>
      </c>
      <c r="AA28">
        <f>0.8</f>
        <v>0.8</v>
      </c>
      <c r="AB28">
        <v>1</v>
      </c>
      <c r="AC28">
        <v>1</v>
      </c>
      <c r="AD28">
        <f t="shared" si="9"/>
        <v>85.864856592516304</v>
      </c>
      <c r="AE28">
        <f t="shared" si="22"/>
        <v>53.982420259354626</v>
      </c>
      <c r="AF28">
        <f t="shared" si="10"/>
        <v>26.157878400000001</v>
      </c>
      <c r="AG28">
        <f>$AC28*(F28-$F$8)+($AL$8*AN28)</f>
        <v>53.112392999999997</v>
      </c>
      <c r="AH28">
        <f>H28+E28</f>
        <v>57.206494000000006</v>
      </c>
      <c r="AI28">
        <f t="shared" si="12"/>
        <v>21.466214148129069</v>
      </c>
      <c r="AJ28">
        <f t="shared" si="13"/>
        <v>0</v>
      </c>
      <c r="AK28">
        <f t="shared" si="14"/>
        <v>6.5394695999999968</v>
      </c>
      <c r="AL28">
        <v>1E-8</v>
      </c>
      <c r="AM28">
        <v>0.4</v>
      </c>
      <c r="AN28">
        <v>1</v>
      </c>
    </row>
    <row r="29" spans="1:40" x14ac:dyDescent="0.2">
      <c r="B29" s="1"/>
      <c r="C2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44F4D-DEDB-104F-911D-7DBAAA470F2E}">
  <dimension ref="A1:AN29"/>
  <sheetViews>
    <sheetView topLeftCell="K1" workbookViewId="0">
      <selection activeCell="H15" sqref="H15"/>
    </sheetView>
  </sheetViews>
  <sheetFormatPr baseColWidth="10" defaultRowHeight="16" x14ac:dyDescent="0.2"/>
  <cols>
    <col min="38" max="38" width="11.1640625" bestFit="1" customWidth="1"/>
  </cols>
  <sheetData>
    <row r="1" spans="1:40" s="2" customFormat="1" ht="170" x14ac:dyDescent="0.2">
      <c r="A1" s="2" t="s">
        <v>5</v>
      </c>
      <c r="B1" s="2" t="s">
        <v>0</v>
      </c>
      <c r="C1" s="2" t="s">
        <v>6</v>
      </c>
      <c r="D1" s="2" t="s">
        <v>7</v>
      </c>
      <c r="E1" s="2" t="s">
        <v>35</v>
      </c>
      <c r="F1" s="2" t="s">
        <v>36</v>
      </c>
      <c r="G1" s="2" t="s">
        <v>40</v>
      </c>
      <c r="H1" s="2" t="s">
        <v>44</v>
      </c>
      <c r="I1" s="2" t="s">
        <v>45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41</v>
      </c>
      <c r="O1" s="2" t="s">
        <v>42</v>
      </c>
      <c r="P1" s="2" t="s">
        <v>43</v>
      </c>
      <c r="Q1" s="2" t="s">
        <v>46</v>
      </c>
      <c r="R1" s="2" t="s">
        <v>47</v>
      </c>
      <c r="S1" s="2" t="s">
        <v>48</v>
      </c>
      <c r="T1" s="2" t="s">
        <v>49</v>
      </c>
      <c r="U1" s="2" t="s">
        <v>50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29</v>
      </c>
      <c r="AA1" s="2" t="s">
        <v>30</v>
      </c>
      <c r="AB1" s="2" t="s">
        <v>33</v>
      </c>
      <c r="AC1" s="2" t="s">
        <v>34</v>
      </c>
      <c r="AD1" s="2" t="s">
        <v>21</v>
      </c>
      <c r="AE1" s="2" t="s">
        <v>22</v>
      </c>
      <c r="AF1" s="2" t="s">
        <v>23</v>
      </c>
      <c r="AG1" s="2" t="s">
        <v>24</v>
      </c>
      <c r="AH1" s="2" t="s">
        <v>31</v>
      </c>
      <c r="AI1" s="2" t="s">
        <v>25</v>
      </c>
      <c r="AJ1" s="2" t="s">
        <v>26</v>
      </c>
      <c r="AK1" s="2" t="s">
        <v>27</v>
      </c>
      <c r="AL1" s="2" t="s">
        <v>28</v>
      </c>
      <c r="AM1" s="2" t="s">
        <v>32</v>
      </c>
      <c r="AN1" s="2" t="s">
        <v>39</v>
      </c>
    </row>
    <row r="2" spans="1:40" x14ac:dyDescent="0.2">
      <c r="A2">
        <v>2024</v>
      </c>
      <c r="B2">
        <v>103.371872</v>
      </c>
      <c r="C2">
        <v>2.7420749999999998</v>
      </c>
      <c r="D2">
        <v>0</v>
      </c>
      <c r="E2">
        <f>D2*$AM2</f>
        <v>0</v>
      </c>
      <c r="F2">
        <f>D2*(1-$AM2)</f>
        <v>0</v>
      </c>
      <c r="G2">
        <v>0</v>
      </c>
      <c r="H2">
        <f>G2*$AM2</f>
        <v>0</v>
      </c>
      <c r="I2">
        <f>G2*(1-$AM2)</f>
        <v>0</v>
      </c>
      <c r="J2">
        <v>88.609744000000006</v>
      </c>
      <c r="K2">
        <v>34.017912000000003</v>
      </c>
      <c r="L2">
        <v>6.7559019999999999</v>
      </c>
      <c r="M2">
        <v>129.383557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f>0.625/J2</f>
        <v>7.0534003574144162E-3</v>
      </c>
      <c r="W2">
        <f>0.4/K2</f>
        <v>1.1758511221970355E-2</v>
      </c>
      <c r="X2">
        <f>0.25/L2</f>
        <v>3.7004681240195611E-2</v>
      </c>
      <c r="Y2">
        <f>(V2*J2+W2*K2+X2*L2)/M2</f>
        <v>9.8544206819109158E-3</v>
      </c>
      <c r="Z2">
        <v>0</v>
      </c>
      <c r="AA2">
        <v>0</v>
      </c>
      <c r="AB2">
        <v>0</v>
      </c>
      <c r="AC2">
        <v>0</v>
      </c>
      <c r="AD2">
        <f>$Z2*U2</f>
        <v>0</v>
      </c>
      <c r="AE2">
        <f t="shared" ref="AE2:AE8" si="0">$Z2*Q2</f>
        <v>0</v>
      </c>
      <c r="AF2">
        <f>$AA2*I2</f>
        <v>0</v>
      </c>
      <c r="AG2">
        <v>0</v>
      </c>
      <c r="AH2">
        <f>H2+E2</f>
        <v>0</v>
      </c>
      <c r="AI2">
        <f>U2-AD2</f>
        <v>0</v>
      </c>
      <c r="AJ2">
        <f>Q2-AE2</f>
        <v>0</v>
      </c>
      <c r="AK2">
        <f>I2-AF2</f>
        <v>0</v>
      </c>
      <c r="AL2">
        <f>(F2-AG2)</f>
        <v>0</v>
      </c>
      <c r="AM2">
        <v>0.4</v>
      </c>
      <c r="AN2">
        <v>0</v>
      </c>
    </row>
    <row r="3" spans="1:40" x14ac:dyDescent="0.2">
      <c r="A3">
        <v>2025</v>
      </c>
      <c r="B3">
        <v>104.52195</v>
      </c>
      <c r="C3">
        <v>2.676447</v>
      </c>
      <c r="D3">
        <v>0</v>
      </c>
      <c r="E3">
        <f t="shared" ref="E3:E28" si="1">D3*$AM3</f>
        <v>0</v>
      </c>
      <c r="F3">
        <f t="shared" ref="F3:F28" si="2">D3*(1-$AM3)</f>
        <v>0</v>
      </c>
      <c r="G3">
        <v>0</v>
      </c>
      <c r="H3">
        <f t="shared" ref="H3:H28" si="3">G3*$AM3</f>
        <v>0</v>
      </c>
      <c r="I3">
        <f t="shared" ref="I3:I28" si="4">G3*(1-$AM3)</f>
        <v>0</v>
      </c>
      <c r="J3">
        <v>89.620040000000003</v>
      </c>
      <c r="K3">
        <v>34.380152000000002</v>
      </c>
      <c r="L3">
        <v>6.7485489999999997</v>
      </c>
      <c r="M3">
        <v>130.74874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f>V2</f>
        <v>7.0534003574144162E-3</v>
      </c>
      <c r="W3">
        <f>W2</f>
        <v>1.1758511221970355E-2</v>
      </c>
      <c r="X3">
        <f>X2</f>
        <v>3.7004681240195611E-2</v>
      </c>
      <c r="Y3">
        <f t="shared" ref="Y3:Y28" si="5">(V3*J3+W3*K3+X3*L3)/M3</f>
        <v>9.8365256128004116E-3</v>
      </c>
      <c r="Z3">
        <v>0</v>
      </c>
      <c r="AA3">
        <v>0</v>
      </c>
      <c r="AB3">
        <v>0</v>
      </c>
      <c r="AC3">
        <v>0</v>
      </c>
      <c r="AD3">
        <f t="shared" ref="AD3:AD28" si="6">$Z3*U3</f>
        <v>0</v>
      </c>
      <c r="AE3">
        <f t="shared" si="0"/>
        <v>0</v>
      </c>
      <c r="AF3">
        <f t="shared" ref="AF3:AF28" si="7">$AA3*I3</f>
        <v>0</v>
      </c>
      <c r="AG3">
        <v>0</v>
      </c>
      <c r="AH3">
        <f t="shared" ref="AH3:AH27" si="8">H3+E3</f>
        <v>0</v>
      </c>
      <c r="AI3">
        <f t="shared" ref="AI3:AI28" si="9">U3-AD3</f>
        <v>0</v>
      </c>
      <c r="AJ3">
        <f t="shared" ref="AJ3:AJ28" si="10">Q3-AE3</f>
        <v>0</v>
      </c>
      <c r="AK3">
        <f t="shared" ref="AK3:AK28" si="11">I3-AF3</f>
        <v>0</v>
      </c>
      <c r="AL3">
        <f t="shared" ref="AL3:AL27" si="12">(F3-AG3)</f>
        <v>0</v>
      </c>
      <c r="AM3">
        <v>0.4</v>
      </c>
      <c r="AN3">
        <v>0</v>
      </c>
    </row>
    <row r="4" spans="1:40" x14ac:dyDescent="0.2">
      <c r="A4">
        <v>2026</v>
      </c>
      <c r="B4">
        <v>105.93501999999999</v>
      </c>
      <c r="C4">
        <v>2.951616</v>
      </c>
      <c r="D4">
        <v>0</v>
      </c>
      <c r="E4">
        <f t="shared" si="1"/>
        <v>0</v>
      </c>
      <c r="F4">
        <f t="shared" si="2"/>
        <v>0</v>
      </c>
      <c r="G4">
        <v>0</v>
      </c>
      <c r="H4">
        <f t="shared" si="3"/>
        <v>0</v>
      </c>
      <c r="I4">
        <f t="shared" si="4"/>
        <v>0</v>
      </c>
      <c r="J4">
        <v>90.630319999999998</v>
      </c>
      <c r="K4">
        <v>34.797908</v>
      </c>
      <c r="L4">
        <v>6.7703420000000003</v>
      </c>
      <c r="M4">
        <v>132.19856999999999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f t="shared" ref="V4:X19" si="13">V3</f>
        <v>7.0534003574144162E-3</v>
      </c>
      <c r="W4">
        <f t="shared" si="13"/>
        <v>1.1758511221970355E-2</v>
      </c>
      <c r="X4">
        <f t="shared" si="13"/>
        <v>3.7004681240195611E-2</v>
      </c>
      <c r="Y4">
        <f t="shared" si="5"/>
        <v>9.8258087874686043E-3</v>
      </c>
      <c r="Z4">
        <v>0</v>
      </c>
      <c r="AA4">
        <v>0</v>
      </c>
      <c r="AB4">
        <v>0</v>
      </c>
      <c r="AC4">
        <v>0</v>
      </c>
      <c r="AD4">
        <f t="shared" si="6"/>
        <v>0</v>
      </c>
      <c r="AE4">
        <f t="shared" si="0"/>
        <v>0</v>
      </c>
      <c r="AF4">
        <f t="shared" si="7"/>
        <v>0</v>
      </c>
      <c r="AG4">
        <v>0</v>
      </c>
      <c r="AH4">
        <f t="shared" si="8"/>
        <v>0</v>
      </c>
      <c r="AI4">
        <f t="shared" si="9"/>
        <v>0</v>
      </c>
      <c r="AJ4">
        <f t="shared" si="10"/>
        <v>0</v>
      </c>
      <c r="AK4">
        <f t="shared" si="11"/>
        <v>0</v>
      </c>
      <c r="AL4">
        <f t="shared" si="12"/>
        <v>0</v>
      </c>
      <c r="AM4">
        <v>0.4</v>
      </c>
      <c r="AN4">
        <v>0</v>
      </c>
    </row>
    <row r="5" spans="1:40" x14ac:dyDescent="0.2">
      <c r="A5">
        <v>2027</v>
      </c>
      <c r="B5">
        <v>107.51918000000001</v>
      </c>
      <c r="C5">
        <v>3.1368719999999999</v>
      </c>
      <c r="D5">
        <f t="shared" ref="D5:D28" si="14">C5+D4</f>
        <v>3.1368719999999999</v>
      </c>
      <c r="E5">
        <f t="shared" si="1"/>
        <v>1.2547488</v>
      </c>
      <c r="F5">
        <f t="shared" si="2"/>
        <v>1.8821231999999999</v>
      </c>
      <c r="G5">
        <f>B5-D5</f>
        <v>104.38230800000001</v>
      </c>
      <c r="H5">
        <f t="shared" si="3"/>
        <v>41.752923200000005</v>
      </c>
      <c r="I5">
        <f t="shared" si="4"/>
        <v>62.629384800000004</v>
      </c>
      <c r="J5">
        <v>91.639303999999996</v>
      </c>
      <c r="K5">
        <v>35.233668000000002</v>
      </c>
      <c r="L5">
        <v>6.7927460000000002</v>
      </c>
      <c r="M5">
        <v>133.665718</v>
      </c>
      <c r="N5">
        <f t="shared" ref="N5:Q28" si="15">J5-R5</f>
        <v>0</v>
      </c>
      <c r="O5">
        <f t="shared" ref="O5:Q17" si="16">K5-S5</f>
        <v>0</v>
      </c>
      <c r="P5">
        <f t="shared" si="16"/>
        <v>0</v>
      </c>
      <c r="Q5">
        <f t="shared" si="16"/>
        <v>0</v>
      </c>
      <c r="R5">
        <f>J5</f>
        <v>91.639303999999996</v>
      </c>
      <c r="S5">
        <f>K5</f>
        <v>35.233668000000002</v>
      </c>
      <c r="T5">
        <f>L5</f>
        <v>6.7927460000000002</v>
      </c>
      <c r="U5">
        <f>M5</f>
        <v>133.665718</v>
      </c>
      <c r="V5">
        <f t="shared" si="13"/>
        <v>7.0534003574144162E-3</v>
      </c>
      <c r="W5">
        <f t="shared" si="13"/>
        <v>1.1758511221970355E-2</v>
      </c>
      <c r="X5">
        <f t="shared" si="13"/>
        <v>3.7004681240195611E-2</v>
      </c>
      <c r="Y5">
        <f t="shared" si="5"/>
        <v>9.8157373503324156E-3</v>
      </c>
      <c r="Z5">
        <v>0</v>
      </c>
      <c r="AA5">
        <v>0</v>
      </c>
      <c r="AB5">
        <v>0</v>
      </c>
      <c r="AC5">
        <v>0</v>
      </c>
      <c r="AD5">
        <f t="shared" si="6"/>
        <v>0</v>
      </c>
      <c r="AE5">
        <f t="shared" si="0"/>
        <v>0</v>
      </c>
      <c r="AF5">
        <f t="shared" si="7"/>
        <v>0</v>
      </c>
      <c r="AG5">
        <v>0</v>
      </c>
      <c r="AH5">
        <f t="shared" si="8"/>
        <v>43.007672000000007</v>
      </c>
      <c r="AI5">
        <f t="shared" si="9"/>
        <v>133.665718</v>
      </c>
      <c r="AJ5">
        <f t="shared" si="10"/>
        <v>0</v>
      </c>
      <c r="AK5">
        <f t="shared" si="11"/>
        <v>62.629384800000004</v>
      </c>
      <c r="AL5">
        <f t="shared" si="12"/>
        <v>1.8821231999999999</v>
      </c>
      <c r="AM5">
        <v>0.4</v>
      </c>
      <c r="AN5">
        <v>0</v>
      </c>
    </row>
    <row r="6" spans="1:40" x14ac:dyDescent="0.2">
      <c r="A6">
        <v>2028</v>
      </c>
      <c r="B6">
        <v>109.194839</v>
      </c>
      <c r="C6">
        <v>3.2451020000000002</v>
      </c>
      <c r="D6">
        <f t="shared" si="14"/>
        <v>6.3819739999999996</v>
      </c>
      <c r="E6">
        <f t="shared" si="1"/>
        <v>2.5527896000000001</v>
      </c>
      <c r="F6">
        <f t="shared" si="2"/>
        <v>3.8291843999999995</v>
      </c>
      <c r="G6">
        <f t="shared" ref="G6:G28" si="17">B6-D6</f>
        <v>102.812865</v>
      </c>
      <c r="H6">
        <f t="shared" si="3"/>
        <v>41.125146000000001</v>
      </c>
      <c r="I6">
        <f t="shared" si="4"/>
        <v>61.687719000000001</v>
      </c>
      <c r="J6">
        <v>92.631463999999994</v>
      </c>
      <c r="K6">
        <v>35.702212000000003</v>
      </c>
      <c r="L6">
        <v>6.8042499999999997</v>
      </c>
      <c r="M6">
        <v>135.13792599999999</v>
      </c>
      <c r="N6">
        <f t="shared" si="15"/>
        <v>1.6385286995868</v>
      </c>
      <c r="O6">
        <f t="shared" si="16"/>
        <v>0.71706116646421947</v>
      </c>
      <c r="P6">
        <f t="shared" si="16"/>
        <v>5.9415957064224756E-2</v>
      </c>
      <c r="Q6">
        <f t="shared" si="16"/>
        <v>2.4150058231152514</v>
      </c>
      <c r="R6">
        <f t="shared" ref="R6:U19" si="18">R5*(1-$V5)</f>
        <v>90.992935300413194</v>
      </c>
      <c r="S6">
        <f t="shared" si="18"/>
        <v>34.985150833535783</v>
      </c>
      <c r="T6">
        <f t="shared" si="18"/>
        <v>6.7448340429357749</v>
      </c>
      <c r="U6">
        <f t="shared" si="18"/>
        <v>132.72292017688474</v>
      </c>
      <c r="V6">
        <f t="shared" si="13"/>
        <v>7.0534003574144162E-3</v>
      </c>
      <c r="W6">
        <f t="shared" si="13"/>
        <v>1.1758511221970355E-2</v>
      </c>
      <c r="X6">
        <f t="shared" si="13"/>
        <v>3.7004681240195611E-2</v>
      </c>
      <c r="Y6">
        <f t="shared" si="5"/>
        <v>9.8045071674785524E-3</v>
      </c>
      <c r="Z6">
        <v>0</v>
      </c>
      <c r="AA6">
        <v>0</v>
      </c>
      <c r="AB6">
        <v>0</v>
      </c>
      <c r="AC6">
        <v>0</v>
      </c>
      <c r="AD6">
        <f t="shared" si="6"/>
        <v>0</v>
      </c>
      <c r="AE6">
        <f t="shared" si="0"/>
        <v>0</v>
      </c>
      <c r="AF6">
        <f t="shared" si="7"/>
        <v>0</v>
      </c>
      <c r="AG6">
        <v>0</v>
      </c>
      <c r="AH6">
        <f t="shared" si="8"/>
        <v>43.677935599999998</v>
      </c>
      <c r="AI6">
        <f t="shared" si="9"/>
        <v>132.72292017688474</v>
      </c>
      <c r="AJ6">
        <f t="shared" si="10"/>
        <v>2.4150058231152514</v>
      </c>
      <c r="AK6">
        <f t="shared" si="11"/>
        <v>61.687719000000001</v>
      </c>
      <c r="AL6">
        <f t="shared" si="12"/>
        <v>3.8291843999999995</v>
      </c>
      <c r="AM6">
        <v>0.4</v>
      </c>
      <c r="AN6">
        <v>0</v>
      </c>
    </row>
    <row r="7" spans="1:40" x14ac:dyDescent="0.2">
      <c r="A7">
        <v>2029</v>
      </c>
      <c r="B7">
        <v>110.865685</v>
      </c>
      <c r="C7">
        <v>3.2589950000000001</v>
      </c>
      <c r="D7">
        <f t="shared" si="14"/>
        <v>9.6409690000000001</v>
      </c>
      <c r="E7">
        <f t="shared" si="1"/>
        <v>3.8563876000000001</v>
      </c>
      <c r="F7">
        <f t="shared" si="2"/>
        <v>5.7845813999999995</v>
      </c>
      <c r="G7">
        <f t="shared" si="17"/>
        <v>101.224716</v>
      </c>
      <c r="H7">
        <f t="shared" si="3"/>
        <v>40.489886400000003</v>
      </c>
      <c r="I7">
        <f t="shared" si="4"/>
        <v>60.734829599999998</v>
      </c>
      <c r="J7">
        <v>93.625664</v>
      </c>
      <c r="K7">
        <v>36.208348000000001</v>
      </c>
      <c r="L7">
        <v>6.8139190000000003</v>
      </c>
      <c r="M7">
        <v>136.647931</v>
      </c>
      <c r="N7">
        <f t="shared" si="15"/>
        <v>3.2745383019569232</v>
      </c>
      <c r="O7">
        <f t="shared" si="16"/>
        <v>1.4699614418576772</v>
      </c>
      <c r="P7">
        <f t="shared" si="16"/>
        <v>0.11665897191336949</v>
      </c>
      <c r="Q7">
        <f t="shared" si="16"/>
        <v>4.8611587157279814</v>
      </c>
      <c r="R7">
        <f t="shared" si="18"/>
        <v>90.351125698043077</v>
      </c>
      <c r="S7">
        <f t="shared" si="18"/>
        <v>34.738386558142324</v>
      </c>
      <c r="T7">
        <f t="shared" si="18"/>
        <v>6.6972600280866308</v>
      </c>
      <c r="U7">
        <f t="shared" si="18"/>
        <v>131.78677228427202</v>
      </c>
      <c r="V7">
        <f t="shared" si="13"/>
        <v>7.0534003574144162E-3</v>
      </c>
      <c r="W7">
        <f t="shared" si="13"/>
        <v>1.1758511221970355E-2</v>
      </c>
      <c r="X7">
        <f t="shared" si="13"/>
        <v>3.7004681240195611E-2</v>
      </c>
      <c r="Y7">
        <f t="shared" si="5"/>
        <v>9.7936532884591015E-3</v>
      </c>
      <c r="Z7">
        <v>0</v>
      </c>
      <c r="AA7">
        <v>0</v>
      </c>
      <c r="AB7">
        <v>0</v>
      </c>
      <c r="AC7">
        <v>0</v>
      </c>
      <c r="AD7">
        <f t="shared" si="6"/>
        <v>0</v>
      </c>
      <c r="AE7">
        <f t="shared" si="0"/>
        <v>0</v>
      </c>
      <c r="AF7">
        <f t="shared" si="7"/>
        <v>0</v>
      </c>
      <c r="AG7">
        <v>0</v>
      </c>
      <c r="AH7">
        <f t="shared" si="8"/>
        <v>44.346274000000001</v>
      </c>
      <c r="AI7">
        <f t="shared" si="9"/>
        <v>131.78677228427202</v>
      </c>
      <c r="AJ7">
        <f t="shared" si="10"/>
        <v>4.8611587157279814</v>
      </c>
      <c r="AK7">
        <f t="shared" si="11"/>
        <v>60.734829599999998</v>
      </c>
      <c r="AL7">
        <f t="shared" si="12"/>
        <v>5.7845813999999995</v>
      </c>
      <c r="AM7">
        <v>0.4</v>
      </c>
      <c r="AN7">
        <v>0</v>
      </c>
    </row>
    <row r="8" spans="1:40" x14ac:dyDescent="0.2">
      <c r="A8">
        <v>2030</v>
      </c>
      <c r="B8">
        <v>112.493584</v>
      </c>
      <c r="C8">
        <v>3.2359849999999999</v>
      </c>
      <c r="D8">
        <f t="shared" si="14"/>
        <v>12.876954</v>
      </c>
      <c r="E8">
        <f t="shared" si="1"/>
        <v>5.1507816000000002</v>
      </c>
      <c r="F8">
        <f t="shared" si="2"/>
        <v>7.7261723999999994</v>
      </c>
      <c r="G8">
        <f t="shared" si="17"/>
        <v>99.616630000000001</v>
      </c>
      <c r="H8">
        <f t="shared" si="3"/>
        <v>39.846652000000006</v>
      </c>
      <c r="I8">
        <f t="shared" si="4"/>
        <v>59.769977999999995</v>
      </c>
      <c r="J8">
        <v>94.613568000000001</v>
      </c>
      <c r="K8">
        <v>36.726568</v>
      </c>
      <c r="L8">
        <v>6.8189890000000002</v>
      </c>
      <c r="M8">
        <v>138.15912499999999</v>
      </c>
      <c r="N8">
        <f t="shared" si="15"/>
        <v>4.8997249642482927</v>
      </c>
      <c r="O8">
        <f t="shared" si="16"/>
        <v>2.2332051900228791</v>
      </c>
      <c r="P8">
        <f t="shared" si="16"/>
        <v>0.16896742818917332</v>
      </c>
      <c r="Q8">
        <f t="shared" si="16"/>
        <v>7.3018975824603558</v>
      </c>
      <c r="R8">
        <f t="shared" si="18"/>
        <v>89.713843035751708</v>
      </c>
      <c r="S8">
        <f t="shared" si="18"/>
        <v>34.493362809977121</v>
      </c>
      <c r="T8">
        <f t="shared" si="18"/>
        <v>6.6500215718108269</v>
      </c>
      <c r="U8">
        <f t="shared" si="18"/>
        <v>130.85722741753963</v>
      </c>
      <c r="V8">
        <f t="shared" si="13"/>
        <v>7.0534003574144162E-3</v>
      </c>
      <c r="W8">
        <f t="shared" si="13"/>
        <v>1.1758511221970355E-2</v>
      </c>
      <c r="X8">
        <f t="shared" si="13"/>
        <v>3.7004681240195611E-2</v>
      </c>
      <c r="Y8">
        <f t="shared" si="5"/>
        <v>9.7824276944813507E-3</v>
      </c>
      <c r="Z8">
        <v>0</v>
      </c>
      <c r="AA8">
        <v>0</v>
      </c>
      <c r="AB8">
        <v>0</v>
      </c>
      <c r="AC8">
        <v>0</v>
      </c>
      <c r="AD8">
        <f t="shared" si="6"/>
        <v>0</v>
      </c>
      <c r="AE8">
        <f t="shared" si="0"/>
        <v>0</v>
      </c>
      <c r="AF8">
        <f t="shared" si="7"/>
        <v>0</v>
      </c>
      <c r="AG8">
        <v>0</v>
      </c>
      <c r="AH8">
        <f t="shared" si="8"/>
        <v>44.997433600000008</v>
      </c>
      <c r="AI8">
        <f t="shared" si="9"/>
        <v>130.85722741753963</v>
      </c>
      <c r="AJ8">
        <f t="shared" si="10"/>
        <v>7.3018975824603558</v>
      </c>
      <c r="AK8">
        <f t="shared" si="11"/>
        <v>59.769977999999995</v>
      </c>
      <c r="AL8">
        <f t="shared" si="12"/>
        <v>7.7261723999999994</v>
      </c>
      <c r="AM8">
        <v>0.4</v>
      </c>
      <c r="AN8">
        <v>0</v>
      </c>
    </row>
    <row r="9" spans="1:40" x14ac:dyDescent="0.2">
      <c r="A9">
        <v>2031</v>
      </c>
      <c r="B9">
        <v>114.092934</v>
      </c>
      <c r="C9">
        <v>3.227938</v>
      </c>
      <c r="D9">
        <f t="shared" si="14"/>
        <v>16.104892</v>
      </c>
      <c r="E9">
        <f t="shared" si="1"/>
        <v>6.4419567999999998</v>
      </c>
      <c r="F9">
        <f t="shared" si="2"/>
        <v>9.6629351999999997</v>
      </c>
      <c r="G9">
        <f t="shared" si="17"/>
        <v>97.988042000000007</v>
      </c>
      <c r="H9">
        <f t="shared" si="3"/>
        <v>39.195216800000004</v>
      </c>
      <c r="I9">
        <f t="shared" si="4"/>
        <v>58.792825200000003</v>
      </c>
      <c r="J9">
        <v>95.599119999999999</v>
      </c>
      <c r="K9">
        <v>37.247472000000002</v>
      </c>
      <c r="L9">
        <v>6.8253740000000001</v>
      </c>
      <c r="M9">
        <v>139.671966</v>
      </c>
      <c r="N9">
        <f t="shared" si="15"/>
        <v>6.518064616781686</v>
      </c>
      <c r="O9">
        <f t="shared" si="16"/>
        <v>2.9974046875951998</v>
      </c>
      <c r="P9">
        <f t="shared" si="16"/>
        <v>0.22225769272059726</v>
      </c>
      <c r="Q9">
        <f t="shared" si="16"/>
        <v>9.7377269970974965</v>
      </c>
      <c r="R9">
        <f t="shared" si="18"/>
        <v>89.081055383218313</v>
      </c>
      <c r="S9">
        <f t="shared" si="18"/>
        <v>34.250067312404802</v>
      </c>
      <c r="T9">
        <f t="shared" si="18"/>
        <v>6.6031163072794028</v>
      </c>
      <c r="U9">
        <f t="shared" si="18"/>
        <v>129.9342390029025</v>
      </c>
      <c r="V9">
        <f t="shared" si="13"/>
        <v>7.0534003574144162E-3</v>
      </c>
      <c r="W9">
        <f t="shared" si="13"/>
        <v>1.1758511221970355E-2</v>
      </c>
      <c r="X9">
        <f t="shared" si="13"/>
        <v>3.7004681240195611E-2</v>
      </c>
      <c r="Y9">
        <f t="shared" si="5"/>
        <v>9.7717853695397216E-3</v>
      </c>
      <c r="Z9">
        <f>Z8+(Z$28/20)</f>
        <v>0.04</v>
      </c>
      <c r="AA9">
        <f>AA8+(AA$28/20)</f>
        <v>0.04</v>
      </c>
      <c r="AB9">
        <v>1</v>
      </c>
      <c r="AC9">
        <v>1</v>
      </c>
      <c r="AD9">
        <f t="shared" si="6"/>
        <v>5.1973695601161003</v>
      </c>
      <c r="AE9">
        <f>$AB9*(Q9-$Q$8)+($AJ$8*$AN9)</f>
        <v>2.8009242937601586</v>
      </c>
      <c r="AF9">
        <f t="shared" si="7"/>
        <v>2.3517130080000004</v>
      </c>
      <c r="AG9">
        <f>$AC9*(F9-$F$8)+($AL$8*AN9)</f>
        <v>2.3230714200000002</v>
      </c>
      <c r="AH9">
        <f t="shared" si="8"/>
        <v>45.637173600000004</v>
      </c>
      <c r="AI9">
        <f t="shared" si="9"/>
        <v>124.7368694427864</v>
      </c>
      <c r="AJ9">
        <f t="shared" si="10"/>
        <v>6.9368027033373378</v>
      </c>
      <c r="AK9">
        <f t="shared" si="11"/>
        <v>56.441112192000006</v>
      </c>
      <c r="AL9">
        <f t="shared" si="12"/>
        <v>7.3398637799999999</v>
      </c>
      <c r="AM9">
        <v>0.4</v>
      </c>
      <c r="AN9">
        <f>AN8+(AN$28/20)</f>
        <v>0.05</v>
      </c>
    </row>
    <row r="10" spans="1:40" x14ac:dyDescent="0.2">
      <c r="A10">
        <v>2032</v>
      </c>
      <c r="B10">
        <v>115.698303</v>
      </c>
      <c r="C10">
        <v>3.2548240000000002</v>
      </c>
      <c r="D10">
        <f t="shared" si="14"/>
        <v>19.359715999999999</v>
      </c>
      <c r="E10">
        <f t="shared" si="1"/>
        <v>7.7438864000000001</v>
      </c>
      <c r="F10">
        <f t="shared" si="2"/>
        <v>11.6158296</v>
      </c>
      <c r="G10">
        <f t="shared" si="17"/>
        <v>96.33858699999999</v>
      </c>
      <c r="H10">
        <f t="shared" si="3"/>
        <v>38.535434799999997</v>
      </c>
      <c r="I10">
        <f t="shared" si="4"/>
        <v>57.803152199999992</v>
      </c>
      <c r="J10">
        <v>96.580712000000005</v>
      </c>
      <c r="K10">
        <v>37.754384000000002</v>
      </c>
      <c r="L10">
        <v>6.8344959999999997</v>
      </c>
      <c r="M10">
        <v>141.16959199999999</v>
      </c>
      <c r="N10">
        <f t="shared" si="15"/>
        <v>8.1279809646605372</v>
      </c>
      <c r="O10">
        <f t="shared" si="16"/>
        <v>3.7458961246179854</v>
      </c>
      <c r="P10">
        <f t="shared" si="16"/>
        <v>0.27795411564241057</v>
      </c>
      <c r="Q10">
        <f t="shared" si="16"/>
        <v>12.151831204920938</v>
      </c>
      <c r="R10">
        <f t="shared" si="18"/>
        <v>88.452731035339468</v>
      </c>
      <c r="S10">
        <f t="shared" si="18"/>
        <v>34.008487875382016</v>
      </c>
      <c r="T10">
        <f t="shared" si="18"/>
        <v>6.5565418843575891</v>
      </c>
      <c r="U10">
        <f t="shared" si="18"/>
        <v>129.01776079507906</v>
      </c>
      <c r="V10">
        <f t="shared" si="13"/>
        <v>7.0534003574144162E-3</v>
      </c>
      <c r="W10">
        <f t="shared" si="13"/>
        <v>1.1758511221970355E-2</v>
      </c>
      <c r="X10">
        <f t="shared" si="13"/>
        <v>3.7004681240195611E-2</v>
      </c>
      <c r="Y10">
        <f t="shared" si="5"/>
        <v>9.7617773266647171E-3</v>
      </c>
      <c r="Z10">
        <f t="shared" ref="Z10:Z27" si="19">Z9+($Z$28/20)</f>
        <v>0.08</v>
      </c>
      <c r="AA10">
        <f t="shared" ref="AA10:AA27" si="20">AA9+(AA$28/20)</f>
        <v>0.08</v>
      </c>
      <c r="AB10">
        <v>1</v>
      </c>
      <c r="AC10">
        <v>1</v>
      </c>
      <c r="AD10">
        <f t="shared" si="6"/>
        <v>10.321420863606324</v>
      </c>
      <c r="AE10">
        <f t="shared" ref="AE10:AE28" si="21">$AB10*(Q10-$Q$8)+($AJ$8*$AN10)</f>
        <v>5.5801233807066186</v>
      </c>
      <c r="AF10">
        <f t="shared" si="7"/>
        <v>4.6242521759999997</v>
      </c>
      <c r="AG10">
        <f t="shared" ref="AG10:AG27" si="22">$AC10*(F10-$F$8)+($AL$8*AN10)</f>
        <v>4.66227444</v>
      </c>
      <c r="AH10">
        <f t="shared" si="8"/>
        <v>46.279321199999998</v>
      </c>
      <c r="AI10">
        <f t="shared" si="9"/>
        <v>118.69633993147274</v>
      </c>
      <c r="AJ10">
        <f t="shared" si="10"/>
        <v>6.5717078242143199</v>
      </c>
      <c r="AK10">
        <f t="shared" si="11"/>
        <v>53.178900023999994</v>
      </c>
      <c r="AL10">
        <f t="shared" si="12"/>
        <v>6.9535551599999996</v>
      </c>
      <c r="AM10">
        <v>0.4</v>
      </c>
      <c r="AN10">
        <f t="shared" ref="AN10:AN27" si="23">AN9+(AN$28/20)</f>
        <v>0.1</v>
      </c>
    </row>
    <row r="11" spans="1:40" x14ac:dyDescent="0.2">
      <c r="A11">
        <v>2033</v>
      </c>
      <c r="B11">
        <v>117.31967899999999</v>
      </c>
      <c r="C11">
        <v>3.2921589999999998</v>
      </c>
      <c r="D11">
        <f t="shared" si="14"/>
        <v>22.651874999999997</v>
      </c>
      <c r="E11">
        <f t="shared" si="1"/>
        <v>9.0607499999999987</v>
      </c>
      <c r="F11">
        <f t="shared" si="2"/>
        <v>13.591124999999998</v>
      </c>
      <c r="G11">
        <f t="shared" si="17"/>
        <v>94.66780399999999</v>
      </c>
      <c r="H11">
        <f t="shared" si="3"/>
        <v>37.867121599999997</v>
      </c>
      <c r="I11">
        <f t="shared" si="4"/>
        <v>56.800682399999992</v>
      </c>
      <c r="J11">
        <v>97.542320000000004</v>
      </c>
      <c r="K11">
        <v>38.228700000000003</v>
      </c>
      <c r="L11">
        <v>6.8445270000000002</v>
      </c>
      <c r="M11">
        <v>142.61554799999999</v>
      </c>
      <c r="N11">
        <f t="shared" si="15"/>
        <v>9.7134814893594807</v>
      </c>
      <c r="O11">
        <f t="shared" si="16"/>
        <v>4.4600876051533334</v>
      </c>
      <c r="P11">
        <f t="shared" si="16"/>
        <v>0.33423103051294145</v>
      </c>
      <c r="Q11">
        <f t="shared" si="16"/>
        <v>14.507801125025765</v>
      </c>
      <c r="R11">
        <f t="shared" si="18"/>
        <v>87.828838510640523</v>
      </c>
      <c r="S11">
        <f t="shared" si="18"/>
        <v>33.76861239484667</v>
      </c>
      <c r="T11">
        <f t="shared" si="18"/>
        <v>6.5102959694870588</v>
      </c>
      <c r="U11">
        <f t="shared" si="18"/>
        <v>128.10774687497423</v>
      </c>
      <c r="V11">
        <f t="shared" si="13"/>
        <v>7.0534003574144162E-3</v>
      </c>
      <c r="W11">
        <f t="shared" si="13"/>
        <v>1.1758511221970355E-2</v>
      </c>
      <c r="X11">
        <f t="shared" si="13"/>
        <v>3.7004681240195611E-2</v>
      </c>
      <c r="Y11">
        <f t="shared" si="5"/>
        <v>9.7520725620833561E-3</v>
      </c>
      <c r="Z11">
        <f t="shared" si="19"/>
        <v>0.12</v>
      </c>
      <c r="AA11">
        <f t="shared" si="20"/>
        <v>0.12</v>
      </c>
      <c r="AB11">
        <v>1</v>
      </c>
      <c r="AC11">
        <v>1</v>
      </c>
      <c r="AD11">
        <f t="shared" si="6"/>
        <v>15.372929624996907</v>
      </c>
      <c r="AE11">
        <f t="shared" si="21"/>
        <v>8.3011881799344618</v>
      </c>
      <c r="AF11">
        <f t="shared" si="7"/>
        <v>6.8160818879999985</v>
      </c>
      <c r="AG11">
        <f t="shared" si="22"/>
        <v>7.0238784599999988</v>
      </c>
      <c r="AH11">
        <f t="shared" si="8"/>
        <v>46.927871599999996</v>
      </c>
      <c r="AI11">
        <f t="shared" si="9"/>
        <v>112.73481724997731</v>
      </c>
      <c r="AJ11">
        <f t="shared" si="10"/>
        <v>6.2066129450913028</v>
      </c>
      <c r="AK11">
        <f t="shared" si="11"/>
        <v>49.984600511999993</v>
      </c>
      <c r="AL11">
        <f t="shared" si="12"/>
        <v>6.5672465399999993</v>
      </c>
      <c r="AM11">
        <v>0.4</v>
      </c>
      <c r="AN11">
        <f t="shared" si="23"/>
        <v>0.15000000000000002</v>
      </c>
    </row>
    <row r="12" spans="1:40" x14ac:dyDescent="0.2">
      <c r="A12">
        <v>2034</v>
      </c>
      <c r="B12">
        <v>118.94864699999999</v>
      </c>
      <c r="C12">
        <v>3.3216220000000001</v>
      </c>
      <c r="D12">
        <f t="shared" si="14"/>
        <v>25.973496999999998</v>
      </c>
      <c r="E12">
        <f t="shared" si="1"/>
        <v>10.3893988</v>
      </c>
      <c r="F12">
        <f t="shared" si="2"/>
        <v>15.584098199999998</v>
      </c>
      <c r="G12">
        <f t="shared" si="17"/>
        <v>92.975149999999999</v>
      </c>
      <c r="H12">
        <f t="shared" si="3"/>
        <v>37.190060000000003</v>
      </c>
      <c r="I12">
        <f t="shared" si="4"/>
        <v>55.785089999999997</v>
      </c>
      <c r="J12">
        <v>98.475399999999993</v>
      </c>
      <c r="K12">
        <v>38.669908</v>
      </c>
      <c r="L12">
        <v>6.8523969999999998</v>
      </c>
      <c r="M12">
        <v>143.997705</v>
      </c>
      <c r="N12">
        <f t="shared" si="15"/>
        <v>11.266053450301712</v>
      </c>
      <c r="O12">
        <f t="shared" si="16"/>
        <v>5.1394791478885296</v>
      </c>
      <c r="P12">
        <f t="shared" si="16"/>
        <v>0.38802075443099504</v>
      </c>
      <c r="Q12">
        <f t="shared" si="16"/>
        <v>16.793553352621274</v>
      </c>
      <c r="R12">
        <f t="shared" si="18"/>
        <v>87.209346549698282</v>
      </c>
      <c r="S12">
        <f t="shared" si="18"/>
        <v>33.53042885211147</v>
      </c>
      <c r="T12">
        <f t="shared" si="18"/>
        <v>6.4643762455690048</v>
      </c>
      <c r="U12">
        <f t="shared" si="18"/>
        <v>127.20415164737872</v>
      </c>
      <c r="V12">
        <f t="shared" si="13"/>
        <v>7.0534003574144162E-3</v>
      </c>
      <c r="W12">
        <f t="shared" si="13"/>
        <v>1.1758511221970355E-2</v>
      </c>
      <c r="X12">
        <f t="shared" si="13"/>
        <v>3.7004681240195611E-2</v>
      </c>
      <c r="Y12">
        <f t="shared" si="5"/>
        <v>9.7422228739226183E-3</v>
      </c>
      <c r="Z12">
        <f t="shared" si="19"/>
        <v>0.16</v>
      </c>
      <c r="AA12">
        <f t="shared" si="20"/>
        <v>0.16</v>
      </c>
      <c r="AB12">
        <v>1</v>
      </c>
      <c r="AC12">
        <v>1</v>
      </c>
      <c r="AD12">
        <f t="shared" si="6"/>
        <v>20.352664263580596</v>
      </c>
      <c r="AE12">
        <f t="shared" si="21"/>
        <v>10.95203528665299</v>
      </c>
      <c r="AF12">
        <f t="shared" si="7"/>
        <v>8.9256143999999988</v>
      </c>
      <c r="AG12">
        <f t="shared" si="22"/>
        <v>9.403160279999998</v>
      </c>
      <c r="AH12">
        <f t="shared" si="8"/>
        <v>47.579458800000005</v>
      </c>
      <c r="AI12">
        <f t="shared" si="9"/>
        <v>106.85148738379813</v>
      </c>
      <c r="AJ12">
        <f t="shared" si="10"/>
        <v>5.8415180659682839</v>
      </c>
      <c r="AK12">
        <f t="shared" si="11"/>
        <v>46.859475599999996</v>
      </c>
      <c r="AL12">
        <f t="shared" si="12"/>
        <v>6.1809379199999999</v>
      </c>
      <c r="AM12">
        <v>0.4</v>
      </c>
      <c r="AN12">
        <f t="shared" si="23"/>
        <v>0.2</v>
      </c>
    </row>
    <row r="13" spans="1:40" x14ac:dyDescent="0.2">
      <c r="A13">
        <v>2035</v>
      </c>
      <c r="B13">
        <v>120.570572</v>
      </c>
      <c r="C13">
        <v>3.3368820000000001</v>
      </c>
      <c r="D13">
        <f t="shared" si="14"/>
        <v>29.310378999999998</v>
      </c>
      <c r="E13">
        <f t="shared" si="1"/>
        <v>11.724151599999999</v>
      </c>
      <c r="F13">
        <f t="shared" si="2"/>
        <v>17.586227399999999</v>
      </c>
      <c r="G13">
        <f t="shared" si="17"/>
        <v>91.260193000000001</v>
      </c>
      <c r="H13">
        <f t="shared" si="3"/>
        <v>36.504077200000005</v>
      </c>
      <c r="I13">
        <f t="shared" si="4"/>
        <v>54.756115799999996</v>
      </c>
      <c r="J13">
        <v>99.402584000000004</v>
      </c>
      <c r="K13">
        <v>39.096772000000001</v>
      </c>
      <c r="L13">
        <v>6.8581479999999999</v>
      </c>
      <c r="M13">
        <v>145.35750400000001</v>
      </c>
      <c r="N13">
        <f t="shared" si="15"/>
        <v>12.808359886425237</v>
      </c>
      <c r="O13">
        <f t="shared" si="16"/>
        <v>5.8028466867382704</v>
      </c>
      <c r="P13">
        <f t="shared" si="16"/>
        <v>0.43936758815195276</v>
      </c>
      <c r="Q13">
        <f t="shared" si="16"/>
        <v>19.050574161315495</v>
      </c>
      <c r="R13">
        <f t="shared" si="18"/>
        <v>86.594224113574768</v>
      </c>
      <c r="S13">
        <f t="shared" si="18"/>
        <v>33.293925313261731</v>
      </c>
      <c r="T13">
        <f t="shared" si="18"/>
        <v>6.4187804118480472</v>
      </c>
      <c r="U13">
        <f t="shared" si="18"/>
        <v>126.30692983868451</v>
      </c>
      <c r="V13">
        <f t="shared" si="13"/>
        <v>7.0534003574144162E-3</v>
      </c>
      <c r="W13">
        <f t="shared" si="13"/>
        <v>1.1758511221970355E-2</v>
      </c>
      <c r="X13">
        <f t="shared" si="13"/>
        <v>3.7004681240195611E-2</v>
      </c>
      <c r="Y13">
        <f t="shared" si="5"/>
        <v>9.732071585767034E-3</v>
      </c>
      <c r="Z13">
        <f t="shared" si="19"/>
        <v>0.2</v>
      </c>
      <c r="AA13">
        <f t="shared" si="20"/>
        <v>0.2</v>
      </c>
      <c r="AB13">
        <v>1</v>
      </c>
      <c r="AC13">
        <v>1</v>
      </c>
      <c r="AD13">
        <f t="shared" si="6"/>
        <v>25.261385967736903</v>
      </c>
      <c r="AE13">
        <f t="shared" si="21"/>
        <v>13.574150974470228</v>
      </c>
      <c r="AF13">
        <f t="shared" si="7"/>
        <v>10.95122316</v>
      </c>
      <c r="AG13">
        <f t="shared" si="22"/>
        <v>11.791598099999998</v>
      </c>
      <c r="AH13">
        <f t="shared" si="8"/>
        <v>48.228228800000004</v>
      </c>
      <c r="AI13">
        <f t="shared" si="9"/>
        <v>101.04554387094761</v>
      </c>
      <c r="AJ13">
        <f t="shared" si="10"/>
        <v>5.4764231868452669</v>
      </c>
      <c r="AK13">
        <f t="shared" si="11"/>
        <v>43.804892639999998</v>
      </c>
      <c r="AL13">
        <f t="shared" si="12"/>
        <v>5.7946293000000004</v>
      </c>
      <c r="AM13">
        <v>0.4</v>
      </c>
      <c r="AN13">
        <f t="shared" si="23"/>
        <v>0.25</v>
      </c>
    </row>
    <row r="14" spans="1:40" x14ac:dyDescent="0.2">
      <c r="A14">
        <v>2036</v>
      </c>
      <c r="B14">
        <v>122.16892199999999</v>
      </c>
      <c r="C14">
        <v>3.3359239999999999</v>
      </c>
      <c r="D14">
        <f t="shared" si="14"/>
        <v>32.646302999999996</v>
      </c>
      <c r="E14">
        <f t="shared" si="1"/>
        <v>13.058521199999999</v>
      </c>
      <c r="F14">
        <f t="shared" si="2"/>
        <v>19.587781799999998</v>
      </c>
      <c r="G14">
        <f t="shared" si="17"/>
        <v>89.522618999999992</v>
      </c>
      <c r="H14">
        <f t="shared" si="3"/>
        <v>35.8090476</v>
      </c>
      <c r="I14">
        <f t="shared" si="4"/>
        <v>53.713571399999992</v>
      </c>
      <c r="J14">
        <v>100.314464</v>
      </c>
      <c r="K14">
        <v>39.507691999999999</v>
      </c>
      <c r="L14">
        <v>6.863969</v>
      </c>
      <c r="M14">
        <v>146.686126</v>
      </c>
      <c r="N14">
        <f t="shared" si="15"/>
        <v>14.331023617737941</v>
      </c>
      <c r="O14">
        <f t="shared" si="16"/>
        <v>6.4486020714425578</v>
      </c>
      <c r="P14">
        <f t="shared" si="16"/>
        <v>0.49046281620304644</v>
      </c>
      <c r="Q14">
        <f t="shared" si="16"/>
        <v>21.270089505383581</v>
      </c>
      <c r="R14">
        <f t="shared" si="18"/>
        <v>85.98344038226206</v>
      </c>
      <c r="S14">
        <f t="shared" si="18"/>
        <v>33.059089928557441</v>
      </c>
      <c r="T14">
        <f t="shared" si="18"/>
        <v>6.3735061837969536</v>
      </c>
      <c r="U14">
        <f t="shared" si="18"/>
        <v>125.41603649461642</v>
      </c>
      <c r="V14">
        <f t="shared" si="13"/>
        <v>7.0534003574144162E-3</v>
      </c>
      <c r="W14">
        <f t="shared" si="13"/>
        <v>1.1758511221970355E-2</v>
      </c>
      <c r="X14">
        <f t="shared" si="13"/>
        <v>3.7004681240195611E-2</v>
      </c>
      <c r="Y14">
        <f t="shared" si="5"/>
        <v>9.7221785027928834E-3</v>
      </c>
      <c r="Z14">
        <f t="shared" si="19"/>
        <v>0.24000000000000002</v>
      </c>
      <c r="AA14">
        <f t="shared" si="20"/>
        <v>0.24000000000000002</v>
      </c>
      <c r="AB14">
        <v>1</v>
      </c>
      <c r="AC14">
        <v>1</v>
      </c>
      <c r="AD14">
        <f t="shared" si="6"/>
        <v>30.099848758707942</v>
      </c>
      <c r="AE14">
        <f t="shared" si="21"/>
        <v>16.158761197661331</v>
      </c>
      <c r="AF14">
        <f t="shared" si="7"/>
        <v>12.891257135999998</v>
      </c>
      <c r="AG14">
        <f t="shared" si="22"/>
        <v>14.179461119999999</v>
      </c>
      <c r="AH14">
        <f t="shared" si="8"/>
        <v>48.867568800000001</v>
      </c>
      <c r="AI14">
        <f t="shared" si="9"/>
        <v>95.316187735908471</v>
      </c>
      <c r="AJ14">
        <f t="shared" si="10"/>
        <v>5.1113283077222498</v>
      </c>
      <c r="AK14">
        <f t="shared" si="11"/>
        <v>40.822314263999992</v>
      </c>
      <c r="AL14">
        <f t="shared" si="12"/>
        <v>5.4083206799999992</v>
      </c>
      <c r="AM14">
        <v>0.4</v>
      </c>
      <c r="AN14">
        <f t="shared" si="23"/>
        <v>0.3</v>
      </c>
    </row>
    <row r="15" spans="1:40" x14ac:dyDescent="0.2">
      <c r="A15">
        <v>2037</v>
      </c>
      <c r="B15">
        <v>123.73555</v>
      </c>
      <c r="C15">
        <v>3.3269090000000001</v>
      </c>
      <c r="D15">
        <f t="shared" si="14"/>
        <v>35.973211999999997</v>
      </c>
      <c r="E15">
        <f t="shared" si="1"/>
        <v>14.389284799999999</v>
      </c>
      <c r="F15">
        <f t="shared" si="2"/>
        <v>21.583927199999998</v>
      </c>
      <c r="G15">
        <f t="shared" si="17"/>
        <v>87.762338</v>
      </c>
      <c r="H15">
        <f t="shared" si="3"/>
        <v>35.1049352</v>
      </c>
      <c r="I15">
        <f t="shared" si="4"/>
        <v>52.6574028</v>
      </c>
      <c r="J15">
        <v>101.201392</v>
      </c>
      <c r="K15">
        <v>39.887748000000002</v>
      </c>
      <c r="L15">
        <v>6.8687569999999996</v>
      </c>
      <c r="M15">
        <v>147.957897</v>
      </c>
      <c r="N15">
        <f t="shared" si="15"/>
        <v>15.824427246861902</v>
      </c>
      <c r="O15">
        <f t="shared" si="16"/>
        <v>7.0618370681604432</v>
      </c>
      <c r="P15">
        <f t="shared" si="16"/>
        <v>0.54020570699782233</v>
      </c>
      <c r="Q15">
        <f t="shared" si="16"/>
        <v>23.426470022020212</v>
      </c>
      <c r="R15">
        <f t="shared" si="18"/>
        <v>85.376964753138097</v>
      </c>
      <c r="S15">
        <f t="shared" si="18"/>
        <v>32.825910931839559</v>
      </c>
      <c r="T15">
        <f t="shared" si="18"/>
        <v>6.3285512930021772</v>
      </c>
      <c r="U15">
        <f t="shared" si="18"/>
        <v>124.53142697797979</v>
      </c>
      <c r="V15">
        <f t="shared" si="13"/>
        <v>7.0534003574144162E-3</v>
      </c>
      <c r="W15">
        <f t="shared" si="13"/>
        <v>1.1758511221970355E-2</v>
      </c>
      <c r="X15">
        <f t="shared" si="13"/>
        <v>3.7004681240195611E-2</v>
      </c>
      <c r="Y15">
        <f t="shared" si="5"/>
        <v>9.712294236529492E-3</v>
      </c>
      <c r="Z15">
        <f t="shared" si="19"/>
        <v>0.28000000000000003</v>
      </c>
      <c r="AA15">
        <f t="shared" si="20"/>
        <v>0.28000000000000003</v>
      </c>
      <c r="AB15">
        <v>1</v>
      </c>
      <c r="AC15">
        <v>1</v>
      </c>
      <c r="AD15">
        <f t="shared" si="6"/>
        <v>34.868799553834343</v>
      </c>
      <c r="AE15">
        <f t="shared" si="21"/>
        <v>18.680236593420979</v>
      </c>
      <c r="AF15">
        <f t="shared" si="7"/>
        <v>14.744072784000002</v>
      </c>
      <c r="AG15">
        <f t="shared" si="22"/>
        <v>16.561915139999996</v>
      </c>
      <c r="AH15">
        <f t="shared" si="8"/>
        <v>49.494219999999999</v>
      </c>
      <c r="AI15">
        <f t="shared" si="9"/>
        <v>89.662627424145455</v>
      </c>
      <c r="AJ15">
        <f t="shared" si="10"/>
        <v>4.7462334285992327</v>
      </c>
      <c r="AK15">
        <f t="shared" si="11"/>
        <v>37.913330015999996</v>
      </c>
      <c r="AL15">
        <f t="shared" si="12"/>
        <v>5.0220120600000016</v>
      </c>
      <c r="AM15">
        <v>0.4</v>
      </c>
      <c r="AN15">
        <f t="shared" si="23"/>
        <v>0.35</v>
      </c>
    </row>
    <row r="16" spans="1:40" x14ac:dyDescent="0.2">
      <c r="A16">
        <v>2038</v>
      </c>
      <c r="B16">
        <v>125.27293400000001</v>
      </c>
      <c r="C16">
        <v>3.3203109999999998</v>
      </c>
      <c r="D16">
        <f t="shared" si="14"/>
        <v>39.293522999999993</v>
      </c>
      <c r="E16">
        <f t="shared" si="1"/>
        <v>15.717409199999999</v>
      </c>
      <c r="F16">
        <f t="shared" si="2"/>
        <v>23.576113799999995</v>
      </c>
      <c r="G16">
        <f t="shared" si="17"/>
        <v>85.979411000000013</v>
      </c>
      <c r="H16">
        <f t="shared" si="3"/>
        <v>34.391764400000007</v>
      </c>
      <c r="I16">
        <f t="shared" si="4"/>
        <v>51.587646600000006</v>
      </c>
      <c r="J16">
        <v>102.063192</v>
      </c>
      <c r="K16">
        <v>40.244427999999999</v>
      </c>
      <c r="L16">
        <v>6.872681</v>
      </c>
      <c r="M16">
        <v>149.18030099999999</v>
      </c>
      <c r="N16">
        <f t="shared" si="15"/>
        <v>17.288425160566646</v>
      </c>
      <c r="O16">
        <f t="shared" si="16"/>
        <v>7.6500513600595283</v>
      </c>
      <c r="P16">
        <f t="shared" si="16"/>
        <v>0.58876751294979979</v>
      </c>
      <c r="Q16">
        <f t="shared" si="16"/>
        <v>25.527244033576011</v>
      </c>
      <c r="R16">
        <f t="shared" si="18"/>
        <v>84.774766839433354</v>
      </c>
      <c r="S16">
        <f t="shared" si="18"/>
        <v>32.594376639940471</v>
      </c>
      <c r="T16">
        <f t="shared" si="18"/>
        <v>6.2839134870502003</v>
      </c>
      <c r="U16">
        <f t="shared" si="18"/>
        <v>123.65305696642397</v>
      </c>
      <c r="V16">
        <f t="shared" si="13"/>
        <v>7.0534003574144162E-3</v>
      </c>
      <c r="W16">
        <f t="shared" si="13"/>
        <v>1.1758511221970355E-2</v>
      </c>
      <c r="X16">
        <f t="shared" si="13"/>
        <v>3.7004681240195611E-2</v>
      </c>
      <c r="Y16">
        <f t="shared" si="5"/>
        <v>9.7025443249506727E-3</v>
      </c>
      <c r="Z16">
        <f t="shared" si="19"/>
        <v>0.32</v>
      </c>
      <c r="AA16">
        <f t="shared" si="20"/>
        <v>0.32</v>
      </c>
      <c r="AB16">
        <v>1</v>
      </c>
      <c r="AC16">
        <v>1</v>
      </c>
      <c r="AD16">
        <f t="shared" si="6"/>
        <v>39.56897822925567</v>
      </c>
      <c r="AE16">
        <f t="shared" si="21"/>
        <v>21.146105484099799</v>
      </c>
      <c r="AF16">
        <f t="shared" si="7"/>
        <v>16.508046912000001</v>
      </c>
      <c r="AG16">
        <f t="shared" si="22"/>
        <v>18.940410359999994</v>
      </c>
      <c r="AH16">
        <f t="shared" si="8"/>
        <v>50.109173600000005</v>
      </c>
      <c r="AI16">
        <f t="shared" si="9"/>
        <v>84.084078737168312</v>
      </c>
      <c r="AJ16">
        <f t="shared" si="10"/>
        <v>4.3811385494762121</v>
      </c>
      <c r="AK16">
        <f t="shared" si="11"/>
        <v>35.079599688000002</v>
      </c>
      <c r="AL16">
        <f t="shared" si="12"/>
        <v>4.6357034400000003</v>
      </c>
      <c r="AM16">
        <v>0.4</v>
      </c>
      <c r="AN16">
        <f t="shared" si="23"/>
        <v>0.39999999999999997</v>
      </c>
    </row>
    <row r="17" spans="1:40" x14ac:dyDescent="0.2">
      <c r="A17">
        <v>2039</v>
      </c>
      <c r="B17">
        <v>126.786034</v>
      </c>
      <c r="C17">
        <v>3.3185319999999998</v>
      </c>
      <c r="D17">
        <f t="shared" si="14"/>
        <v>42.612054999999991</v>
      </c>
      <c r="E17">
        <f t="shared" si="1"/>
        <v>17.044821999999996</v>
      </c>
      <c r="F17">
        <f t="shared" si="2"/>
        <v>25.567232999999995</v>
      </c>
      <c r="G17">
        <f t="shared" si="17"/>
        <v>84.173979000000003</v>
      </c>
      <c r="H17">
        <f t="shared" si="3"/>
        <v>33.669591600000004</v>
      </c>
      <c r="I17">
        <f t="shared" si="4"/>
        <v>50.504387399999999</v>
      </c>
      <c r="J17">
        <v>102.89217600000001</v>
      </c>
      <c r="K17">
        <v>40.580072000000001</v>
      </c>
      <c r="L17">
        <v>6.8761729999999996</v>
      </c>
      <c r="M17">
        <v>150.348421</v>
      </c>
      <c r="N17">
        <f t="shared" si="15"/>
        <v>18.715359531291639</v>
      </c>
      <c r="O17">
        <f t="shared" si="16"/>
        <v>8.2155965479013844</v>
      </c>
      <c r="P17">
        <f t="shared" si="16"/>
        <v>0.63658247058532069</v>
      </c>
      <c r="Q17">
        <f t="shared" si="16"/>
        <v>27.567538549778391</v>
      </c>
      <c r="R17">
        <f t="shared" si="18"/>
        <v>84.176816468708367</v>
      </c>
      <c r="S17">
        <f t="shared" si="18"/>
        <v>32.364475452098617</v>
      </c>
      <c r="T17">
        <f t="shared" si="18"/>
        <v>6.239590529414679</v>
      </c>
      <c r="U17">
        <f t="shared" si="18"/>
        <v>122.78088245022161</v>
      </c>
      <c r="V17">
        <f t="shared" si="13"/>
        <v>7.0534003574144162E-3</v>
      </c>
      <c r="W17">
        <f t="shared" si="13"/>
        <v>1.1758511221970355E-2</v>
      </c>
      <c r="X17">
        <f t="shared" si="13"/>
        <v>3.7004681240195611E-2</v>
      </c>
      <c r="Y17">
        <f t="shared" si="5"/>
        <v>9.6931615463480766E-3</v>
      </c>
      <c r="Z17">
        <f t="shared" si="19"/>
        <v>0.36</v>
      </c>
      <c r="AA17">
        <f t="shared" si="20"/>
        <v>0.36</v>
      </c>
      <c r="AB17">
        <v>1</v>
      </c>
      <c r="AC17">
        <v>1</v>
      </c>
      <c r="AD17">
        <f t="shared" si="6"/>
        <v>44.201117682079776</v>
      </c>
      <c r="AE17">
        <f t="shared" si="21"/>
        <v>23.551494879425196</v>
      </c>
      <c r="AF17">
        <f t="shared" si="7"/>
        <v>18.181579463999999</v>
      </c>
      <c r="AG17">
        <f t="shared" si="22"/>
        <v>21.317838179999995</v>
      </c>
      <c r="AH17">
        <f t="shared" si="8"/>
        <v>50.7144136</v>
      </c>
      <c r="AI17">
        <f t="shared" si="9"/>
        <v>78.579764768141843</v>
      </c>
      <c r="AJ17">
        <f t="shared" si="10"/>
        <v>4.016043670353195</v>
      </c>
      <c r="AK17">
        <f t="shared" si="11"/>
        <v>32.322807936000004</v>
      </c>
      <c r="AL17">
        <f t="shared" si="12"/>
        <v>4.2493948199999991</v>
      </c>
      <c r="AM17">
        <v>0.4</v>
      </c>
      <c r="AN17">
        <f t="shared" si="23"/>
        <v>0.44999999999999996</v>
      </c>
    </row>
    <row r="18" spans="1:40" x14ac:dyDescent="0.2">
      <c r="A18">
        <v>2040</v>
      </c>
      <c r="B18">
        <v>128.28021200000001</v>
      </c>
      <c r="C18">
        <v>3.3219720000000001</v>
      </c>
      <c r="D18">
        <f t="shared" si="14"/>
        <v>45.934026999999993</v>
      </c>
      <c r="E18">
        <f t="shared" si="1"/>
        <v>18.373610799999998</v>
      </c>
      <c r="F18">
        <f t="shared" si="2"/>
        <v>27.560416199999995</v>
      </c>
      <c r="G18">
        <f t="shared" si="17"/>
        <v>82.34618500000002</v>
      </c>
      <c r="H18">
        <f t="shared" si="3"/>
        <v>32.938474000000006</v>
      </c>
      <c r="I18">
        <f t="shared" si="4"/>
        <v>49.407711000000013</v>
      </c>
      <c r="J18">
        <v>103.692392</v>
      </c>
      <c r="K18">
        <v>40.897655999999998</v>
      </c>
      <c r="L18">
        <v>6.8816290000000002</v>
      </c>
      <c r="M18">
        <v>151.471677</v>
      </c>
      <c r="N18">
        <f t="shared" si="15"/>
        <v>20.109308318658023</v>
      </c>
      <c r="O18">
        <f t="shared" si="15"/>
        <v>8.7614601506227459</v>
      </c>
      <c r="P18">
        <f t="shared" si="15"/>
        <v>0.68604880065561424</v>
      </c>
      <c r="Q18">
        <f t="shared" si="15"/>
        <v>29.556817269936445</v>
      </c>
      <c r="R18">
        <f t="shared" si="18"/>
        <v>83.583083681341975</v>
      </c>
      <c r="S18">
        <f t="shared" si="18"/>
        <v>32.136195849377252</v>
      </c>
      <c r="T18">
        <f t="shared" si="18"/>
        <v>6.195580199344386</v>
      </c>
      <c r="U18">
        <f t="shared" si="18"/>
        <v>121.91485973006355</v>
      </c>
      <c r="V18">
        <f t="shared" si="13"/>
        <v>7.0534003574144162E-3</v>
      </c>
      <c r="W18">
        <f t="shared" si="13"/>
        <v>1.1758511221970355E-2</v>
      </c>
      <c r="X18">
        <f t="shared" si="13"/>
        <v>3.7004681240195611E-2</v>
      </c>
      <c r="Y18">
        <f t="shared" si="5"/>
        <v>9.6845299295162945E-3</v>
      </c>
      <c r="Z18">
        <f t="shared" si="19"/>
        <v>0.39999999999999997</v>
      </c>
      <c r="AA18">
        <f t="shared" si="20"/>
        <v>0.39999999999999997</v>
      </c>
      <c r="AB18">
        <v>1</v>
      </c>
      <c r="AC18">
        <v>1</v>
      </c>
      <c r="AD18">
        <f t="shared" si="6"/>
        <v>48.765943892025419</v>
      </c>
      <c r="AE18">
        <f t="shared" si="21"/>
        <v>25.905868478706267</v>
      </c>
      <c r="AF18">
        <f t="shared" si="7"/>
        <v>19.763084400000004</v>
      </c>
      <c r="AG18">
        <f t="shared" si="22"/>
        <v>23.697329999999994</v>
      </c>
      <c r="AH18">
        <f t="shared" si="8"/>
        <v>51.312084800000008</v>
      </c>
      <c r="AI18">
        <f t="shared" si="9"/>
        <v>73.148915838038135</v>
      </c>
      <c r="AJ18">
        <f t="shared" si="10"/>
        <v>3.6509487912301779</v>
      </c>
      <c r="AK18">
        <f t="shared" si="11"/>
        <v>29.644626600000009</v>
      </c>
      <c r="AL18">
        <f t="shared" si="12"/>
        <v>3.8630862000000015</v>
      </c>
      <c r="AM18">
        <v>0.4</v>
      </c>
      <c r="AN18">
        <f t="shared" si="23"/>
        <v>0.49999999999999994</v>
      </c>
    </row>
    <row r="19" spans="1:40" x14ac:dyDescent="0.2">
      <c r="A19">
        <v>2041</v>
      </c>
      <c r="B19">
        <v>129.76083399999999</v>
      </c>
      <c r="C19">
        <v>3.3306</v>
      </c>
      <c r="D19">
        <f t="shared" si="14"/>
        <v>49.26462699999999</v>
      </c>
      <c r="E19">
        <f t="shared" si="1"/>
        <v>19.705850799999997</v>
      </c>
      <c r="F19">
        <f t="shared" si="2"/>
        <v>29.558776199999993</v>
      </c>
      <c r="G19">
        <f t="shared" si="17"/>
        <v>80.496206999999998</v>
      </c>
      <c r="H19">
        <f t="shared" si="3"/>
        <v>32.198482800000001</v>
      </c>
      <c r="I19">
        <f t="shared" si="4"/>
        <v>48.297724199999998</v>
      </c>
      <c r="J19">
        <v>104.460888</v>
      </c>
      <c r="K19">
        <v>41.193407999999998</v>
      </c>
      <c r="L19">
        <v>6.8880090000000003</v>
      </c>
      <c r="M19">
        <v>152.542305</v>
      </c>
      <c r="N19">
        <f t="shared" si="15"/>
        <v>21.467349270969805</v>
      </c>
      <c r="O19">
        <f t="shared" si="15"/>
        <v>9.2838816059126827</v>
      </c>
      <c r="P19">
        <f t="shared" si="15"/>
        <v>0.73612870824806009</v>
      </c>
      <c r="Q19">
        <f t="shared" si="15"/>
        <v>31.487359585130605</v>
      </c>
      <c r="R19">
        <f t="shared" si="18"/>
        <v>82.993538729030192</v>
      </c>
      <c r="S19">
        <f t="shared" si="18"/>
        <v>31.909526394087315</v>
      </c>
      <c r="T19">
        <f t="shared" si="18"/>
        <v>6.1518802917519402</v>
      </c>
      <c r="U19">
        <f t="shared" si="18"/>
        <v>121.05494541486939</v>
      </c>
      <c r="V19">
        <f t="shared" si="13"/>
        <v>7.0534003574144162E-3</v>
      </c>
      <c r="W19">
        <f t="shared" si="13"/>
        <v>1.1758511221970355E-2</v>
      </c>
      <c r="X19">
        <f t="shared" si="13"/>
        <v>3.7004681240195611E-2</v>
      </c>
      <c r="Y19">
        <f t="shared" si="5"/>
        <v>9.6764382340940053E-3</v>
      </c>
      <c r="Z19">
        <f t="shared" si="19"/>
        <v>0.43999999999999995</v>
      </c>
      <c r="AA19">
        <f t="shared" si="20"/>
        <v>0.43999999999999995</v>
      </c>
      <c r="AB19">
        <v>1</v>
      </c>
      <c r="AC19">
        <v>1</v>
      </c>
      <c r="AD19">
        <f t="shared" si="6"/>
        <v>53.264175982542525</v>
      </c>
      <c r="AE19">
        <f t="shared" si="21"/>
        <v>28.201505673023444</v>
      </c>
      <c r="AF19">
        <f t="shared" si="7"/>
        <v>21.250998647999996</v>
      </c>
      <c r="AG19">
        <f t="shared" si="22"/>
        <v>26.081998619999993</v>
      </c>
      <c r="AH19">
        <f t="shared" si="8"/>
        <v>51.904333600000001</v>
      </c>
      <c r="AI19">
        <f t="shared" si="9"/>
        <v>67.790769432326869</v>
      </c>
      <c r="AJ19">
        <f t="shared" si="10"/>
        <v>3.2858539121071608</v>
      </c>
      <c r="AK19">
        <f t="shared" si="11"/>
        <v>27.046725552000002</v>
      </c>
      <c r="AL19">
        <f t="shared" si="12"/>
        <v>3.4767775800000003</v>
      </c>
      <c r="AM19">
        <v>0.4</v>
      </c>
      <c r="AN19">
        <f t="shared" si="23"/>
        <v>0.54999999999999993</v>
      </c>
    </row>
    <row r="20" spans="1:40" x14ac:dyDescent="0.2">
      <c r="A20">
        <v>2042</v>
      </c>
      <c r="B20">
        <v>131.231323</v>
      </c>
      <c r="C20">
        <v>3.3425159999999998</v>
      </c>
      <c r="D20">
        <f t="shared" si="14"/>
        <v>52.607142999999994</v>
      </c>
      <c r="E20">
        <f t="shared" si="1"/>
        <v>21.0428572</v>
      </c>
      <c r="F20">
        <f t="shared" si="2"/>
        <v>31.564285799999993</v>
      </c>
      <c r="G20">
        <f t="shared" si="17"/>
        <v>78.62418000000001</v>
      </c>
      <c r="H20">
        <f t="shared" si="3"/>
        <v>31.449672000000007</v>
      </c>
      <c r="I20">
        <f t="shared" si="4"/>
        <v>47.174508000000003</v>
      </c>
      <c r="J20">
        <v>105.20867200000001</v>
      </c>
      <c r="K20">
        <v>41.472396000000003</v>
      </c>
      <c r="L20">
        <v>6.8943719999999997</v>
      </c>
      <c r="M20">
        <v>153.57543999999999</v>
      </c>
      <c r="N20">
        <f t="shared" si="15"/>
        <v>22.80051992670424</v>
      </c>
      <c r="O20">
        <f t="shared" si="15"/>
        <v>9.7879402707856684</v>
      </c>
      <c r="P20">
        <f t="shared" si="15"/>
        <v>0.78588338289667359</v>
      </c>
      <c r="Q20">
        <f t="shared" si="15"/>
        <v>33.374343580386622</v>
      </c>
      <c r="R20">
        <f t="shared" ref="R20:U28" si="24">R19*(1-$V19)</f>
        <v>82.408152073295767</v>
      </c>
      <c r="S20">
        <f t="shared" si="24"/>
        <v>31.684455729214335</v>
      </c>
      <c r="T20">
        <f t="shared" si="24"/>
        <v>6.1084886171033261</v>
      </c>
      <c r="U20">
        <f t="shared" si="24"/>
        <v>120.20109641961336</v>
      </c>
      <c r="V20">
        <f t="shared" ref="V20:X28" si="25">V19</f>
        <v>7.0534003574144162E-3</v>
      </c>
      <c r="W20">
        <f t="shared" si="25"/>
        <v>1.1758511221970355E-2</v>
      </c>
      <c r="X20">
        <f t="shared" si="25"/>
        <v>3.7004681240195611E-2</v>
      </c>
      <c r="Y20">
        <f t="shared" si="5"/>
        <v>9.6685808399261282E-3</v>
      </c>
      <c r="Z20">
        <f t="shared" si="19"/>
        <v>0.47999999999999993</v>
      </c>
      <c r="AA20">
        <f t="shared" si="20"/>
        <v>0.47999999999999993</v>
      </c>
      <c r="AB20">
        <v>1</v>
      </c>
      <c r="AC20">
        <v>1</v>
      </c>
      <c r="AD20">
        <f t="shared" si="6"/>
        <v>57.696526281414407</v>
      </c>
      <c r="AE20">
        <f t="shared" si="21"/>
        <v>30.453584547402478</v>
      </c>
      <c r="AF20">
        <f t="shared" si="7"/>
        <v>22.643763839999998</v>
      </c>
      <c r="AG20">
        <f t="shared" si="22"/>
        <v>28.473816839999994</v>
      </c>
      <c r="AH20">
        <f t="shared" si="8"/>
        <v>52.492529200000007</v>
      </c>
      <c r="AI20">
        <f t="shared" si="9"/>
        <v>62.504570138198957</v>
      </c>
      <c r="AJ20">
        <f t="shared" si="10"/>
        <v>2.9207590329841437</v>
      </c>
      <c r="AK20">
        <f t="shared" si="11"/>
        <v>24.530744160000005</v>
      </c>
      <c r="AL20">
        <f t="shared" si="12"/>
        <v>3.090468959999999</v>
      </c>
      <c r="AM20">
        <v>0.4</v>
      </c>
      <c r="AN20">
        <f t="shared" si="23"/>
        <v>0.6</v>
      </c>
    </row>
    <row r="21" spans="1:40" x14ac:dyDescent="0.2">
      <c r="A21">
        <v>2043</v>
      </c>
      <c r="B21">
        <v>132.69490099999999</v>
      </c>
      <c r="C21">
        <v>3.3574739999999998</v>
      </c>
      <c r="D21">
        <f t="shared" si="14"/>
        <v>55.96461699999999</v>
      </c>
      <c r="E21">
        <f t="shared" si="1"/>
        <v>22.385846799999996</v>
      </c>
      <c r="F21">
        <f t="shared" si="2"/>
        <v>33.578770199999994</v>
      </c>
      <c r="G21">
        <f t="shared" si="17"/>
        <v>76.730283999999997</v>
      </c>
      <c r="H21">
        <f t="shared" si="3"/>
        <v>30.692113599999999</v>
      </c>
      <c r="I21">
        <f t="shared" si="4"/>
        <v>46.038170399999998</v>
      </c>
      <c r="J21">
        <v>105.923744</v>
      </c>
      <c r="K21">
        <v>41.742612000000001</v>
      </c>
      <c r="L21">
        <v>6.8997310000000001</v>
      </c>
      <c r="M21">
        <v>154.56608700000001</v>
      </c>
      <c r="N21">
        <f t="shared" si="15"/>
        <v>24.096849615991871</v>
      </c>
      <c r="O21">
        <f t="shared" si="15"/>
        <v>10.281639422150587</v>
      </c>
      <c r="P21">
        <f t="shared" si="15"/>
        <v>0.83432799869181284</v>
      </c>
      <c r="Q21">
        <f t="shared" si="15"/>
        <v>35.212817036834352</v>
      </c>
      <c r="R21">
        <f t="shared" si="24"/>
        <v>81.826894384008128</v>
      </c>
      <c r="S21">
        <f t="shared" si="24"/>
        <v>31.460972577849414</v>
      </c>
      <c r="T21">
        <f t="shared" si="24"/>
        <v>6.0654030013081872</v>
      </c>
      <c r="U21">
        <f t="shared" si="24"/>
        <v>119.35326996316566</v>
      </c>
      <c r="V21">
        <f t="shared" si="25"/>
        <v>7.0534003574144162E-3</v>
      </c>
      <c r="W21">
        <f t="shared" si="25"/>
        <v>1.1758511221970355E-2</v>
      </c>
      <c r="X21">
        <f t="shared" si="25"/>
        <v>3.7004681240195611E-2</v>
      </c>
      <c r="Y21">
        <f t="shared" si="5"/>
        <v>9.6610836225848387E-3</v>
      </c>
      <c r="Z21">
        <f t="shared" si="19"/>
        <v>0.51999999999999991</v>
      </c>
      <c r="AA21">
        <f t="shared" si="20"/>
        <v>0.51999999999999991</v>
      </c>
      <c r="AB21">
        <v>1</v>
      </c>
      <c r="AC21">
        <v>1</v>
      </c>
      <c r="AD21">
        <f t="shared" si="6"/>
        <v>62.063700380846129</v>
      </c>
      <c r="AE21">
        <f t="shared" si="21"/>
        <v>32.657152882973229</v>
      </c>
      <c r="AF21">
        <f t="shared" si="7"/>
        <v>23.939848607999995</v>
      </c>
      <c r="AG21">
        <f t="shared" si="22"/>
        <v>30.874609859999993</v>
      </c>
      <c r="AH21">
        <f t="shared" si="8"/>
        <v>53.077960399999995</v>
      </c>
      <c r="AI21">
        <f t="shared" si="9"/>
        <v>57.28956958231953</v>
      </c>
      <c r="AJ21">
        <f t="shared" si="10"/>
        <v>2.5556641538611231</v>
      </c>
      <c r="AK21">
        <f t="shared" si="11"/>
        <v>22.098321792000004</v>
      </c>
      <c r="AL21">
        <f t="shared" si="12"/>
        <v>2.7041603400000014</v>
      </c>
      <c r="AM21">
        <v>0.4</v>
      </c>
      <c r="AN21">
        <f t="shared" si="23"/>
        <v>0.65</v>
      </c>
    </row>
    <row r="22" spans="1:40" x14ac:dyDescent="0.2">
      <c r="A22">
        <v>2044</v>
      </c>
      <c r="B22">
        <v>134.15536499999999</v>
      </c>
      <c r="C22">
        <v>3.3761589999999999</v>
      </c>
      <c r="D22">
        <f t="shared" si="14"/>
        <v>59.340775999999991</v>
      </c>
      <c r="E22">
        <f t="shared" si="1"/>
        <v>23.736310399999997</v>
      </c>
      <c r="F22">
        <f t="shared" si="2"/>
        <v>35.60446559999999</v>
      </c>
      <c r="G22">
        <f t="shared" si="17"/>
        <v>74.814588999999998</v>
      </c>
      <c r="H22">
        <f t="shared" si="3"/>
        <v>29.925835599999999</v>
      </c>
      <c r="I22">
        <f t="shared" si="4"/>
        <v>44.888753399999999</v>
      </c>
      <c r="J22">
        <v>106.61773599999999</v>
      </c>
      <c r="K22">
        <v>42.013559999999998</v>
      </c>
      <c r="L22">
        <v>6.9049379999999996</v>
      </c>
      <c r="M22">
        <v>155.53623400000001</v>
      </c>
      <c r="N22">
        <f t="shared" si="15"/>
        <v>25.367999462086146</v>
      </c>
      <c r="O22">
        <f t="shared" si="15"/>
        <v>10.774494257375792</v>
      </c>
      <c r="P22">
        <f t="shared" si="15"/>
        <v>0.88231671438910197</v>
      </c>
      <c r="Q22">
        <f t="shared" si="15"/>
        <v>37.024810433851115</v>
      </c>
      <c r="R22">
        <f t="shared" si="24"/>
        <v>81.249736537913847</v>
      </c>
      <c r="S22">
        <f t="shared" si="24"/>
        <v>31.239065742624206</v>
      </c>
      <c r="T22">
        <f t="shared" si="24"/>
        <v>6.0226212856108976</v>
      </c>
      <c r="U22">
        <f t="shared" si="24"/>
        <v>118.51142356614889</v>
      </c>
      <c r="V22">
        <f t="shared" si="25"/>
        <v>7.0534003574144162E-3</v>
      </c>
      <c r="W22">
        <f t="shared" si="25"/>
        <v>1.1758511221970355E-2</v>
      </c>
      <c r="X22">
        <f t="shared" si="25"/>
        <v>3.7004681240195611E-2</v>
      </c>
      <c r="Y22">
        <f t="shared" si="5"/>
        <v>9.6540174916241988E-3</v>
      </c>
      <c r="Z22">
        <f t="shared" si="19"/>
        <v>0.55999999999999994</v>
      </c>
      <c r="AA22">
        <f t="shared" si="20"/>
        <v>0.55999999999999994</v>
      </c>
      <c r="AB22">
        <v>1</v>
      </c>
      <c r="AC22">
        <v>1</v>
      </c>
      <c r="AD22">
        <f t="shared" si="6"/>
        <v>66.366397197043369</v>
      </c>
      <c r="AE22">
        <f t="shared" si="21"/>
        <v>34.834241159113006</v>
      </c>
      <c r="AF22">
        <f t="shared" si="7"/>
        <v>25.137701903999996</v>
      </c>
      <c r="AG22">
        <f t="shared" si="22"/>
        <v>33.28661387999999</v>
      </c>
      <c r="AH22">
        <f t="shared" si="8"/>
        <v>53.662145999999993</v>
      </c>
      <c r="AI22">
        <f t="shared" si="9"/>
        <v>52.145026369105523</v>
      </c>
      <c r="AJ22">
        <f t="shared" si="10"/>
        <v>2.1905692747381096</v>
      </c>
      <c r="AK22">
        <f t="shared" si="11"/>
        <v>19.751051496000002</v>
      </c>
      <c r="AL22">
        <f t="shared" si="12"/>
        <v>2.3178517200000002</v>
      </c>
      <c r="AM22">
        <v>0.4</v>
      </c>
      <c r="AN22">
        <f t="shared" si="23"/>
        <v>0.70000000000000007</v>
      </c>
    </row>
    <row r="23" spans="1:40" x14ac:dyDescent="0.2">
      <c r="A23">
        <v>2045</v>
      </c>
      <c r="B23">
        <v>135.616333</v>
      </c>
      <c r="C23">
        <v>3.3983430000000001</v>
      </c>
      <c r="D23">
        <f t="shared" si="14"/>
        <v>62.739118999999988</v>
      </c>
      <c r="E23">
        <f t="shared" si="1"/>
        <v>25.095647599999996</v>
      </c>
      <c r="F23">
        <f t="shared" si="2"/>
        <v>37.643471399999989</v>
      </c>
      <c r="G23">
        <f t="shared" si="17"/>
        <v>72.877214000000009</v>
      </c>
      <c r="H23">
        <f t="shared" si="3"/>
        <v>29.150885600000006</v>
      </c>
      <c r="I23">
        <f t="shared" si="4"/>
        <v>43.726328400000007</v>
      </c>
      <c r="J23">
        <v>107.31068</v>
      </c>
      <c r="K23">
        <v>42.284568</v>
      </c>
      <c r="L23">
        <v>6.9104179999999999</v>
      </c>
      <c r="M23">
        <v>156.50566499999999</v>
      </c>
      <c r="N23">
        <f t="shared" si="15"/>
        <v>26.634030382822502</v>
      </c>
      <c r="O23">
        <f t="shared" si="15"/>
        <v>11.265843894850111</v>
      </c>
      <c r="P23">
        <f t="shared" si="15"/>
        <v>0.93027667351760179</v>
      </c>
      <c r="Q23">
        <f t="shared" si="15"/>
        <v>38.830149951190265</v>
      </c>
      <c r="R23">
        <f t="shared" si="24"/>
        <v>80.676649617177503</v>
      </c>
      <c r="S23">
        <f t="shared" si="24"/>
        <v>31.018724105149889</v>
      </c>
      <c r="T23">
        <f t="shared" si="24"/>
        <v>5.9801413264823982</v>
      </c>
      <c r="U23">
        <f t="shared" si="24"/>
        <v>117.67551504880973</v>
      </c>
      <c r="V23">
        <f t="shared" si="25"/>
        <v>7.0534003574144162E-3</v>
      </c>
      <c r="W23">
        <f t="shared" si="25"/>
        <v>1.1758511221970355E-2</v>
      </c>
      <c r="X23">
        <f t="shared" si="25"/>
        <v>3.7004681240195611E-2</v>
      </c>
      <c r="Y23">
        <f t="shared" si="5"/>
        <v>9.6471049232439137E-3</v>
      </c>
      <c r="Z23">
        <f t="shared" si="19"/>
        <v>0.6</v>
      </c>
      <c r="AA23">
        <f t="shared" si="20"/>
        <v>0.6</v>
      </c>
      <c r="AB23">
        <v>1</v>
      </c>
      <c r="AC23">
        <v>1</v>
      </c>
      <c r="AD23">
        <f t="shared" si="6"/>
        <v>70.605309029285834</v>
      </c>
      <c r="AE23">
        <f t="shared" si="21"/>
        <v>37.004675555575176</v>
      </c>
      <c r="AF23">
        <f t="shared" si="7"/>
        <v>26.235797040000005</v>
      </c>
      <c r="AG23">
        <f t="shared" si="22"/>
        <v>35.71192829999999</v>
      </c>
      <c r="AH23">
        <f t="shared" si="8"/>
        <v>54.246533200000002</v>
      </c>
      <c r="AI23">
        <f t="shared" si="9"/>
        <v>47.070206019523894</v>
      </c>
      <c r="AJ23">
        <f t="shared" si="10"/>
        <v>1.825474395615089</v>
      </c>
      <c r="AK23">
        <f t="shared" si="11"/>
        <v>17.490531360000002</v>
      </c>
      <c r="AL23">
        <f t="shared" si="12"/>
        <v>1.931543099999999</v>
      </c>
      <c r="AM23">
        <v>0.4</v>
      </c>
      <c r="AN23">
        <f t="shared" si="23"/>
        <v>0.75000000000000011</v>
      </c>
    </row>
    <row r="24" spans="1:40" x14ac:dyDescent="0.2">
      <c r="A24">
        <v>2046</v>
      </c>
      <c r="B24">
        <v>137.08107000000001</v>
      </c>
      <c r="C24">
        <v>3.4237730000000002</v>
      </c>
      <c r="D24">
        <f t="shared" si="14"/>
        <v>66.162891999999985</v>
      </c>
      <c r="E24">
        <f t="shared" si="1"/>
        <v>26.465156799999995</v>
      </c>
      <c r="F24">
        <f t="shared" si="2"/>
        <v>39.69773519999999</v>
      </c>
      <c r="G24">
        <f t="shared" si="17"/>
        <v>70.918178000000026</v>
      </c>
      <c r="H24">
        <f t="shared" si="3"/>
        <v>28.367271200000012</v>
      </c>
      <c r="I24">
        <f t="shared" si="4"/>
        <v>42.550906800000014</v>
      </c>
      <c r="J24">
        <v>107.999864</v>
      </c>
      <c r="K24">
        <v>42.555123999999999</v>
      </c>
      <c r="L24">
        <v>6.9140819999999996</v>
      </c>
      <c r="M24">
        <v>157.46906999999999</v>
      </c>
      <c r="N24">
        <f t="shared" si="15"/>
        <v>27.892259092067292</v>
      </c>
      <c r="O24">
        <f t="shared" si="15"/>
        <v>11.755187374539915</v>
      </c>
      <c r="P24">
        <f t="shared" si="15"/>
        <v>0.97612100448720085</v>
      </c>
      <c r="Q24">
        <f t="shared" si="15"/>
        <v>40.623567471094461</v>
      </c>
      <c r="R24">
        <f t="shared" si="24"/>
        <v>80.107604907932711</v>
      </c>
      <c r="S24">
        <f t="shared" si="24"/>
        <v>30.799936625460084</v>
      </c>
      <c r="T24">
        <f t="shared" si="24"/>
        <v>5.9379609955127988</v>
      </c>
      <c r="U24">
        <f t="shared" si="24"/>
        <v>116.84550252890553</v>
      </c>
      <c r="V24">
        <f t="shared" si="25"/>
        <v>7.0534003574144162E-3</v>
      </c>
      <c r="W24">
        <f t="shared" si="25"/>
        <v>1.1758511221970355E-2</v>
      </c>
      <c r="X24">
        <f t="shared" si="25"/>
        <v>3.7004681240195611E-2</v>
      </c>
      <c r="Y24">
        <f t="shared" si="5"/>
        <v>9.6400174518286204E-3</v>
      </c>
      <c r="Z24">
        <f t="shared" si="19"/>
        <v>0.64</v>
      </c>
      <c r="AA24">
        <f t="shared" si="20"/>
        <v>0.64</v>
      </c>
      <c r="AB24">
        <v>1</v>
      </c>
      <c r="AC24">
        <v>1</v>
      </c>
      <c r="AD24">
        <f t="shared" si="6"/>
        <v>74.78112161849954</v>
      </c>
      <c r="AE24">
        <f t="shared" si="21"/>
        <v>39.163187954602392</v>
      </c>
      <c r="AF24">
        <f t="shared" si="7"/>
        <v>27.23258035200001</v>
      </c>
      <c r="AG24">
        <f t="shared" si="22"/>
        <v>38.152500719999992</v>
      </c>
      <c r="AH24">
        <f t="shared" si="8"/>
        <v>54.832428000000007</v>
      </c>
      <c r="AI24">
        <f t="shared" si="9"/>
        <v>42.064380910405987</v>
      </c>
      <c r="AJ24">
        <f t="shared" si="10"/>
        <v>1.4603795164920683</v>
      </c>
      <c r="AK24">
        <f t="shared" si="11"/>
        <v>15.318326448000004</v>
      </c>
      <c r="AL24">
        <f t="shared" si="12"/>
        <v>1.5452344799999977</v>
      </c>
      <c r="AM24">
        <v>0.4</v>
      </c>
      <c r="AN24">
        <f t="shared" si="23"/>
        <v>0.80000000000000016</v>
      </c>
    </row>
    <row r="25" spans="1:40" x14ac:dyDescent="0.2">
      <c r="A25">
        <v>2047</v>
      </c>
      <c r="B25">
        <v>138.55230700000001</v>
      </c>
      <c r="C25">
        <v>3.4518680000000002</v>
      </c>
      <c r="D25">
        <f t="shared" si="14"/>
        <v>69.61475999999999</v>
      </c>
      <c r="E25">
        <f t="shared" si="1"/>
        <v>27.845903999999997</v>
      </c>
      <c r="F25">
        <f t="shared" si="2"/>
        <v>41.768855999999992</v>
      </c>
      <c r="G25">
        <f t="shared" si="17"/>
        <v>68.937547000000023</v>
      </c>
      <c r="H25">
        <f t="shared" si="3"/>
        <v>27.575018800000009</v>
      </c>
      <c r="I25">
        <f t="shared" si="4"/>
        <v>41.362528200000014</v>
      </c>
      <c r="J25">
        <v>108.685976</v>
      </c>
      <c r="K25">
        <v>42.823943999999997</v>
      </c>
      <c r="L25">
        <v>6.9172450000000003</v>
      </c>
      <c r="M25">
        <v>158.427165</v>
      </c>
      <c r="N25">
        <f t="shared" si="15"/>
        <v>29.143402101156511</v>
      </c>
      <c r="O25">
        <f t="shared" si="15"/>
        <v>12.241251658542275</v>
      </c>
      <c r="P25">
        <f t="shared" si="15"/>
        <v>1.0211668206952647</v>
      </c>
      <c r="Q25">
        <f t="shared" si="15"/>
        <v>42.405820580394121</v>
      </c>
      <c r="R25">
        <f t="shared" si="24"/>
        <v>79.542573898843486</v>
      </c>
      <c r="S25">
        <f t="shared" si="24"/>
        <v>30.582692341457722</v>
      </c>
      <c r="T25">
        <f t="shared" si="24"/>
        <v>5.8960781793047357</v>
      </c>
      <c r="U25">
        <f t="shared" si="24"/>
        <v>116.02134441960588</v>
      </c>
      <c r="V25">
        <f t="shared" si="25"/>
        <v>7.0534003574144162E-3</v>
      </c>
      <c r="W25">
        <f t="shared" si="25"/>
        <v>1.1758511221970355E-2</v>
      </c>
      <c r="X25">
        <f t="shared" si="25"/>
        <v>3.7004681240195611E-2</v>
      </c>
      <c r="Y25">
        <f t="shared" si="5"/>
        <v>9.6329564083451318E-3</v>
      </c>
      <c r="Z25">
        <f t="shared" si="19"/>
        <v>0.68</v>
      </c>
      <c r="AA25">
        <f t="shared" si="20"/>
        <v>0.68</v>
      </c>
      <c r="AB25">
        <v>1</v>
      </c>
      <c r="AC25">
        <v>1</v>
      </c>
      <c r="AD25">
        <f t="shared" si="6"/>
        <v>78.894514205332001</v>
      </c>
      <c r="AE25">
        <f t="shared" si="21"/>
        <v>41.310535943025066</v>
      </c>
      <c r="AF25">
        <f t="shared" si="7"/>
        <v>28.126519176000013</v>
      </c>
      <c r="AG25">
        <f t="shared" si="22"/>
        <v>40.609930139999989</v>
      </c>
      <c r="AH25">
        <f t="shared" si="8"/>
        <v>55.420922800000007</v>
      </c>
      <c r="AI25">
        <f t="shared" si="9"/>
        <v>37.12683021427388</v>
      </c>
      <c r="AJ25">
        <f t="shared" si="10"/>
        <v>1.0952846373690548</v>
      </c>
      <c r="AK25">
        <f t="shared" si="11"/>
        <v>13.236009024000001</v>
      </c>
      <c r="AL25">
        <f t="shared" si="12"/>
        <v>1.1589258600000036</v>
      </c>
      <c r="AM25">
        <v>0.4</v>
      </c>
      <c r="AN25">
        <f t="shared" si="23"/>
        <v>0.8500000000000002</v>
      </c>
    </row>
    <row r="26" spans="1:40" x14ac:dyDescent="0.2">
      <c r="A26">
        <v>2048</v>
      </c>
      <c r="B26">
        <v>140.03160099999999</v>
      </c>
      <c r="C26">
        <v>3.4815589999999998</v>
      </c>
      <c r="D26">
        <f t="shared" si="14"/>
        <v>73.096318999999994</v>
      </c>
      <c r="E26">
        <f t="shared" si="1"/>
        <v>29.238527599999998</v>
      </c>
      <c r="F26">
        <f t="shared" si="2"/>
        <v>43.857791399999996</v>
      </c>
      <c r="G26">
        <f t="shared" si="17"/>
        <v>66.935282000000001</v>
      </c>
      <c r="H26">
        <f t="shared" si="3"/>
        <v>26.774112800000001</v>
      </c>
      <c r="I26">
        <f t="shared" si="4"/>
        <v>40.161169199999996</v>
      </c>
      <c r="J26">
        <v>109.369896</v>
      </c>
      <c r="K26">
        <v>43.093595999999998</v>
      </c>
      <c r="L26">
        <v>6.920223</v>
      </c>
      <c r="M26">
        <v>159.383715</v>
      </c>
      <c r="N26">
        <f t="shared" si="15"/>
        <v>30.388367720324283</v>
      </c>
      <c r="O26">
        <f t="shared" si="15"/>
        <v>12.726615631634211</v>
      </c>
      <c r="P26">
        <f t="shared" si="15"/>
        <v>1.0657322206325155</v>
      </c>
      <c r="Q26">
        <f t="shared" si="15"/>
        <v>44.180715572591069</v>
      </c>
      <c r="R26">
        <f t="shared" si="24"/>
        <v>78.981528279675715</v>
      </c>
      <c r="S26">
        <f t="shared" si="24"/>
        <v>30.366980368365788</v>
      </c>
      <c r="T26">
        <f t="shared" si="24"/>
        <v>5.8544907793674845</v>
      </c>
      <c r="U26">
        <f t="shared" si="24"/>
        <v>115.20299942740893</v>
      </c>
      <c r="V26">
        <f t="shared" si="25"/>
        <v>7.0534003574144162E-3</v>
      </c>
      <c r="W26">
        <f t="shared" si="25"/>
        <v>1.1758511221970355E-2</v>
      </c>
      <c r="X26">
        <f t="shared" si="25"/>
        <v>3.7004681240195611E-2</v>
      </c>
      <c r="Y26">
        <f t="shared" si="5"/>
        <v>9.625994989035767E-3</v>
      </c>
      <c r="Z26">
        <f t="shared" si="19"/>
        <v>0.72000000000000008</v>
      </c>
      <c r="AA26">
        <f t="shared" si="20"/>
        <v>0.72000000000000008</v>
      </c>
      <c r="AB26">
        <v>1</v>
      </c>
      <c r="AC26">
        <v>1</v>
      </c>
      <c r="AD26">
        <f t="shared" si="6"/>
        <v>82.946159587734442</v>
      </c>
      <c r="AE26">
        <f t="shared" si="21"/>
        <v>43.450525814345035</v>
      </c>
      <c r="AF26">
        <f t="shared" si="7"/>
        <v>28.916041824000001</v>
      </c>
      <c r="AG26">
        <f t="shared" si="22"/>
        <v>43.085174160000001</v>
      </c>
      <c r="AH26">
        <f t="shared" si="8"/>
        <v>56.012640399999995</v>
      </c>
      <c r="AI26">
        <f t="shared" si="9"/>
        <v>32.256839839674484</v>
      </c>
      <c r="AJ26">
        <f t="shared" si="10"/>
        <v>0.73018975824603416</v>
      </c>
      <c r="AK26">
        <f t="shared" si="11"/>
        <v>11.245127375999996</v>
      </c>
      <c r="AL26">
        <f t="shared" si="12"/>
        <v>0.77261723999999532</v>
      </c>
      <c r="AM26">
        <v>0.4</v>
      </c>
      <c r="AN26">
        <f t="shared" si="23"/>
        <v>0.90000000000000024</v>
      </c>
    </row>
    <row r="27" spans="1:40" x14ac:dyDescent="0.2">
      <c r="A27">
        <v>2049</v>
      </c>
      <c r="B27">
        <v>141.51960800000001</v>
      </c>
      <c r="C27">
        <v>3.5119199999999999</v>
      </c>
      <c r="D27">
        <f t="shared" si="14"/>
        <v>76.608238999999998</v>
      </c>
      <c r="E27">
        <f t="shared" si="1"/>
        <v>30.643295600000002</v>
      </c>
      <c r="F27">
        <f t="shared" si="2"/>
        <v>45.964943399999996</v>
      </c>
      <c r="G27">
        <f t="shared" si="17"/>
        <v>64.911369000000008</v>
      </c>
      <c r="H27">
        <f t="shared" si="3"/>
        <v>25.964547600000003</v>
      </c>
      <c r="I27">
        <f t="shared" si="4"/>
        <v>38.946821400000005</v>
      </c>
      <c r="J27">
        <v>110.05512</v>
      </c>
      <c r="K27">
        <v>43.365544</v>
      </c>
      <c r="L27">
        <v>6.9254249999999997</v>
      </c>
      <c r="M27">
        <v>160.34608900000001</v>
      </c>
      <c r="N27">
        <f t="shared" si="15"/>
        <v>31.630680060121293</v>
      </c>
      <c r="O27">
        <f t="shared" si="15"/>
        <v>13.212754101818039</v>
      </c>
      <c r="P27">
        <f t="shared" si="15"/>
        <v>1.1122282879881853</v>
      </c>
      <c r="Q27">
        <f t="shared" si="15"/>
        <v>45.955662449927573</v>
      </c>
      <c r="R27">
        <f t="shared" si="24"/>
        <v>78.42443993987871</v>
      </c>
      <c r="S27">
        <f t="shared" si="24"/>
        <v>30.152789898181961</v>
      </c>
      <c r="T27">
        <f t="shared" si="24"/>
        <v>5.8131967120118144</v>
      </c>
      <c r="U27">
        <f t="shared" si="24"/>
        <v>114.39042655007243</v>
      </c>
      <c r="V27">
        <f t="shared" si="25"/>
        <v>7.0534003574144162E-3</v>
      </c>
      <c r="W27">
        <f t="shared" si="25"/>
        <v>1.1758511221970355E-2</v>
      </c>
      <c r="X27">
        <f t="shared" si="25"/>
        <v>3.7004681240195611E-2</v>
      </c>
      <c r="Y27">
        <f t="shared" si="5"/>
        <v>9.6195062362388964E-3</v>
      </c>
      <c r="Z27">
        <f t="shared" si="19"/>
        <v>0.76000000000000012</v>
      </c>
      <c r="AA27">
        <f t="shared" si="20"/>
        <v>0.76000000000000012</v>
      </c>
      <c r="AB27">
        <v>1</v>
      </c>
      <c r="AC27">
        <v>1</v>
      </c>
      <c r="AD27">
        <f t="shared" si="6"/>
        <v>86.936724178055059</v>
      </c>
      <c r="AE27">
        <f t="shared" si="21"/>
        <v>45.590567570804559</v>
      </c>
      <c r="AF27">
        <f t="shared" si="7"/>
        <v>29.599584264000008</v>
      </c>
      <c r="AG27">
        <f t="shared" si="22"/>
        <v>45.578634780000002</v>
      </c>
      <c r="AH27">
        <f t="shared" si="8"/>
        <v>56.607843200000005</v>
      </c>
      <c r="AI27">
        <f t="shared" si="9"/>
        <v>27.453702372017375</v>
      </c>
      <c r="AJ27">
        <f t="shared" si="10"/>
        <v>0.36509487912301353</v>
      </c>
      <c r="AK27">
        <f t="shared" si="11"/>
        <v>9.3472371359999968</v>
      </c>
      <c r="AL27">
        <f t="shared" si="12"/>
        <v>0.38630861999999411</v>
      </c>
      <c r="AM27">
        <v>0.4</v>
      </c>
      <c r="AN27">
        <f t="shared" si="23"/>
        <v>0.95000000000000029</v>
      </c>
    </row>
    <row r="28" spans="1:40" x14ac:dyDescent="0.2">
      <c r="A28">
        <v>2050</v>
      </c>
      <c r="B28">
        <v>143.01623499999999</v>
      </c>
      <c r="C28">
        <v>3.542278</v>
      </c>
      <c r="D28">
        <f t="shared" si="14"/>
        <v>80.150516999999994</v>
      </c>
      <c r="E28">
        <f t="shared" si="1"/>
        <v>32.060206799999996</v>
      </c>
      <c r="F28">
        <f t="shared" si="2"/>
        <v>48.090310199999998</v>
      </c>
      <c r="G28">
        <f t="shared" si="17"/>
        <v>62.865718000000001</v>
      </c>
      <c r="H28">
        <f t="shared" si="3"/>
        <v>25.146287200000003</v>
      </c>
      <c r="I28">
        <f t="shared" si="4"/>
        <v>37.719430799999998</v>
      </c>
      <c r="J28">
        <v>110.741344</v>
      </c>
      <c r="K28">
        <v>43.639676000000001</v>
      </c>
      <c r="L28">
        <v>6.9324709999999996</v>
      </c>
      <c r="M28">
        <v>161.313491</v>
      </c>
      <c r="N28">
        <f t="shared" si="15"/>
        <v>32.870063032823253</v>
      </c>
      <c r="O28">
        <f t="shared" si="15"/>
        <v>13.699565800862921</v>
      </c>
      <c r="P28">
        <f t="shared" si="15"/>
        <v>1.1602770917544101</v>
      </c>
      <c r="Q28">
        <f t="shared" si="15"/>
        <v>47.729905925440633</v>
      </c>
      <c r="R28">
        <f t="shared" si="24"/>
        <v>77.871280967176745</v>
      </c>
      <c r="S28">
        <f t="shared" si="24"/>
        <v>29.940110199137081</v>
      </c>
      <c r="T28">
        <f t="shared" si="24"/>
        <v>5.7721939082455895</v>
      </c>
      <c r="U28">
        <f t="shared" si="24"/>
        <v>113.58358507455937</v>
      </c>
      <c r="V28">
        <f t="shared" si="25"/>
        <v>7.0534003574144162E-3</v>
      </c>
      <c r="W28">
        <f t="shared" si="25"/>
        <v>1.1758511221970355E-2</v>
      </c>
      <c r="X28">
        <f t="shared" si="25"/>
        <v>3.7004681240195611E-2</v>
      </c>
      <c r="Y28">
        <f t="shared" si="5"/>
        <v>9.6134212040653397E-3</v>
      </c>
      <c r="Z28">
        <v>0.8</v>
      </c>
      <c r="AA28">
        <f>0.8</f>
        <v>0.8</v>
      </c>
      <c r="AB28">
        <v>1</v>
      </c>
      <c r="AC28">
        <v>1</v>
      </c>
      <c r="AD28">
        <f t="shared" si="6"/>
        <v>90.866868059647501</v>
      </c>
      <c r="AE28">
        <f t="shared" si="21"/>
        <v>47.729905925440633</v>
      </c>
      <c r="AF28">
        <f t="shared" si="7"/>
        <v>30.175544639999998</v>
      </c>
      <c r="AG28">
        <f>$AC28*(F28-$F$8)+($AL$8*AN28)</f>
        <v>48.09031019999999</v>
      </c>
      <c r="AH28">
        <f>H28+E28</f>
        <v>57.206493999999999</v>
      </c>
      <c r="AI28">
        <f t="shared" si="9"/>
        <v>22.716717014911865</v>
      </c>
      <c r="AJ28">
        <f t="shared" si="10"/>
        <v>0</v>
      </c>
      <c r="AK28">
        <f t="shared" si="11"/>
        <v>7.5438861599999996</v>
      </c>
      <c r="AL28">
        <v>1E-8</v>
      </c>
      <c r="AM28">
        <v>0.4</v>
      </c>
      <c r="AN28">
        <v>1</v>
      </c>
    </row>
    <row r="29" spans="1:40" x14ac:dyDescent="0.2">
      <c r="B29" s="1"/>
      <c r="C2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4AFB-CD47-FE43-8A27-D563EF870B08}">
  <dimension ref="A1:AN29"/>
  <sheetViews>
    <sheetView topLeftCell="X1" workbookViewId="0">
      <selection activeCell="AK34" sqref="AK34:AK35"/>
    </sheetView>
  </sheetViews>
  <sheetFormatPr baseColWidth="10" defaultRowHeight="16" x14ac:dyDescent="0.2"/>
  <cols>
    <col min="38" max="38" width="11.1640625" bestFit="1" customWidth="1"/>
  </cols>
  <sheetData>
    <row r="1" spans="1:40" s="2" customFormat="1" ht="170" x14ac:dyDescent="0.2">
      <c r="A1" s="2" t="s">
        <v>5</v>
      </c>
      <c r="B1" s="2" t="s">
        <v>0</v>
      </c>
      <c r="C1" s="2" t="s">
        <v>6</v>
      </c>
      <c r="D1" s="2" t="s">
        <v>7</v>
      </c>
      <c r="E1" s="2" t="s">
        <v>35</v>
      </c>
      <c r="F1" s="2" t="s">
        <v>36</v>
      </c>
      <c r="G1" s="2" t="s">
        <v>40</v>
      </c>
      <c r="H1" s="2" t="s">
        <v>44</v>
      </c>
      <c r="I1" s="2" t="s">
        <v>45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41</v>
      </c>
      <c r="O1" s="2" t="s">
        <v>42</v>
      </c>
      <c r="P1" s="2" t="s">
        <v>43</v>
      </c>
      <c r="Q1" s="2" t="s">
        <v>46</v>
      </c>
      <c r="R1" s="2" t="s">
        <v>47</v>
      </c>
      <c r="S1" s="2" t="s">
        <v>48</v>
      </c>
      <c r="T1" s="2" t="s">
        <v>49</v>
      </c>
      <c r="U1" s="2" t="s">
        <v>50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29</v>
      </c>
      <c r="AA1" s="2" t="s">
        <v>30</v>
      </c>
      <c r="AB1" s="2" t="s">
        <v>33</v>
      </c>
      <c r="AC1" s="2" t="s">
        <v>34</v>
      </c>
      <c r="AD1" s="2" t="s">
        <v>21</v>
      </c>
      <c r="AE1" s="2" t="s">
        <v>22</v>
      </c>
      <c r="AF1" s="2" t="s">
        <v>23</v>
      </c>
      <c r="AG1" s="2" t="s">
        <v>24</v>
      </c>
      <c r="AH1" s="2" t="s">
        <v>31</v>
      </c>
      <c r="AI1" s="2" t="s">
        <v>25</v>
      </c>
      <c r="AJ1" s="2" t="s">
        <v>26</v>
      </c>
      <c r="AK1" s="2" t="s">
        <v>27</v>
      </c>
      <c r="AL1" s="2" t="s">
        <v>28</v>
      </c>
      <c r="AM1" s="2" t="s">
        <v>32</v>
      </c>
      <c r="AN1" s="2" t="s">
        <v>39</v>
      </c>
    </row>
    <row r="2" spans="1:40" x14ac:dyDescent="0.2">
      <c r="A2">
        <v>2024</v>
      </c>
      <c r="B2">
        <v>103.371872</v>
      </c>
      <c r="C2">
        <v>2.7420749999999998</v>
      </c>
      <c r="D2">
        <v>0</v>
      </c>
      <c r="E2">
        <f>D2*$AM2</f>
        <v>0</v>
      </c>
      <c r="F2">
        <f>D2*(1-$AM2)</f>
        <v>0</v>
      </c>
      <c r="G2">
        <v>0</v>
      </c>
      <c r="H2">
        <f>G2*$AM2</f>
        <v>0</v>
      </c>
      <c r="I2">
        <f>G2*(1-$AM2)</f>
        <v>0</v>
      </c>
      <c r="J2">
        <v>88.609744000000006</v>
      </c>
      <c r="K2">
        <v>34.017912000000003</v>
      </c>
      <c r="L2">
        <v>6.7559019999999999</v>
      </c>
      <c r="M2">
        <v>129.383557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f>0.625/J2</f>
        <v>7.0534003574144162E-3</v>
      </c>
      <c r="W2">
        <f>0.4/K2</f>
        <v>1.1758511221970355E-2</v>
      </c>
      <c r="X2">
        <f>0.25/L2</f>
        <v>3.7004681240195611E-2</v>
      </c>
      <c r="Y2">
        <f>(V2*J2+W2*K2+X2*L2)/M2</f>
        <v>9.8544206819109158E-3</v>
      </c>
      <c r="Z2">
        <v>0</v>
      </c>
      <c r="AA2">
        <v>0</v>
      </c>
      <c r="AB2">
        <v>0</v>
      </c>
      <c r="AC2">
        <v>0</v>
      </c>
      <c r="AD2">
        <f>$Z2*U2</f>
        <v>0</v>
      </c>
      <c r="AE2">
        <f t="shared" ref="AE2:AE8" si="0">$Z2*Q2</f>
        <v>0</v>
      </c>
      <c r="AF2">
        <f>$AA2*I2</f>
        <v>0</v>
      </c>
      <c r="AG2">
        <v>0</v>
      </c>
      <c r="AH2">
        <f>H2+E2</f>
        <v>0</v>
      </c>
      <c r="AI2">
        <f>U2-AD2</f>
        <v>0</v>
      </c>
      <c r="AJ2">
        <f>Q2-AE2</f>
        <v>0</v>
      </c>
      <c r="AK2">
        <f>I2-AF2</f>
        <v>0</v>
      </c>
      <c r="AL2">
        <f>(F2-AG2)</f>
        <v>0</v>
      </c>
      <c r="AM2">
        <v>0.4</v>
      </c>
      <c r="AN2">
        <v>0</v>
      </c>
    </row>
    <row r="3" spans="1:40" x14ac:dyDescent="0.2">
      <c r="A3">
        <v>2025</v>
      </c>
      <c r="B3">
        <v>104.52195</v>
      </c>
      <c r="C3">
        <v>2.676447</v>
      </c>
      <c r="D3">
        <v>0</v>
      </c>
      <c r="E3">
        <f t="shared" ref="E3:E28" si="1">D3*$AM3</f>
        <v>0</v>
      </c>
      <c r="F3">
        <f t="shared" ref="F3:F28" si="2">D3*(1-$AM3)</f>
        <v>0</v>
      </c>
      <c r="G3">
        <v>0</v>
      </c>
      <c r="H3">
        <f t="shared" ref="H3:H28" si="3">G3*$AM3</f>
        <v>0</v>
      </c>
      <c r="I3">
        <f t="shared" ref="I3:I28" si="4">G3*(1-$AM3)</f>
        <v>0</v>
      </c>
      <c r="J3">
        <v>89.620040000000003</v>
      </c>
      <c r="K3">
        <v>34.380152000000002</v>
      </c>
      <c r="L3">
        <v>6.7485489999999997</v>
      </c>
      <c r="M3">
        <v>130.74874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f>V2</f>
        <v>7.0534003574144162E-3</v>
      </c>
      <c r="W3">
        <f>W2</f>
        <v>1.1758511221970355E-2</v>
      </c>
      <c r="X3">
        <f>X2</f>
        <v>3.7004681240195611E-2</v>
      </c>
      <c r="Y3">
        <f t="shared" ref="Y3:Y28" si="5">(V3*J3+W3*K3+X3*L3)/M3</f>
        <v>9.8365256128004116E-3</v>
      </c>
      <c r="Z3">
        <v>0</v>
      </c>
      <c r="AA3">
        <v>0</v>
      </c>
      <c r="AB3">
        <v>0</v>
      </c>
      <c r="AC3">
        <v>0</v>
      </c>
      <c r="AD3">
        <f t="shared" ref="AD3:AD28" si="6">$Z3*U3</f>
        <v>0</v>
      </c>
      <c r="AE3">
        <f t="shared" si="0"/>
        <v>0</v>
      </c>
      <c r="AF3">
        <f t="shared" ref="AF3:AF28" si="7">$AA3*I3</f>
        <v>0</v>
      </c>
      <c r="AG3">
        <v>0</v>
      </c>
      <c r="AH3">
        <f t="shared" ref="AH3:AH27" si="8">H3+E3</f>
        <v>0</v>
      </c>
      <c r="AI3">
        <f t="shared" ref="AI3:AI28" si="9">U3-AD3</f>
        <v>0</v>
      </c>
      <c r="AJ3">
        <f t="shared" ref="AJ3:AJ28" si="10">Q3-AE3</f>
        <v>0</v>
      </c>
      <c r="AK3">
        <f t="shared" ref="AK3:AK28" si="11">I3-AF3</f>
        <v>0</v>
      </c>
      <c r="AL3">
        <f t="shared" ref="AL3:AL28" si="12">(F3-AG3)</f>
        <v>0</v>
      </c>
      <c r="AM3">
        <v>0.4</v>
      </c>
      <c r="AN3">
        <v>0</v>
      </c>
    </row>
    <row r="4" spans="1:40" x14ac:dyDescent="0.2">
      <c r="A4">
        <v>2026</v>
      </c>
      <c r="B4">
        <v>105.93501999999999</v>
      </c>
      <c r="C4">
        <v>2.951616</v>
      </c>
      <c r="D4">
        <v>0</v>
      </c>
      <c r="E4">
        <f t="shared" si="1"/>
        <v>0</v>
      </c>
      <c r="F4">
        <f t="shared" si="2"/>
        <v>0</v>
      </c>
      <c r="G4">
        <v>0</v>
      </c>
      <c r="H4">
        <f t="shared" si="3"/>
        <v>0</v>
      </c>
      <c r="I4">
        <f t="shared" si="4"/>
        <v>0</v>
      </c>
      <c r="J4">
        <v>90.630319999999998</v>
      </c>
      <c r="K4">
        <v>34.797908</v>
      </c>
      <c r="L4">
        <v>6.7703420000000003</v>
      </c>
      <c r="M4">
        <v>132.19856999999999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f t="shared" ref="V4:X19" si="13">V3</f>
        <v>7.0534003574144162E-3</v>
      </c>
      <c r="W4">
        <f t="shared" si="13"/>
        <v>1.1758511221970355E-2</v>
      </c>
      <c r="X4">
        <f t="shared" si="13"/>
        <v>3.7004681240195611E-2</v>
      </c>
      <c r="Y4">
        <f t="shared" si="5"/>
        <v>9.8258087874686043E-3</v>
      </c>
      <c r="Z4">
        <v>0</v>
      </c>
      <c r="AA4">
        <v>0</v>
      </c>
      <c r="AB4">
        <v>0</v>
      </c>
      <c r="AC4">
        <v>0</v>
      </c>
      <c r="AD4">
        <f t="shared" si="6"/>
        <v>0</v>
      </c>
      <c r="AE4">
        <f t="shared" si="0"/>
        <v>0</v>
      </c>
      <c r="AF4">
        <f t="shared" si="7"/>
        <v>0</v>
      </c>
      <c r="AG4">
        <v>0</v>
      </c>
      <c r="AH4">
        <f t="shared" si="8"/>
        <v>0</v>
      </c>
      <c r="AI4">
        <f t="shared" si="9"/>
        <v>0</v>
      </c>
      <c r="AJ4">
        <f t="shared" si="10"/>
        <v>0</v>
      </c>
      <c r="AK4">
        <f t="shared" si="11"/>
        <v>0</v>
      </c>
      <c r="AL4">
        <f t="shared" si="12"/>
        <v>0</v>
      </c>
      <c r="AM4">
        <v>0.4</v>
      </c>
      <c r="AN4">
        <v>0</v>
      </c>
    </row>
    <row r="5" spans="1:40" x14ac:dyDescent="0.2">
      <c r="A5">
        <v>2027</v>
      </c>
      <c r="B5">
        <v>107.51918000000001</v>
      </c>
      <c r="C5">
        <v>3.1368719999999999</v>
      </c>
      <c r="D5">
        <f t="shared" ref="D5:D28" si="14">C5+D4</f>
        <v>3.1368719999999999</v>
      </c>
      <c r="E5">
        <f t="shared" si="1"/>
        <v>1.2547488</v>
      </c>
      <c r="F5">
        <f t="shared" si="2"/>
        <v>1.8821231999999999</v>
      </c>
      <c r="G5">
        <f>B5-D5</f>
        <v>104.38230800000001</v>
      </c>
      <c r="H5">
        <f t="shared" si="3"/>
        <v>41.752923200000005</v>
      </c>
      <c r="I5">
        <f t="shared" si="4"/>
        <v>62.629384800000004</v>
      </c>
      <c r="J5">
        <v>91.639303999999996</v>
      </c>
      <c r="K5">
        <v>35.233668000000002</v>
      </c>
      <c r="L5">
        <v>6.7927460000000002</v>
      </c>
      <c r="M5">
        <v>133.665718</v>
      </c>
      <c r="N5">
        <f t="shared" ref="N5:Q28" si="15">J5-R5</f>
        <v>0</v>
      </c>
      <c r="O5">
        <f t="shared" si="15"/>
        <v>0</v>
      </c>
      <c r="P5">
        <f t="shared" si="15"/>
        <v>0</v>
      </c>
      <c r="Q5">
        <f t="shared" si="15"/>
        <v>0</v>
      </c>
      <c r="R5">
        <f>J5</f>
        <v>91.639303999999996</v>
      </c>
      <c r="S5">
        <f>K5</f>
        <v>35.233668000000002</v>
      </c>
      <c r="T5">
        <f>L5</f>
        <v>6.7927460000000002</v>
      </c>
      <c r="U5">
        <f>M5</f>
        <v>133.665718</v>
      </c>
      <c r="V5">
        <f t="shared" si="13"/>
        <v>7.0534003574144162E-3</v>
      </c>
      <c r="W5">
        <f t="shared" si="13"/>
        <v>1.1758511221970355E-2</v>
      </c>
      <c r="X5">
        <f t="shared" si="13"/>
        <v>3.7004681240195611E-2</v>
      </c>
      <c r="Y5">
        <f t="shared" si="5"/>
        <v>9.8157373503324156E-3</v>
      </c>
      <c r="Z5">
        <v>0</v>
      </c>
      <c r="AA5">
        <v>0</v>
      </c>
      <c r="AB5">
        <v>0</v>
      </c>
      <c r="AC5">
        <v>0</v>
      </c>
      <c r="AD5">
        <f t="shared" si="6"/>
        <v>0</v>
      </c>
      <c r="AE5">
        <f t="shared" si="0"/>
        <v>0</v>
      </c>
      <c r="AF5">
        <f t="shared" si="7"/>
        <v>0</v>
      </c>
      <c r="AG5">
        <v>0</v>
      </c>
      <c r="AH5">
        <f t="shared" si="8"/>
        <v>43.007672000000007</v>
      </c>
      <c r="AI5">
        <f t="shared" si="9"/>
        <v>133.665718</v>
      </c>
      <c r="AJ5">
        <f t="shared" si="10"/>
        <v>0</v>
      </c>
      <c r="AK5">
        <f t="shared" si="11"/>
        <v>62.629384800000004</v>
      </c>
      <c r="AL5">
        <f t="shared" si="12"/>
        <v>1.8821231999999999</v>
      </c>
      <c r="AM5">
        <v>0.4</v>
      </c>
      <c r="AN5">
        <v>0</v>
      </c>
    </row>
    <row r="6" spans="1:40" x14ac:dyDescent="0.2">
      <c r="A6">
        <v>2028</v>
      </c>
      <c r="B6">
        <v>109.194839</v>
      </c>
      <c r="C6">
        <v>3.2451020000000002</v>
      </c>
      <c r="D6">
        <f t="shared" si="14"/>
        <v>6.3819739999999996</v>
      </c>
      <c r="E6">
        <f t="shared" si="1"/>
        <v>2.5527896000000001</v>
      </c>
      <c r="F6">
        <f t="shared" si="2"/>
        <v>3.8291843999999995</v>
      </c>
      <c r="G6">
        <f t="shared" ref="G6:G28" si="16">B6-D6</f>
        <v>102.812865</v>
      </c>
      <c r="H6">
        <f t="shared" si="3"/>
        <v>41.125146000000001</v>
      </c>
      <c r="I6">
        <f t="shared" si="4"/>
        <v>61.687719000000001</v>
      </c>
      <c r="J6">
        <v>92.631463999999994</v>
      </c>
      <c r="K6">
        <v>35.702212000000003</v>
      </c>
      <c r="L6">
        <v>6.8042499999999997</v>
      </c>
      <c r="M6">
        <v>135.13792599999999</v>
      </c>
      <c r="N6">
        <f t="shared" si="15"/>
        <v>1.6385286995868</v>
      </c>
      <c r="O6">
        <f t="shared" si="15"/>
        <v>0.71706116646421947</v>
      </c>
      <c r="P6">
        <f t="shared" si="15"/>
        <v>5.9415957064224756E-2</v>
      </c>
      <c r="Q6">
        <f t="shared" si="15"/>
        <v>2.4150058231152514</v>
      </c>
      <c r="R6">
        <f t="shared" ref="R6:U21" si="17">R5*(1-$V5)</f>
        <v>90.992935300413194</v>
      </c>
      <c r="S6">
        <f t="shared" si="17"/>
        <v>34.985150833535783</v>
      </c>
      <c r="T6">
        <f t="shared" si="17"/>
        <v>6.7448340429357749</v>
      </c>
      <c r="U6">
        <f t="shared" si="17"/>
        <v>132.72292017688474</v>
      </c>
      <c r="V6">
        <f t="shared" si="13"/>
        <v>7.0534003574144162E-3</v>
      </c>
      <c r="W6">
        <f t="shared" si="13"/>
        <v>1.1758511221970355E-2</v>
      </c>
      <c r="X6">
        <f t="shared" si="13"/>
        <v>3.7004681240195611E-2</v>
      </c>
      <c r="Y6">
        <f t="shared" si="5"/>
        <v>9.8045071674785524E-3</v>
      </c>
      <c r="Z6">
        <v>0</v>
      </c>
      <c r="AA6">
        <v>0</v>
      </c>
      <c r="AB6">
        <v>0</v>
      </c>
      <c r="AC6">
        <v>0</v>
      </c>
      <c r="AD6">
        <f t="shared" si="6"/>
        <v>0</v>
      </c>
      <c r="AE6">
        <f t="shared" si="0"/>
        <v>0</v>
      </c>
      <c r="AF6">
        <f t="shared" si="7"/>
        <v>0</v>
      </c>
      <c r="AG6">
        <v>0</v>
      </c>
      <c r="AH6">
        <f t="shared" si="8"/>
        <v>43.677935599999998</v>
      </c>
      <c r="AI6">
        <f t="shared" si="9"/>
        <v>132.72292017688474</v>
      </c>
      <c r="AJ6">
        <f t="shared" si="10"/>
        <v>2.4150058231152514</v>
      </c>
      <c r="AK6">
        <f t="shared" si="11"/>
        <v>61.687719000000001</v>
      </c>
      <c r="AL6">
        <f t="shared" si="12"/>
        <v>3.8291843999999995</v>
      </c>
      <c r="AM6">
        <v>0.4</v>
      </c>
      <c r="AN6">
        <v>0</v>
      </c>
    </row>
    <row r="7" spans="1:40" x14ac:dyDescent="0.2">
      <c r="A7">
        <v>2029</v>
      </c>
      <c r="B7">
        <v>110.865685</v>
      </c>
      <c r="C7">
        <v>3.2589950000000001</v>
      </c>
      <c r="D7">
        <f t="shared" si="14"/>
        <v>9.6409690000000001</v>
      </c>
      <c r="E7">
        <f t="shared" si="1"/>
        <v>3.8563876000000001</v>
      </c>
      <c r="F7">
        <f t="shared" si="2"/>
        <v>5.7845813999999995</v>
      </c>
      <c r="G7">
        <f t="shared" si="16"/>
        <v>101.224716</v>
      </c>
      <c r="H7">
        <f t="shared" si="3"/>
        <v>40.489886400000003</v>
      </c>
      <c r="I7">
        <f t="shared" si="4"/>
        <v>60.734829599999998</v>
      </c>
      <c r="J7">
        <v>93.625664</v>
      </c>
      <c r="K7">
        <v>36.208348000000001</v>
      </c>
      <c r="L7">
        <v>6.8139190000000003</v>
      </c>
      <c r="M7">
        <v>136.647931</v>
      </c>
      <c r="N7">
        <f t="shared" si="15"/>
        <v>3.2745383019569232</v>
      </c>
      <c r="O7">
        <f t="shared" si="15"/>
        <v>1.4699614418576772</v>
      </c>
      <c r="P7">
        <f t="shared" si="15"/>
        <v>0.11665897191336949</v>
      </c>
      <c r="Q7">
        <f t="shared" si="15"/>
        <v>4.8611587157279814</v>
      </c>
      <c r="R7">
        <f t="shared" si="17"/>
        <v>90.351125698043077</v>
      </c>
      <c r="S7">
        <f t="shared" si="17"/>
        <v>34.738386558142324</v>
      </c>
      <c r="T7">
        <f t="shared" si="17"/>
        <v>6.6972600280866308</v>
      </c>
      <c r="U7">
        <f t="shared" si="17"/>
        <v>131.78677228427202</v>
      </c>
      <c r="V7">
        <f t="shared" si="13"/>
        <v>7.0534003574144162E-3</v>
      </c>
      <c r="W7">
        <f t="shared" si="13"/>
        <v>1.1758511221970355E-2</v>
      </c>
      <c r="X7">
        <f t="shared" si="13"/>
        <v>3.7004681240195611E-2</v>
      </c>
      <c r="Y7">
        <f t="shared" si="5"/>
        <v>9.7936532884591015E-3</v>
      </c>
      <c r="Z7">
        <v>0</v>
      </c>
      <c r="AA7">
        <v>0</v>
      </c>
      <c r="AB7">
        <v>0</v>
      </c>
      <c r="AC7">
        <v>0</v>
      </c>
      <c r="AD7">
        <f t="shared" si="6"/>
        <v>0</v>
      </c>
      <c r="AE7">
        <f t="shared" si="0"/>
        <v>0</v>
      </c>
      <c r="AF7">
        <f t="shared" si="7"/>
        <v>0</v>
      </c>
      <c r="AG7">
        <v>0</v>
      </c>
      <c r="AH7">
        <f t="shared" si="8"/>
        <v>44.346274000000001</v>
      </c>
      <c r="AI7">
        <f t="shared" si="9"/>
        <v>131.78677228427202</v>
      </c>
      <c r="AJ7">
        <f t="shared" si="10"/>
        <v>4.8611587157279814</v>
      </c>
      <c r="AK7">
        <f t="shared" si="11"/>
        <v>60.734829599999998</v>
      </c>
      <c r="AL7">
        <f t="shared" si="12"/>
        <v>5.7845813999999995</v>
      </c>
      <c r="AM7">
        <v>0.4</v>
      </c>
      <c r="AN7">
        <v>0</v>
      </c>
    </row>
    <row r="8" spans="1:40" x14ac:dyDescent="0.2">
      <c r="A8">
        <v>2030</v>
      </c>
      <c r="B8">
        <v>112.493584</v>
      </c>
      <c r="C8">
        <v>3.2359849999999999</v>
      </c>
      <c r="D8">
        <f t="shared" si="14"/>
        <v>12.876954</v>
      </c>
      <c r="E8">
        <f t="shared" si="1"/>
        <v>5.1507816000000002</v>
      </c>
      <c r="F8">
        <f t="shared" si="2"/>
        <v>7.7261723999999994</v>
      </c>
      <c r="G8">
        <f t="shared" si="16"/>
        <v>99.616630000000001</v>
      </c>
      <c r="H8">
        <f t="shared" si="3"/>
        <v>39.846652000000006</v>
      </c>
      <c r="I8">
        <f t="shared" si="4"/>
        <v>59.769977999999995</v>
      </c>
      <c r="J8">
        <v>94.613568000000001</v>
      </c>
      <c r="K8">
        <v>36.726568</v>
      </c>
      <c r="L8">
        <v>6.8189890000000002</v>
      </c>
      <c r="M8">
        <v>138.15912499999999</v>
      </c>
      <c r="N8">
        <f t="shared" si="15"/>
        <v>4.8997249642482927</v>
      </c>
      <c r="O8">
        <f t="shared" si="15"/>
        <v>2.2332051900228791</v>
      </c>
      <c r="P8">
        <f t="shared" si="15"/>
        <v>0.16896742818917332</v>
      </c>
      <c r="Q8">
        <f t="shared" si="15"/>
        <v>7.3018975824603558</v>
      </c>
      <c r="R8">
        <f t="shared" si="17"/>
        <v>89.713843035751708</v>
      </c>
      <c r="S8">
        <f t="shared" si="17"/>
        <v>34.493362809977121</v>
      </c>
      <c r="T8">
        <f t="shared" si="17"/>
        <v>6.6500215718108269</v>
      </c>
      <c r="U8">
        <f t="shared" si="17"/>
        <v>130.85722741753963</v>
      </c>
      <c r="V8">
        <f t="shared" si="13"/>
        <v>7.0534003574144162E-3</v>
      </c>
      <c r="W8">
        <f t="shared" si="13"/>
        <v>1.1758511221970355E-2</v>
      </c>
      <c r="X8">
        <f t="shared" si="13"/>
        <v>3.7004681240195611E-2</v>
      </c>
      <c r="Y8">
        <f t="shared" si="5"/>
        <v>9.7824276944813507E-3</v>
      </c>
      <c r="Z8">
        <v>0</v>
      </c>
      <c r="AA8">
        <v>0</v>
      </c>
      <c r="AB8">
        <v>0</v>
      </c>
      <c r="AC8">
        <v>0</v>
      </c>
      <c r="AD8">
        <f t="shared" si="6"/>
        <v>0</v>
      </c>
      <c r="AE8">
        <f t="shared" si="0"/>
        <v>0</v>
      </c>
      <c r="AF8">
        <f t="shared" si="7"/>
        <v>0</v>
      </c>
      <c r="AG8">
        <v>0</v>
      </c>
      <c r="AH8">
        <f t="shared" si="8"/>
        <v>44.997433600000008</v>
      </c>
      <c r="AI8">
        <f t="shared" si="9"/>
        <v>130.85722741753963</v>
      </c>
      <c r="AJ8">
        <f t="shared" si="10"/>
        <v>7.3018975824603558</v>
      </c>
      <c r="AK8">
        <f t="shared" si="11"/>
        <v>59.769977999999995</v>
      </c>
      <c r="AL8">
        <f t="shared" si="12"/>
        <v>7.7261723999999994</v>
      </c>
      <c r="AM8">
        <v>0.4</v>
      </c>
      <c r="AN8">
        <v>0</v>
      </c>
    </row>
    <row r="9" spans="1:40" x14ac:dyDescent="0.2">
      <c r="A9">
        <v>2031</v>
      </c>
      <c r="B9">
        <v>114.092934</v>
      </c>
      <c r="C9">
        <v>3.227938</v>
      </c>
      <c r="D9">
        <f t="shared" si="14"/>
        <v>16.104892</v>
      </c>
      <c r="E9">
        <f t="shared" si="1"/>
        <v>6.4419567999999998</v>
      </c>
      <c r="F9">
        <f t="shared" si="2"/>
        <v>9.6629351999999997</v>
      </c>
      <c r="G9">
        <f t="shared" si="16"/>
        <v>97.988042000000007</v>
      </c>
      <c r="H9">
        <f t="shared" si="3"/>
        <v>39.195216800000004</v>
      </c>
      <c r="I9">
        <f t="shared" si="4"/>
        <v>58.792825200000003</v>
      </c>
      <c r="J9">
        <v>95.599119999999999</v>
      </c>
      <c r="K9">
        <v>37.247472000000002</v>
      </c>
      <c r="L9">
        <v>6.8253740000000001</v>
      </c>
      <c r="M9">
        <v>139.671966</v>
      </c>
      <c r="N9">
        <f t="shared" si="15"/>
        <v>6.518064616781686</v>
      </c>
      <c r="O9">
        <f t="shared" si="15"/>
        <v>2.9974046875951998</v>
      </c>
      <c r="P9">
        <f t="shared" si="15"/>
        <v>0.22225769272059726</v>
      </c>
      <c r="Q9">
        <f t="shared" si="15"/>
        <v>9.7377269970974965</v>
      </c>
      <c r="R9">
        <f t="shared" si="17"/>
        <v>89.081055383218313</v>
      </c>
      <c r="S9">
        <f t="shared" si="17"/>
        <v>34.250067312404802</v>
      </c>
      <c r="T9">
        <f t="shared" si="17"/>
        <v>6.6031163072794028</v>
      </c>
      <c r="U9">
        <f t="shared" si="17"/>
        <v>129.9342390029025</v>
      </c>
      <c r="V9">
        <f t="shared" si="13"/>
        <v>7.0534003574144162E-3</v>
      </c>
      <c r="W9">
        <f t="shared" si="13"/>
        <v>1.1758511221970355E-2</v>
      </c>
      <c r="X9">
        <f t="shared" si="13"/>
        <v>3.7004681240195611E-2</v>
      </c>
      <c r="Y9">
        <f t="shared" si="5"/>
        <v>9.7717853695397216E-3</v>
      </c>
      <c r="Z9">
        <f>Z8+(Z$28/20)</f>
        <v>0.04</v>
      </c>
      <c r="AA9">
        <f>AA8+(AA$28/20)</f>
        <v>0.04</v>
      </c>
      <c r="AB9">
        <v>1</v>
      </c>
      <c r="AC9">
        <v>1</v>
      </c>
      <c r="AD9">
        <f t="shared" si="6"/>
        <v>5.1973695601161003</v>
      </c>
      <c r="AE9">
        <f>$AB9*(Q9-$Q$8)+($AJ$8*$AN9)</f>
        <v>2.4358294146371406</v>
      </c>
      <c r="AF9">
        <f t="shared" si="7"/>
        <v>2.3517130080000004</v>
      </c>
      <c r="AG9">
        <f>$AC9*(F9-$F$8)+($AL$8*AN9)</f>
        <v>1.9367628000000003</v>
      </c>
      <c r="AH9">
        <f t="shared" si="8"/>
        <v>45.637173600000004</v>
      </c>
      <c r="AI9">
        <f t="shared" si="9"/>
        <v>124.7368694427864</v>
      </c>
      <c r="AJ9">
        <f t="shared" si="10"/>
        <v>7.3018975824603558</v>
      </c>
      <c r="AK9">
        <f t="shared" si="11"/>
        <v>56.441112192000006</v>
      </c>
      <c r="AL9">
        <f t="shared" si="12"/>
        <v>7.7261723999999994</v>
      </c>
      <c r="AM9">
        <v>0.4</v>
      </c>
      <c r="AN9">
        <v>0</v>
      </c>
    </row>
    <row r="10" spans="1:40" x14ac:dyDescent="0.2">
      <c r="A10">
        <v>2032</v>
      </c>
      <c r="B10">
        <v>115.698303</v>
      </c>
      <c r="C10">
        <v>3.2548240000000002</v>
      </c>
      <c r="D10">
        <f t="shared" si="14"/>
        <v>19.359715999999999</v>
      </c>
      <c r="E10">
        <f t="shared" si="1"/>
        <v>7.7438864000000001</v>
      </c>
      <c r="F10">
        <f t="shared" si="2"/>
        <v>11.6158296</v>
      </c>
      <c r="G10">
        <f t="shared" si="16"/>
        <v>96.33858699999999</v>
      </c>
      <c r="H10">
        <f t="shared" si="3"/>
        <v>38.535434799999997</v>
      </c>
      <c r="I10">
        <f t="shared" si="4"/>
        <v>57.803152199999992</v>
      </c>
      <c r="J10">
        <v>96.580712000000005</v>
      </c>
      <c r="K10">
        <v>37.754384000000002</v>
      </c>
      <c r="L10">
        <v>6.8344959999999997</v>
      </c>
      <c r="M10">
        <v>141.16959199999999</v>
      </c>
      <c r="N10">
        <f t="shared" si="15"/>
        <v>8.1279809646605372</v>
      </c>
      <c r="O10">
        <f t="shared" si="15"/>
        <v>3.7458961246179854</v>
      </c>
      <c r="P10">
        <f t="shared" si="15"/>
        <v>0.27795411564241057</v>
      </c>
      <c r="Q10">
        <f t="shared" si="15"/>
        <v>12.151831204920938</v>
      </c>
      <c r="R10">
        <f t="shared" si="17"/>
        <v>88.452731035339468</v>
      </c>
      <c r="S10">
        <f t="shared" si="17"/>
        <v>34.008487875382016</v>
      </c>
      <c r="T10">
        <f t="shared" si="17"/>
        <v>6.5565418843575891</v>
      </c>
      <c r="U10">
        <f t="shared" si="17"/>
        <v>129.01776079507906</v>
      </c>
      <c r="V10">
        <f t="shared" si="13"/>
        <v>7.0534003574144162E-3</v>
      </c>
      <c r="W10">
        <f t="shared" si="13"/>
        <v>1.1758511221970355E-2</v>
      </c>
      <c r="X10">
        <f t="shared" si="13"/>
        <v>3.7004681240195611E-2</v>
      </c>
      <c r="Y10">
        <f t="shared" si="5"/>
        <v>9.7617773266647171E-3</v>
      </c>
      <c r="Z10">
        <f t="shared" ref="Z10:Z27" si="18">Z9+($Z$28/20)</f>
        <v>0.08</v>
      </c>
      <c r="AA10">
        <f t="shared" ref="AA10:AA27" si="19">AA9+(AA$28/20)</f>
        <v>0.08</v>
      </c>
      <c r="AB10">
        <v>1</v>
      </c>
      <c r="AC10">
        <v>1</v>
      </c>
      <c r="AD10">
        <f t="shared" si="6"/>
        <v>10.321420863606324</v>
      </c>
      <c r="AE10">
        <f t="shared" ref="AE10:AE28" si="20">$AB10*(Q10-$Q$8)+($AJ$8*$AN10)</f>
        <v>4.8499336224605827</v>
      </c>
      <c r="AF10">
        <f t="shared" si="7"/>
        <v>4.6242521759999997</v>
      </c>
      <c r="AG10">
        <f t="shared" ref="AG10:AG27" si="21">$AC10*(F10-$F$8)+($AL$8*AN10)</f>
        <v>3.8896572000000003</v>
      </c>
      <c r="AH10">
        <f t="shared" si="8"/>
        <v>46.279321199999998</v>
      </c>
      <c r="AI10">
        <f t="shared" si="9"/>
        <v>118.69633993147274</v>
      </c>
      <c r="AJ10">
        <f t="shared" si="10"/>
        <v>7.3018975824603558</v>
      </c>
      <c r="AK10">
        <f t="shared" si="11"/>
        <v>53.178900023999994</v>
      </c>
      <c r="AL10">
        <f t="shared" si="12"/>
        <v>7.7261723999999994</v>
      </c>
      <c r="AM10">
        <v>0.4</v>
      </c>
      <c r="AN10">
        <v>0</v>
      </c>
    </row>
    <row r="11" spans="1:40" x14ac:dyDescent="0.2">
      <c r="A11">
        <v>2033</v>
      </c>
      <c r="B11">
        <v>117.31967899999999</v>
      </c>
      <c r="C11">
        <v>3.2921589999999998</v>
      </c>
      <c r="D11">
        <f t="shared" si="14"/>
        <v>22.651874999999997</v>
      </c>
      <c r="E11">
        <f t="shared" si="1"/>
        <v>9.0607499999999987</v>
      </c>
      <c r="F11">
        <f t="shared" si="2"/>
        <v>13.591124999999998</v>
      </c>
      <c r="G11">
        <f t="shared" si="16"/>
        <v>94.66780399999999</v>
      </c>
      <c r="H11">
        <f t="shared" si="3"/>
        <v>37.867121599999997</v>
      </c>
      <c r="I11">
        <f t="shared" si="4"/>
        <v>56.800682399999992</v>
      </c>
      <c r="J11">
        <v>97.542320000000004</v>
      </c>
      <c r="K11">
        <v>38.228700000000003</v>
      </c>
      <c r="L11">
        <v>6.8445270000000002</v>
      </c>
      <c r="M11">
        <v>142.61554799999999</v>
      </c>
      <c r="N11">
        <f t="shared" si="15"/>
        <v>9.7134814893594807</v>
      </c>
      <c r="O11">
        <f t="shared" si="15"/>
        <v>4.4600876051533334</v>
      </c>
      <c r="P11">
        <f t="shared" si="15"/>
        <v>0.33423103051294145</v>
      </c>
      <c r="Q11">
        <f t="shared" si="15"/>
        <v>14.507801125025765</v>
      </c>
      <c r="R11">
        <f t="shared" si="17"/>
        <v>87.828838510640523</v>
      </c>
      <c r="S11">
        <f t="shared" si="17"/>
        <v>33.76861239484667</v>
      </c>
      <c r="T11">
        <f t="shared" si="17"/>
        <v>6.5102959694870588</v>
      </c>
      <c r="U11">
        <f t="shared" si="17"/>
        <v>128.10774687497423</v>
      </c>
      <c r="V11">
        <f t="shared" si="13"/>
        <v>7.0534003574144162E-3</v>
      </c>
      <c r="W11">
        <f t="shared" si="13"/>
        <v>1.1758511221970355E-2</v>
      </c>
      <c r="X11">
        <f t="shared" si="13"/>
        <v>3.7004681240195611E-2</v>
      </c>
      <c r="Y11">
        <f t="shared" si="5"/>
        <v>9.7520725620833561E-3</v>
      </c>
      <c r="Z11">
        <f t="shared" si="18"/>
        <v>0.12</v>
      </c>
      <c r="AA11">
        <f t="shared" si="19"/>
        <v>0.12</v>
      </c>
      <c r="AB11">
        <v>1</v>
      </c>
      <c r="AC11">
        <v>1</v>
      </c>
      <c r="AD11">
        <f t="shared" si="6"/>
        <v>15.372929624996907</v>
      </c>
      <c r="AE11">
        <f t="shared" si="20"/>
        <v>7.2059035425654088</v>
      </c>
      <c r="AF11">
        <f t="shared" si="7"/>
        <v>6.8160818879999985</v>
      </c>
      <c r="AG11">
        <f t="shared" si="21"/>
        <v>5.8649525999999987</v>
      </c>
      <c r="AH11">
        <f t="shared" si="8"/>
        <v>46.927871599999996</v>
      </c>
      <c r="AI11">
        <f t="shared" si="9"/>
        <v>112.73481724997731</v>
      </c>
      <c r="AJ11">
        <f t="shared" si="10"/>
        <v>7.3018975824603558</v>
      </c>
      <c r="AK11">
        <f t="shared" si="11"/>
        <v>49.984600511999993</v>
      </c>
      <c r="AL11">
        <f t="shared" si="12"/>
        <v>7.7261723999999994</v>
      </c>
      <c r="AM11">
        <v>0.4</v>
      </c>
      <c r="AN11">
        <v>0</v>
      </c>
    </row>
    <row r="12" spans="1:40" x14ac:dyDescent="0.2">
      <c r="A12">
        <v>2034</v>
      </c>
      <c r="B12">
        <v>118.94864699999999</v>
      </c>
      <c r="C12">
        <v>3.3216220000000001</v>
      </c>
      <c r="D12">
        <f t="shared" si="14"/>
        <v>25.973496999999998</v>
      </c>
      <c r="E12">
        <f t="shared" si="1"/>
        <v>10.3893988</v>
      </c>
      <c r="F12">
        <f t="shared" si="2"/>
        <v>15.584098199999998</v>
      </c>
      <c r="G12">
        <f t="shared" si="16"/>
        <v>92.975149999999999</v>
      </c>
      <c r="H12">
        <f t="shared" si="3"/>
        <v>37.190060000000003</v>
      </c>
      <c r="I12">
        <f t="shared" si="4"/>
        <v>55.785089999999997</v>
      </c>
      <c r="J12">
        <v>98.475399999999993</v>
      </c>
      <c r="K12">
        <v>38.669908</v>
      </c>
      <c r="L12">
        <v>6.8523969999999998</v>
      </c>
      <c r="M12">
        <v>143.997705</v>
      </c>
      <c r="N12">
        <f t="shared" si="15"/>
        <v>11.266053450301712</v>
      </c>
      <c r="O12">
        <f t="shared" si="15"/>
        <v>5.1394791478885296</v>
      </c>
      <c r="P12">
        <f t="shared" si="15"/>
        <v>0.38802075443099504</v>
      </c>
      <c r="Q12">
        <f t="shared" si="15"/>
        <v>16.793553352621274</v>
      </c>
      <c r="R12">
        <f t="shared" si="17"/>
        <v>87.209346549698282</v>
      </c>
      <c r="S12">
        <f t="shared" si="17"/>
        <v>33.53042885211147</v>
      </c>
      <c r="T12">
        <f t="shared" si="17"/>
        <v>6.4643762455690048</v>
      </c>
      <c r="U12">
        <f t="shared" si="17"/>
        <v>127.20415164737872</v>
      </c>
      <c r="V12">
        <f t="shared" si="13"/>
        <v>7.0534003574144162E-3</v>
      </c>
      <c r="W12">
        <f t="shared" si="13"/>
        <v>1.1758511221970355E-2</v>
      </c>
      <c r="X12">
        <f t="shared" si="13"/>
        <v>3.7004681240195611E-2</v>
      </c>
      <c r="Y12">
        <f t="shared" si="5"/>
        <v>9.7422228739226183E-3</v>
      </c>
      <c r="Z12">
        <f t="shared" si="18"/>
        <v>0.16</v>
      </c>
      <c r="AA12">
        <f t="shared" si="19"/>
        <v>0.16</v>
      </c>
      <c r="AB12">
        <v>1</v>
      </c>
      <c r="AC12">
        <v>1</v>
      </c>
      <c r="AD12">
        <f t="shared" si="6"/>
        <v>20.352664263580596</v>
      </c>
      <c r="AE12">
        <f t="shared" si="20"/>
        <v>9.4916557701609179</v>
      </c>
      <c r="AF12">
        <f t="shared" si="7"/>
        <v>8.9256143999999988</v>
      </c>
      <c r="AG12">
        <f t="shared" si="21"/>
        <v>7.8579257999999985</v>
      </c>
      <c r="AH12">
        <f t="shared" si="8"/>
        <v>47.579458800000005</v>
      </c>
      <c r="AI12">
        <f t="shared" si="9"/>
        <v>106.85148738379813</v>
      </c>
      <c r="AJ12">
        <f t="shared" si="10"/>
        <v>7.3018975824603558</v>
      </c>
      <c r="AK12">
        <f t="shared" si="11"/>
        <v>46.859475599999996</v>
      </c>
      <c r="AL12">
        <f t="shared" si="12"/>
        <v>7.7261723999999994</v>
      </c>
      <c r="AM12">
        <v>0.4</v>
      </c>
      <c r="AN12">
        <v>0</v>
      </c>
    </row>
    <row r="13" spans="1:40" x14ac:dyDescent="0.2">
      <c r="A13">
        <v>2035</v>
      </c>
      <c r="B13">
        <v>120.570572</v>
      </c>
      <c r="C13">
        <v>3.3368820000000001</v>
      </c>
      <c r="D13">
        <f t="shared" si="14"/>
        <v>29.310378999999998</v>
      </c>
      <c r="E13">
        <f t="shared" si="1"/>
        <v>11.724151599999999</v>
      </c>
      <c r="F13">
        <f t="shared" si="2"/>
        <v>17.586227399999999</v>
      </c>
      <c r="G13">
        <f t="shared" si="16"/>
        <v>91.260193000000001</v>
      </c>
      <c r="H13">
        <f t="shared" si="3"/>
        <v>36.504077200000005</v>
      </c>
      <c r="I13">
        <f t="shared" si="4"/>
        <v>54.756115799999996</v>
      </c>
      <c r="J13">
        <v>99.402584000000004</v>
      </c>
      <c r="K13">
        <v>39.096772000000001</v>
      </c>
      <c r="L13">
        <v>6.8581479999999999</v>
      </c>
      <c r="M13">
        <v>145.35750400000001</v>
      </c>
      <c r="N13">
        <f t="shared" si="15"/>
        <v>12.808359886425237</v>
      </c>
      <c r="O13">
        <f t="shared" si="15"/>
        <v>5.8028466867382704</v>
      </c>
      <c r="P13">
        <f t="shared" si="15"/>
        <v>0.43936758815195276</v>
      </c>
      <c r="Q13">
        <f t="shared" si="15"/>
        <v>19.050574161315495</v>
      </c>
      <c r="R13">
        <f t="shared" si="17"/>
        <v>86.594224113574768</v>
      </c>
      <c r="S13">
        <f t="shared" si="17"/>
        <v>33.293925313261731</v>
      </c>
      <c r="T13">
        <f t="shared" si="17"/>
        <v>6.4187804118480472</v>
      </c>
      <c r="U13">
        <f t="shared" si="17"/>
        <v>126.30692983868451</v>
      </c>
      <c r="V13">
        <f t="shared" si="13"/>
        <v>7.0534003574144162E-3</v>
      </c>
      <c r="W13">
        <f t="shared" si="13"/>
        <v>1.1758511221970355E-2</v>
      </c>
      <c r="X13">
        <f t="shared" si="13"/>
        <v>3.7004681240195611E-2</v>
      </c>
      <c r="Y13">
        <f t="shared" si="5"/>
        <v>9.732071585767034E-3</v>
      </c>
      <c r="Z13">
        <f t="shared" si="18"/>
        <v>0.2</v>
      </c>
      <c r="AA13">
        <f t="shared" si="19"/>
        <v>0.2</v>
      </c>
      <c r="AB13">
        <v>1</v>
      </c>
      <c r="AC13">
        <v>1</v>
      </c>
      <c r="AD13">
        <f t="shared" si="6"/>
        <v>25.261385967736903</v>
      </c>
      <c r="AE13">
        <f t="shared" si="20"/>
        <v>11.748676578855139</v>
      </c>
      <c r="AF13">
        <f t="shared" si="7"/>
        <v>10.95122316</v>
      </c>
      <c r="AG13">
        <f t="shared" si="21"/>
        <v>9.8600549999999991</v>
      </c>
      <c r="AH13">
        <f t="shared" si="8"/>
        <v>48.228228800000004</v>
      </c>
      <c r="AI13">
        <f t="shared" si="9"/>
        <v>101.04554387094761</v>
      </c>
      <c r="AJ13">
        <f t="shared" si="10"/>
        <v>7.3018975824603558</v>
      </c>
      <c r="AK13">
        <f t="shared" si="11"/>
        <v>43.804892639999998</v>
      </c>
      <c r="AL13">
        <f t="shared" si="12"/>
        <v>7.7261723999999994</v>
      </c>
      <c r="AM13">
        <v>0.4</v>
      </c>
      <c r="AN13">
        <v>0</v>
      </c>
    </row>
    <row r="14" spans="1:40" x14ac:dyDescent="0.2">
      <c r="A14">
        <v>2036</v>
      </c>
      <c r="B14">
        <v>122.16892199999999</v>
      </c>
      <c r="C14">
        <v>3.3359239999999999</v>
      </c>
      <c r="D14">
        <f t="shared" si="14"/>
        <v>32.646302999999996</v>
      </c>
      <c r="E14">
        <f t="shared" si="1"/>
        <v>13.058521199999999</v>
      </c>
      <c r="F14">
        <f t="shared" si="2"/>
        <v>19.587781799999998</v>
      </c>
      <c r="G14">
        <f t="shared" si="16"/>
        <v>89.522618999999992</v>
      </c>
      <c r="H14">
        <f t="shared" si="3"/>
        <v>35.8090476</v>
      </c>
      <c r="I14">
        <f t="shared" si="4"/>
        <v>53.713571399999992</v>
      </c>
      <c r="J14">
        <v>100.314464</v>
      </c>
      <c r="K14">
        <v>39.507691999999999</v>
      </c>
      <c r="L14">
        <v>6.863969</v>
      </c>
      <c r="M14">
        <v>146.686126</v>
      </c>
      <c r="N14">
        <f t="shared" si="15"/>
        <v>14.331023617737941</v>
      </c>
      <c r="O14">
        <f t="shared" si="15"/>
        <v>6.4486020714425578</v>
      </c>
      <c r="P14">
        <f t="shared" si="15"/>
        <v>0.49046281620304644</v>
      </c>
      <c r="Q14">
        <f t="shared" si="15"/>
        <v>21.270089505383581</v>
      </c>
      <c r="R14">
        <f t="shared" si="17"/>
        <v>85.98344038226206</v>
      </c>
      <c r="S14">
        <f t="shared" si="17"/>
        <v>33.059089928557441</v>
      </c>
      <c r="T14">
        <f t="shared" si="17"/>
        <v>6.3735061837969536</v>
      </c>
      <c r="U14">
        <f t="shared" si="17"/>
        <v>125.41603649461642</v>
      </c>
      <c r="V14">
        <f t="shared" si="13"/>
        <v>7.0534003574144162E-3</v>
      </c>
      <c r="W14">
        <f t="shared" si="13"/>
        <v>1.1758511221970355E-2</v>
      </c>
      <c r="X14">
        <f t="shared" si="13"/>
        <v>3.7004681240195611E-2</v>
      </c>
      <c r="Y14">
        <f t="shared" si="5"/>
        <v>9.7221785027928834E-3</v>
      </c>
      <c r="Z14">
        <f t="shared" si="18"/>
        <v>0.24000000000000002</v>
      </c>
      <c r="AA14">
        <f t="shared" si="19"/>
        <v>0.24000000000000002</v>
      </c>
      <c r="AB14">
        <v>1</v>
      </c>
      <c r="AC14">
        <v>1</v>
      </c>
      <c r="AD14">
        <f t="shared" si="6"/>
        <v>30.099848758707942</v>
      </c>
      <c r="AE14">
        <f t="shared" si="20"/>
        <v>13.968191922923225</v>
      </c>
      <c r="AF14">
        <f t="shared" si="7"/>
        <v>12.891257135999998</v>
      </c>
      <c r="AG14">
        <f t="shared" si="21"/>
        <v>11.861609399999999</v>
      </c>
      <c r="AH14">
        <f t="shared" si="8"/>
        <v>48.867568800000001</v>
      </c>
      <c r="AI14">
        <f t="shared" si="9"/>
        <v>95.316187735908471</v>
      </c>
      <c r="AJ14">
        <f t="shared" si="10"/>
        <v>7.3018975824603558</v>
      </c>
      <c r="AK14">
        <f t="shared" si="11"/>
        <v>40.822314263999992</v>
      </c>
      <c r="AL14">
        <f t="shared" si="12"/>
        <v>7.7261723999999994</v>
      </c>
      <c r="AM14">
        <v>0.4</v>
      </c>
      <c r="AN14">
        <v>0</v>
      </c>
    </row>
    <row r="15" spans="1:40" x14ac:dyDescent="0.2">
      <c r="A15">
        <v>2037</v>
      </c>
      <c r="B15">
        <v>123.73555</v>
      </c>
      <c r="C15">
        <v>3.3269090000000001</v>
      </c>
      <c r="D15">
        <f t="shared" si="14"/>
        <v>35.973211999999997</v>
      </c>
      <c r="E15">
        <f t="shared" si="1"/>
        <v>14.389284799999999</v>
      </c>
      <c r="F15">
        <f t="shared" si="2"/>
        <v>21.583927199999998</v>
      </c>
      <c r="G15">
        <f t="shared" si="16"/>
        <v>87.762338</v>
      </c>
      <c r="H15">
        <f t="shared" si="3"/>
        <v>35.1049352</v>
      </c>
      <c r="I15">
        <f t="shared" si="4"/>
        <v>52.6574028</v>
      </c>
      <c r="J15">
        <v>101.201392</v>
      </c>
      <c r="K15">
        <v>39.887748000000002</v>
      </c>
      <c r="L15">
        <v>6.8687569999999996</v>
      </c>
      <c r="M15">
        <v>147.957897</v>
      </c>
      <c r="N15">
        <f t="shared" si="15"/>
        <v>15.824427246861902</v>
      </c>
      <c r="O15">
        <f t="shared" si="15"/>
        <v>7.0618370681604432</v>
      </c>
      <c r="P15">
        <f t="shared" si="15"/>
        <v>0.54020570699782233</v>
      </c>
      <c r="Q15">
        <f t="shared" si="15"/>
        <v>23.426470022020212</v>
      </c>
      <c r="R15">
        <f t="shared" si="17"/>
        <v>85.376964753138097</v>
      </c>
      <c r="S15">
        <f t="shared" si="17"/>
        <v>32.825910931839559</v>
      </c>
      <c r="T15">
        <f t="shared" si="17"/>
        <v>6.3285512930021772</v>
      </c>
      <c r="U15">
        <f t="shared" si="17"/>
        <v>124.53142697797979</v>
      </c>
      <c r="V15">
        <f t="shared" si="13"/>
        <v>7.0534003574144162E-3</v>
      </c>
      <c r="W15">
        <f t="shared" si="13"/>
        <v>1.1758511221970355E-2</v>
      </c>
      <c r="X15">
        <f t="shared" si="13"/>
        <v>3.7004681240195611E-2</v>
      </c>
      <c r="Y15">
        <f t="shared" si="5"/>
        <v>9.712294236529492E-3</v>
      </c>
      <c r="Z15">
        <f t="shared" si="18"/>
        <v>0.28000000000000003</v>
      </c>
      <c r="AA15">
        <f t="shared" si="19"/>
        <v>0.28000000000000003</v>
      </c>
      <c r="AB15">
        <v>1</v>
      </c>
      <c r="AC15">
        <v>1</v>
      </c>
      <c r="AD15">
        <f t="shared" si="6"/>
        <v>34.868799553834343</v>
      </c>
      <c r="AE15">
        <f t="shared" si="20"/>
        <v>16.124572439559856</v>
      </c>
      <c r="AF15">
        <f t="shared" si="7"/>
        <v>14.744072784000002</v>
      </c>
      <c r="AG15">
        <f t="shared" si="21"/>
        <v>13.857754799999999</v>
      </c>
      <c r="AH15">
        <f t="shared" si="8"/>
        <v>49.494219999999999</v>
      </c>
      <c r="AI15">
        <f t="shared" si="9"/>
        <v>89.662627424145455</v>
      </c>
      <c r="AJ15">
        <f t="shared" si="10"/>
        <v>7.3018975824603558</v>
      </c>
      <c r="AK15">
        <f t="shared" si="11"/>
        <v>37.913330015999996</v>
      </c>
      <c r="AL15">
        <f t="shared" si="12"/>
        <v>7.7261723999999994</v>
      </c>
      <c r="AM15">
        <v>0.4</v>
      </c>
      <c r="AN15">
        <v>0</v>
      </c>
    </row>
    <row r="16" spans="1:40" x14ac:dyDescent="0.2">
      <c r="A16">
        <v>2038</v>
      </c>
      <c r="B16">
        <v>125.27293400000001</v>
      </c>
      <c r="C16">
        <v>3.3203109999999998</v>
      </c>
      <c r="D16">
        <f t="shared" si="14"/>
        <v>39.293522999999993</v>
      </c>
      <c r="E16">
        <f t="shared" si="1"/>
        <v>15.717409199999999</v>
      </c>
      <c r="F16">
        <f t="shared" si="2"/>
        <v>23.576113799999995</v>
      </c>
      <c r="G16">
        <f t="shared" si="16"/>
        <v>85.979411000000013</v>
      </c>
      <c r="H16">
        <f t="shared" si="3"/>
        <v>34.391764400000007</v>
      </c>
      <c r="I16">
        <f t="shared" si="4"/>
        <v>51.587646600000006</v>
      </c>
      <c r="J16">
        <v>102.063192</v>
      </c>
      <c r="K16">
        <v>40.244427999999999</v>
      </c>
      <c r="L16">
        <v>6.872681</v>
      </c>
      <c r="M16">
        <v>149.18030099999999</v>
      </c>
      <c r="N16">
        <f t="shared" si="15"/>
        <v>17.288425160566646</v>
      </c>
      <c r="O16">
        <f t="shared" si="15"/>
        <v>7.6500513600595283</v>
      </c>
      <c r="P16">
        <f t="shared" si="15"/>
        <v>0.58876751294979979</v>
      </c>
      <c r="Q16">
        <f t="shared" si="15"/>
        <v>25.527244033576011</v>
      </c>
      <c r="R16">
        <f t="shared" si="17"/>
        <v>84.774766839433354</v>
      </c>
      <c r="S16">
        <f t="shared" si="17"/>
        <v>32.594376639940471</v>
      </c>
      <c r="T16">
        <f t="shared" si="17"/>
        <v>6.2839134870502003</v>
      </c>
      <c r="U16">
        <f t="shared" si="17"/>
        <v>123.65305696642397</v>
      </c>
      <c r="V16">
        <f t="shared" si="13"/>
        <v>7.0534003574144162E-3</v>
      </c>
      <c r="W16">
        <f t="shared" si="13"/>
        <v>1.1758511221970355E-2</v>
      </c>
      <c r="X16">
        <f t="shared" si="13"/>
        <v>3.7004681240195611E-2</v>
      </c>
      <c r="Y16">
        <f t="shared" si="5"/>
        <v>9.7025443249506727E-3</v>
      </c>
      <c r="Z16">
        <f t="shared" si="18"/>
        <v>0.32</v>
      </c>
      <c r="AA16">
        <f t="shared" si="19"/>
        <v>0.32</v>
      </c>
      <c r="AB16">
        <v>1</v>
      </c>
      <c r="AC16">
        <v>1</v>
      </c>
      <c r="AD16">
        <f t="shared" si="6"/>
        <v>39.56897822925567</v>
      </c>
      <c r="AE16">
        <f t="shared" si="20"/>
        <v>18.225346451115655</v>
      </c>
      <c r="AF16">
        <f t="shared" si="7"/>
        <v>16.508046912000001</v>
      </c>
      <c r="AG16">
        <f t="shared" si="21"/>
        <v>15.849941399999995</v>
      </c>
      <c r="AH16">
        <f t="shared" si="8"/>
        <v>50.109173600000005</v>
      </c>
      <c r="AI16">
        <f t="shared" si="9"/>
        <v>84.084078737168312</v>
      </c>
      <c r="AJ16">
        <f t="shared" si="10"/>
        <v>7.3018975824603558</v>
      </c>
      <c r="AK16">
        <f t="shared" si="11"/>
        <v>35.079599688000002</v>
      </c>
      <c r="AL16">
        <f t="shared" si="12"/>
        <v>7.7261723999999994</v>
      </c>
      <c r="AM16">
        <v>0.4</v>
      </c>
      <c r="AN16">
        <v>0</v>
      </c>
    </row>
    <row r="17" spans="1:40" x14ac:dyDescent="0.2">
      <c r="A17">
        <v>2039</v>
      </c>
      <c r="B17">
        <v>126.786034</v>
      </c>
      <c r="C17">
        <v>3.3185319999999998</v>
      </c>
      <c r="D17">
        <f t="shared" si="14"/>
        <v>42.612054999999991</v>
      </c>
      <c r="E17">
        <f t="shared" si="1"/>
        <v>17.044821999999996</v>
      </c>
      <c r="F17">
        <f t="shared" si="2"/>
        <v>25.567232999999995</v>
      </c>
      <c r="G17">
        <f t="shared" si="16"/>
        <v>84.173979000000003</v>
      </c>
      <c r="H17">
        <f t="shared" si="3"/>
        <v>33.669591600000004</v>
      </c>
      <c r="I17">
        <f t="shared" si="4"/>
        <v>50.504387399999999</v>
      </c>
      <c r="J17">
        <v>102.89217600000001</v>
      </c>
      <c r="K17">
        <v>40.580072000000001</v>
      </c>
      <c r="L17">
        <v>6.8761729999999996</v>
      </c>
      <c r="M17">
        <v>150.348421</v>
      </c>
      <c r="N17">
        <f t="shared" si="15"/>
        <v>18.715359531291639</v>
      </c>
      <c r="O17">
        <f t="shared" si="15"/>
        <v>8.2155965479013844</v>
      </c>
      <c r="P17">
        <f t="shared" si="15"/>
        <v>0.63658247058532069</v>
      </c>
      <c r="Q17">
        <f t="shared" si="15"/>
        <v>27.567538549778391</v>
      </c>
      <c r="R17">
        <f t="shared" si="17"/>
        <v>84.176816468708367</v>
      </c>
      <c r="S17">
        <f t="shared" si="17"/>
        <v>32.364475452098617</v>
      </c>
      <c r="T17">
        <f t="shared" si="17"/>
        <v>6.239590529414679</v>
      </c>
      <c r="U17">
        <f t="shared" si="17"/>
        <v>122.78088245022161</v>
      </c>
      <c r="V17">
        <f t="shared" si="13"/>
        <v>7.0534003574144162E-3</v>
      </c>
      <c r="W17">
        <f t="shared" si="13"/>
        <v>1.1758511221970355E-2</v>
      </c>
      <c r="X17">
        <f t="shared" si="13"/>
        <v>3.7004681240195611E-2</v>
      </c>
      <c r="Y17">
        <f t="shared" si="5"/>
        <v>9.6931615463480766E-3</v>
      </c>
      <c r="Z17">
        <f t="shared" si="18"/>
        <v>0.36</v>
      </c>
      <c r="AA17">
        <f t="shared" si="19"/>
        <v>0.36</v>
      </c>
      <c r="AB17">
        <v>1</v>
      </c>
      <c r="AC17">
        <v>1</v>
      </c>
      <c r="AD17">
        <f t="shared" si="6"/>
        <v>44.201117682079776</v>
      </c>
      <c r="AE17">
        <f t="shared" si="20"/>
        <v>20.265640967318035</v>
      </c>
      <c r="AF17">
        <f t="shared" si="7"/>
        <v>18.181579463999999</v>
      </c>
      <c r="AG17">
        <f t="shared" si="21"/>
        <v>17.841060599999995</v>
      </c>
      <c r="AH17">
        <f t="shared" si="8"/>
        <v>50.7144136</v>
      </c>
      <c r="AI17">
        <f t="shared" si="9"/>
        <v>78.579764768141843</v>
      </c>
      <c r="AJ17">
        <f t="shared" si="10"/>
        <v>7.3018975824603558</v>
      </c>
      <c r="AK17">
        <f t="shared" si="11"/>
        <v>32.322807936000004</v>
      </c>
      <c r="AL17">
        <f t="shared" si="12"/>
        <v>7.7261723999999994</v>
      </c>
      <c r="AM17">
        <v>0.4</v>
      </c>
      <c r="AN17">
        <v>0</v>
      </c>
    </row>
    <row r="18" spans="1:40" x14ac:dyDescent="0.2">
      <c r="A18">
        <v>2040</v>
      </c>
      <c r="B18">
        <v>128.28021200000001</v>
      </c>
      <c r="C18">
        <v>3.3219720000000001</v>
      </c>
      <c r="D18">
        <f t="shared" si="14"/>
        <v>45.934026999999993</v>
      </c>
      <c r="E18">
        <f t="shared" si="1"/>
        <v>18.373610799999998</v>
      </c>
      <c r="F18">
        <f t="shared" si="2"/>
        <v>27.560416199999995</v>
      </c>
      <c r="G18">
        <f t="shared" si="16"/>
        <v>82.34618500000002</v>
      </c>
      <c r="H18">
        <f t="shared" si="3"/>
        <v>32.938474000000006</v>
      </c>
      <c r="I18">
        <f t="shared" si="4"/>
        <v>49.407711000000013</v>
      </c>
      <c r="J18">
        <v>103.692392</v>
      </c>
      <c r="K18">
        <v>40.897655999999998</v>
      </c>
      <c r="L18">
        <v>6.8816290000000002</v>
      </c>
      <c r="M18">
        <v>151.471677</v>
      </c>
      <c r="N18">
        <f t="shared" si="15"/>
        <v>20.109308318658023</v>
      </c>
      <c r="O18">
        <f t="shared" si="15"/>
        <v>8.7614601506227459</v>
      </c>
      <c r="P18">
        <f t="shared" si="15"/>
        <v>0.68604880065561424</v>
      </c>
      <c r="Q18">
        <f t="shared" si="15"/>
        <v>29.556817269936445</v>
      </c>
      <c r="R18">
        <f t="shared" si="17"/>
        <v>83.583083681341975</v>
      </c>
      <c r="S18">
        <f t="shared" si="17"/>
        <v>32.136195849377252</v>
      </c>
      <c r="T18">
        <f t="shared" si="17"/>
        <v>6.195580199344386</v>
      </c>
      <c r="U18">
        <f t="shared" si="17"/>
        <v>121.91485973006355</v>
      </c>
      <c r="V18">
        <f t="shared" si="13"/>
        <v>7.0534003574144162E-3</v>
      </c>
      <c r="W18">
        <f t="shared" si="13"/>
        <v>1.1758511221970355E-2</v>
      </c>
      <c r="X18">
        <f t="shared" si="13"/>
        <v>3.7004681240195611E-2</v>
      </c>
      <c r="Y18">
        <f t="shared" si="5"/>
        <v>9.6845299295162945E-3</v>
      </c>
      <c r="Z18">
        <f t="shared" si="18"/>
        <v>0.39999999999999997</v>
      </c>
      <c r="AA18">
        <f t="shared" si="19"/>
        <v>0.39999999999999997</v>
      </c>
      <c r="AB18">
        <v>1</v>
      </c>
      <c r="AC18">
        <v>1</v>
      </c>
      <c r="AD18">
        <f t="shared" si="6"/>
        <v>48.765943892025419</v>
      </c>
      <c r="AE18">
        <f t="shared" si="20"/>
        <v>22.25491968747609</v>
      </c>
      <c r="AF18">
        <f t="shared" si="7"/>
        <v>19.763084400000004</v>
      </c>
      <c r="AG18">
        <f t="shared" si="21"/>
        <v>19.834243799999996</v>
      </c>
      <c r="AH18">
        <f t="shared" si="8"/>
        <v>51.312084800000008</v>
      </c>
      <c r="AI18">
        <f t="shared" si="9"/>
        <v>73.148915838038135</v>
      </c>
      <c r="AJ18">
        <f t="shared" si="10"/>
        <v>7.3018975824603558</v>
      </c>
      <c r="AK18">
        <f t="shared" si="11"/>
        <v>29.644626600000009</v>
      </c>
      <c r="AL18">
        <f t="shared" si="12"/>
        <v>7.7261723999999994</v>
      </c>
      <c r="AM18">
        <v>0.4</v>
      </c>
      <c r="AN18">
        <v>0</v>
      </c>
    </row>
    <row r="19" spans="1:40" x14ac:dyDescent="0.2">
      <c r="A19">
        <v>2041</v>
      </c>
      <c r="B19">
        <v>129.76083399999999</v>
      </c>
      <c r="C19">
        <v>3.3306</v>
      </c>
      <c r="D19">
        <f t="shared" si="14"/>
        <v>49.26462699999999</v>
      </c>
      <c r="E19">
        <f t="shared" si="1"/>
        <v>19.705850799999997</v>
      </c>
      <c r="F19">
        <f t="shared" si="2"/>
        <v>29.558776199999993</v>
      </c>
      <c r="G19">
        <f t="shared" si="16"/>
        <v>80.496206999999998</v>
      </c>
      <c r="H19">
        <f t="shared" si="3"/>
        <v>32.198482800000001</v>
      </c>
      <c r="I19">
        <f t="shared" si="4"/>
        <v>48.297724199999998</v>
      </c>
      <c r="J19">
        <v>104.460888</v>
      </c>
      <c r="K19">
        <v>41.193407999999998</v>
      </c>
      <c r="L19">
        <v>6.8880090000000003</v>
      </c>
      <c r="M19">
        <v>152.542305</v>
      </c>
      <c r="N19">
        <f t="shared" si="15"/>
        <v>21.467349270969805</v>
      </c>
      <c r="O19">
        <f t="shared" si="15"/>
        <v>9.2838816059126827</v>
      </c>
      <c r="P19">
        <f t="shared" si="15"/>
        <v>0.73612870824806009</v>
      </c>
      <c r="Q19">
        <f t="shared" si="15"/>
        <v>31.487359585130605</v>
      </c>
      <c r="R19">
        <f t="shared" si="17"/>
        <v>82.993538729030192</v>
      </c>
      <c r="S19">
        <f t="shared" si="17"/>
        <v>31.909526394087315</v>
      </c>
      <c r="T19">
        <f t="shared" si="17"/>
        <v>6.1518802917519402</v>
      </c>
      <c r="U19">
        <f t="shared" si="17"/>
        <v>121.05494541486939</v>
      </c>
      <c r="V19">
        <f t="shared" si="13"/>
        <v>7.0534003574144162E-3</v>
      </c>
      <c r="W19">
        <f t="shared" si="13"/>
        <v>1.1758511221970355E-2</v>
      </c>
      <c r="X19">
        <f t="shared" si="13"/>
        <v>3.7004681240195611E-2</v>
      </c>
      <c r="Y19">
        <f t="shared" si="5"/>
        <v>9.6764382340940053E-3</v>
      </c>
      <c r="Z19">
        <f t="shared" si="18"/>
        <v>0.43999999999999995</v>
      </c>
      <c r="AA19">
        <f t="shared" si="19"/>
        <v>0.43999999999999995</v>
      </c>
      <c r="AB19">
        <v>1</v>
      </c>
      <c r="AC19">
        <v>1</v>
      </c>
      <c r="AD19">
        <f t="shared" si="6"/>
        <v>53.264175982542525</v>
      </c>
      <c r="AE19">
        <f t="shared" si="20"/>
        <v>24.185462002670249</v>
      </c>
      <c r="AF19">
        <f t="shared" si="7"/>
        <v>21.250998647999996</v>
      </c>
      <c r="AG19">
        <f t="shared" si="21"/>
        <v>21.832603799999994</v>
      </c>
      <c r="AH19">
        <f t="shared" si="8"/>
        <v>51.904333600000001</v>
      </c>
      <c r="AI19">
        <f t="shared" si="9"/>
        <v>67.790769432326869</v>
      </c>
      <c r="AJ19">
        <f t="shared" si="10"/>
        <v>7.3018975824603558</v>
      </c>
      <c r="AK19">
        <f t="shared" si="11"/>
        <v>27.046725552000002</v>
      </c>
      <c r="AL19">
        <f t="shared" si="12"/>
        <v>7.7261723999999994</v>
      </c>
      <c r="AM19">
        <v>0.4</v>
      </c>
      <c r="AN19">
        <v>0</v>
      </c>
    </row>
    <row r="20" spans="1:40" x14ac:dyDescent="0.2">
      <c r="A20">
        <v>2042</v>
      </c>
      <c r="B20">
        <v>131.231323</v>
      </c>
      <c r="C20">
        <v>3.3425159999999998</v>
      </c>
      <c r="D20">
        <f t="shared" si="14"/>
        <v>52.607142999999994</v>
      </c>
      <c r="E20">
        <f t="shared" si="1"/>
        <v>21.0428572</v>
      </c>
      <c r="F20">
        <f t="shared" si="2"/>
        <v>31.564285799999993</v>
      </c>
      <c r="G20">
        <f t="shared" si="16"/>
        <v>78.62418000000001</v>
      </c>
      <c r="H20">
        <f t="shared" si="3"/>
        <v>31.449672000000007</v>
      </c>
      <c r="I20">
        <f t="shared" si="4"/>
        <v>47.174508000000003</v>
      </c>
      <c r="J20">
        <v>105.20867200000001</v>
      </c>
      <c r="K20">
        <v>41.472396000000003</v>
      </c>
      <c r="L20">
        <v>6.8943719999999997</v>
      </c>
      <c r="M20">
        <v>153.57543999999999</v>
      </c>
      <c r="N20">
        <f t="shared" si="15"/>
        <v>22.80051992670424</v>
      </c>
      <c r="O20">
        <f t="shared" si="15"/>
        <v>9.7879402707856684</v>
      </c>
      <c r="P20">
        <f t="shared" si="15"/>
        <v>0.78588338289667359</v>
      </c>
      <c r="Q20">
        <f t="shared" si="15"/>
        <v>33.374343580386622</v>
      </c>
      <c r="R20">
        <f t="shared" si="17"/>
        <v>82.408152073295767</v>
      </c>
      <c r="S20">
        <f t="shared" si="17"/>
        <v>31.684455729214335</v>
      </c>
      <c r="T20">
        <f t="shared" si="17"/>
        <v>6.1084886171033261</v>
      </c>
      <c r="U20">
        <f t="shared" si="17"/>
        <v>120.20109641961336</v>
      </c>
      <c r="V20">
        <f t="shared" ref="V20:X28" si="22">V19</f>
        <v>7.0534003574144162E-3</v>
      </c>
      <c r="W20">
        <f t="shared" si="22"/>
        <v>1.1758511221970355E-2</v>
      </c>
      <c r="X20">
        <f t="shared" si="22"/>
        <v>3.7004681240195611E-2</v>
      </c>
      <c r="Y20">
        <f t="shared" si="5"/>
        <v>9.6685808399261282E-3</v>
      </c>
      <c r="Z20">
        <f t="shared" si="18"/>
        <v>0.47999999999999993</v>
      </c>
      <c r="AA20">
        <f t="shared" si="19"/>
        <v>0.47999999999999993</v>
      </c>
      <c r="AB20">
        <v>1</v>
      </c>
      <c r="AC20">
        <v>1</v>
      </c>
      <c r="AD20">
        <f t="shared" si="6"/>
        <v>57.696526281414407</v>
      </c>
      <c r="AE20">
        <f t="shared" si="20"/>
        <v>26.072445997926266</v>
      </c>
      <c r="AF20">
        <f t="shared" si="7"/>
        <v>22.643763839999998</v>
      </c>
      <c r="AG20">
        <f t="shared" si="21"/>
        <v>23.838113399999994</v>
      </c>
      <c r="AH20">
        <f t="shared" si="8"/>
        <v>52.492529200000007</v>
      </c>
      <c r="AI20">
        <f t="shared" si="9"/>
        <v>62.504570138198957</v>
      </c>
      <c r="AJ20">
        <f t="shared" si="10"/>
        <v>7.3018975824603558</v>
      </c>
      <c r="AK20">
        <f t="shared" si="11"/>
        <v>24.530744160000005</v>
      </c>
      <c r="AL20">
        <f t="shared" si="12"/>
        <v>7.7261723999999994</v>
      </c>
      <c r="AM20">
        <v>0.4</v>
      </c>
      <c r="AN20">
        <v>0</v>
      </c>
    </row>
    <row r="21" spans="1:40" x14ac:dyDescent="0.2">
      <c r="A21">
        <v>2043</v>
      </c>
      <c r="B21">
        <v>132.69490099999999</v>
      </c>
      <c r="C21">
        <v>3.3574739999999998</v>
      </c>
      <c r="D21">
        <f t="shared" si="14"/>
        <v>55.96461699999999</v>
      </c>
      <c r="E21">
        <f t="shared" si="1"/>
        <v>22.385846799999996</v>
      </c>
      <c r="F21">
        <f t="shared" si="2"/>
        <v>33.578770199999994</v>
      </c>
      <c r="G21">
        <f t="shared" si="16"/>
        <v>76.730283999999997</v>
      </c>
      <c r="H21">
        <f t="shared" si="3"/>
        <v>30.692113599999999</v>
      </c>
      <c r="I21">
        <f t="shared" si="4"/>
        <v>46.038170399999998</v>
      </c>
      <c r="J21">
        <v>105.923744</v>
      </c>
      <c r="K21">
        <v>41.742612000000001</v>
      </c>
      <c r="L21">
        <v>6.8997310000000001</v>
      </c>
      <c r="M21">
        <v>154.56608700000001</v>
      </c>
      <c r="N21">
        <f t="shared" si="15"/>
        <v>24.096849615991871</v>
      </c>
      <c r="O21">
        <f t="shared" si="15"/>
        <v>10.281639422150587</v>
      </c>
      <c r="P21">
        <f t="shared" si="15"/>
        <v>0.83432799869181284</v>
      </c>
      <c r="Q21">
        <f t="shared" si="15"/>
        <v>35.212817036834352</v>
      </c>
      <c r="R21">
        <f t="shared" si="17"/>
        <v>81.826894384008128</v>
      </c>
      <c r="S21">
        <f t="shared" si="17"/>
        <v>31.460972577849414</v>
      </c>
      <c r="T21">
        <f t="shared" si="17"/>
        <v>6.0654030013081872</v>
      </c>
      <c r="U21">
        <f t="shared" si="17"/>
        <v>119.35326996316566</v>
      </c>
      <c r="V21">
        <f t="shared" si="22"/>
        <v>7.0534003574144162E-3</v>
      </c>
      <c r="W21">
        <f t="shared" si="22"/>
        <v>1.1758511221970355E-2</v>
      </c>
      <c r="X21">
        <f t="shared" si="22"/>
        <v>3.7004681240195611E-2</v>
      </c>
      <c r="Y21">
        <f t="shared" si="5"/>
        <v>9.6610836225848387E-3</v>
      </c>
      <c r="Z21">
        <f t="shared" si="18"/>
        <v>0.51999999999999991</v>
      </c>
      <c r="AA21">
        <f t="shared" si="19"/>
        <v>0.51999999999999991</v>
      </c>
      <c r="AB21">
        <v>1</v>
      </c>
      <c r="AC21">
        <v>1</v>
      </c>
      <c r="AD21">
        <f t="shared" si="6"/>
        <v>62.063700380846129</v>
      </c>
      <c r="AE21">
        <f t="shared" si="20"/>
        <v>27.910919454373996</v>
      </c>
      <c r="AF21">
        <f t="shared" si="7"/>
        <v>23.939848607999995</v>
      </c>
      <c r="AG21">
        <f t="shared" si="21"/>
        <v>25.852597799999995</v>
      </c>
      <c r="AH21">
        <f t="shared" si="8"/>
        <v>53.077960399999995</v>
      </c>
      <c r="AI21">
        <f t="shared" si="9"/>
        <v>57.28956958231953</v>
      </c>
      <c r="AJ21">
        <f t="shared" si="10"/>
        <v>7.3018975824603558</v>
      </c>
      <c r="AK21">
        <f t="shared" si="11"/>
        <v>22.098321792000004</v>
      </c>
      <c r="AL21">
        <f t="shared" si="12"/>
        <v>7.7261723999999994</v>
      </c>
      <c r="AM21">
        <v>0.4</v>
      </c>
      <c r="AN21">
        <v>0</v>
      </c>
    </row>
    <row r="22" spans="1:40" x14ac:dyDescent="0.2">
      <c r="A22">
        <v>2044</v>
      </c>
      <c r="B22">
        <v>134.15536499999999</v>
      </c>
      <c r="C22">
        <v>3.3761589999999999</v>
      </c>
      <c r="D22">
        <f t="shared" si="14"/>
        <v>59.340775999999991</v>
      </c>
      <c r="E22">
        <f t="shared" si="1"/>
        <v>23.736310399999997</v>
      </c>
      <c r="F22">
        <f t="shared" si="2"/>
        <v>35.60446559999999</v>
      </c>
      <c r="G22">
        <f t="shared" si="16"/>
        <v>74.814588999999998</v>
      </c>
      <c r="H22">
        <f t="shared" si="3"/>
        <v>29.925835599999999</v>
      </c>
      <c r="I22">
        <f t="shared" si="4"/>
        <v>44.888753399999999</v>
      </c>
      <c r="J22">
        <v>106.61773599999999</v>
      </c>
      <c r="K22">
        <v>42.013559999999998</v>
      </c>
      <c r="L22">
        <v>6.9049379999999996</v>
      </c>
      <c r="M22">
        <v>155.53623400000001</v>
      </c>
      <c r="N22">
        <f t="shared" si="15"/>
        <v>25.367999462086146</v>
      </c>
      <c r="O22">
        <f t="shared" si="15"/>
        <v>10.774494257375792</v>
      </c>
      <c r="P22">
        <f t="shared" si="15"/>
        <v>0.88231671438910197</v>
      </c>
      <c r="Q22">
        <f t="shared" si="15"/>
        <v>37.024810433851115</v>
      </c>
      <c r="R22">
        <f t="shared" ref="R22:U28" si="23">R21*(1-$V21)</f>
        <v>81.249736537913847</v>
      </c>
      <c r="S22">
        <f t="shared" si="23"/>
        <v>31.239065742624206</v>
      </c>
      <c r="T22">
        <f t="shared" si="23"/>
        <v>6.0226212856108976</v>
      </c>
      <c r="U22">
        <f t="shared" si="23"/>
        <v>118.51142356614889</v>
      </c>
      <c r="V22">
        <f t="shared" si="22"/>
        <v>7.0534003574144162E-3</v>
      </c>
      <c r="W22">
        <f t="shared" si="22"/>
        <v>1.1758511221970355E-2</v>
      </c>
      <c r="X22">
        <f t="shared" si="22"/>
        <v>3.7004681240195611E-2</v>
      </c>
      <c r="Y22">
        <f t="shared" si="5"/>
        <v>9.6540174916241988E-3</v>
      </c>
      <c r="Z22">
        <f t="shared" si="18"/>
        <v>0.55999999999999994</v>
      </c>
      <c r="AA22">
        <f t="shared" si="19"/>
        <v>0.55999999999999994</v>
      </c>
      <c r="AB22">
        <v>1</v>
      </c>
      <c r="AC22">
        <v>1</v>
      </c>
      <c r="AD22">
        <f t="shared" si="6"/>
        <v>66.366397197043369</v>
      </c>
      <c r="AE22">
        <f t="shared" si="20"/>
        <v>29.72291285139076</v>
      </c>
      <c r="AF22">
        <f t="shared" si="7"/>
        <v>25.137701903999996</v>
      </c>
      <c r="AG22">
        <f t="shared" si="21"/>
        <v>27.878293199999991</v>
      </c>
      <c r="AH22">
        <f t="shared" si="8"/>
        <v>53.662145999999993</v>
      </c>
      <c r="AI22">
        <f t="shared" si="9"/>
        <v>52.145026369105523</v>
      </c>
      <c r="AJ22">
        <f t="shared" si="10"/>
        <v>7.3018975824603558</v>
      </c>
      <c r="AK22">
        <f t="shared" si="11"/>
        <v>19.751051496000002</v>
      </c>
      <c r="AL22">
        <f t="shared" si="12"/>
        <v>7.7261723999999994</v>
      </c>
      <c r="AM22">
        <v>0.4</v>
      </c>
      <c r="AN22">
        <v>0</v>
      </c>
    </row>
    <row r="23" spans="1:40" x14ac:dyDescent="0.2">
      <c r="A23">
        <v>2045</v>
      </c>
      <c r="B23">
        <v>135.616333</v>
      </c>
      <c r="C23">
        <v>3.3983430000000001</v>
      </c>
      <c r="D23">
        <f t="shared" si="14"/>
        <v>62.739118999999988</v>
      </c>
      <c r="E23">
        <f t="shared" si="1"/>
        <v>25.095647599999996</v>
      </c>
      <c r="F23">
        <f t="shared" si="2"/>
        <v>37.643471399999989</v>
      </c>
      <c r="G23">
        <f t="shared" si="16"/>
        <v>72.877214000000009</v>
      </c>
      <c r="H23">
        <f t="shared" si="3"/>
        <v>29.150885600000006</v>
      </c>
      <c r="I23">
        <f t="shared" si="4"/>
        <v>43.726328400000007</v>
      </c>
      <c r="J23">
        <v>107.31068</v>
      </c>
      <c r="K23">
        <v>42.284568</v>
      </c>
      <c r="L23">
        <v>6.9104179999999999</v>
      </c>
      <c r="M23">
        <v>156.50566499999999</v>
      </c>
      <c r="N23">
        <f t="shared" si="15"/>
        <v>26.634030382822502</v>
      </c>
      <c r="O23">
        <f t="shared" si="15"/>
        <v>11.265843894850111</v>
      </c>
      <c r="P23">
        <f t="shared" si="15"/>
        <v>0.93027667351760179</v>
      </c>
      <c r="Q23">
        <f t="shared" si="15"/>
        <v>38.830149951190265</v>
      </c>
      <c r="R23">
        <f t="shared" si="23"/>
        <v>80.676649617177503</v>
      </c>
      <c r="S23">
        <f t="shared" si="23"/>
        <v>31.018724105149889</v>
      </c>
      <c r="T23">
        <f t="shared" si="23"/>
        <v>5.9801413264823982</v>
      </c>
      <c r="U23">
        <f t="shared" si="23"/>
        <v>117.67551504880973</v>
      </c>
      <c r="V23">
        <f t="shared" si="22"/>
        <v>7.0534003574144162E-3</v>
      </c>
      <c r="W23">
        <f t="shared" si="22"/>
        <v>1.1758511221970355E-2</v>
      </c>
      <c r="X23">
        <f t="shared" si="22"/>
        <v>3.7004681240195611E-2</v>
      </c>
      <c r="Y23">
        <f t="shared" si="5"/>
        <v>9.6471049232439137E-3</v>
      </c>
      <c r="Z23">
        <f t="shared" si="18"/>
        <v>0.6</v>
      </c>
      <c r="AA23">
        <f t="shared" si="19"/>
        <v>0.6</v>
      </c>
      <c r="AB23">
        <v>1</v>
      </c>
      <c r="AC23">
        <v>1</v>
      </c>
      <c r="AD23">
        <f t="shared" si="6"/>
        <v>70.605309029285834</v>
      </c>
      <c r="AE23">
        <f t="shared" si="20"/>
        <v>31.528252368729909</v>
      </c>
      <c r="AF23">
        <f t="shared" si="7"/>
        <v>26.235797040000005</v>
      </c>
      <c r="AG23">
        <f t="shared" si="21"/>
        <v>29.917298999999989</v>
      </c>
      <c r="AH23">
        <f t="shared" si="8"/>
        <v>54.246533200000002</v>
      </c>
      <c r="AI23">
        <f t="shared" si="9"/>
        <v>47.070206019523894</v>
      </c>
      <c r="AJ23">
        <f t="shared" si="10"/>
        <v>7.3018975824603558</v>
      </c>
      <c r="AK23">
        <f t="shared" si="11"/>
        <v>17.490531360000002</v>
      </c>
      <c r="AL23">
        <f t="shared" si="12"/>
        <v>7.7261723999999994</v>
      </c>
      <c r="AM23">
        <v>0.4</v>
      </c>
      <c r="AN23">
        <v>0</v>
      </c>
    </row>
    <row r="24" spans="1:40" x14ac:dyDescent="0.2">
      <c r="A24">
        <v>2046</v>
      </c>
      <c r="B24">
        <v>137.08107000000001</v>
      </c>
      <c r="C24">
        <v>3.4237730000000002</v>
      </c>
      <c r="D24">
        <f t="shared" si="14"/>
        <v>66.162891999999985</v>
      </c>
      <c r="E24">
        <f t="shared" si="1"/>
        <v>26.465156799999995</v>
      </c>
      <c r="F24">
        <f t="shared" si="2"/>
        <v>39.69773519999999</v>
      </c>
      <c r="G24">
        <f t="shared" si="16"/>
        <v>70.918178000000026</v>
      </c>
      <c r="H24">
        <f t="shared" si="3"/>
        <v>28.367271200000012</v>
      </c>
      <c r="I24">
        <f t="shared" si="4"/>
        <v>42.550906800000014</v>
      </c>
      <c r="J24">
        <v>107.999864</v>
      </c>
      <c r="K24">
        <v>42.555123999999999</v>
      </c>
      <c r="L24">
        <v>6.9140819999999996</v>
      </c>
      <c r="M24">
        <v>157.46906999999999</v>
      </c>
      <c r="N24">
        <f t="shared" si="15"/>
        <v>27.892259092067292</v>
      </c>
      <c r="O24">
        <f t="shared" si="15"/>
        <v>11.755187374539915</v>
      </c>
      <c r="P24">
        <f t="shared" si="15"/>
        <v>0.97612100448720085</v>
      </c>
      <c r="Q24">
        <f t="shared" si="15"/>
        <v>40.623567471094461</v>
      </c>
      <c r="R24">
        <f t="shared" si="23"/>
        <v>80.107604907932711</v>
      </c>
      <c r="S24">
        <f t="shared" si="23"/>
        <v>30.799936625460084</v>
      </c>
      <c r="T24">
        <f t="shared" si="23"/>
        <v>5.9379609955127988</v>
      </c>
      <c r="U24">
        <f t="shared" si="23"/>
        <v>116.84550252890553</v>
      </c>
      <c r="V24">
        <f t="shared" si="22"/>
        <v>7.0534003574144162E-3</v>
      </c>
      <c r="W24">
        <f t="shared" si="22"/>
        <v>1.1758511221970355E-2</v>
      </c>
      <c r="X24">
        <f t="shared" si="22"/>
        <v>3.7004681240195611E-2</v>
      </c>
      <c r="Y24">
        <f t="shared" si="5"/>
        <v>9.6400174518286204E-3</v>
      </c>
      <c r="Z24">
        <f t="shared" si="18"/>
        <v>0.64</v>
      </c>
      <c r="AA24">
        <f t="shared" si="19"/>
        <v>0.64</v>
      </c>
      <c r="AB24">
        <v>1</v>
      </c>
      <c r="AC24">
        <v>1</v>
      </c>
      <c r="AD24">
        <f t="shared" si="6"/>
        <v>74.78112161849954</v>
      </c>
      <c r="AE24">
        <f t="shared" si="20"/>
        <v>33.321669888634105</v>
      </c>
      <c r="AF24">
        <f t="shared" si="7"/>
        <v>27.23258035200001</v>
      </c>
      <c r="AG24">
        <f t="shared" si="21"/>
        <v>31.97156279999999</v>
      </c>
      <c r="AH24">
        <f t="shared" si="8"/>
        <v>54.832428000000007</v>
      </c>
      <c r="AI24">
        <f t="shared" si="9"/>
        <v>42.064380910405987</v>
      </c>
      <c r="AJ24">
        <f t="shared" si="10"/>
        <v>7.3018975824603558</v>
      </c>
      <c r="AK24">
        <f t="shared" si="11"/>
        <v>15.318326448000004</v>
      </c>
      <c r="AL24">
        <f t="shared" si="12"/>
        <v>7.7261723999999994</v>
      </c>
      <c r="AM24">
        <v>0.4</v>
      </c>
      <c r="AN24">
        <v>0</v>
      </c>
    </row>
    <row r="25" spans="1:40" x14ac:dyDescent="0.2">
      <c r="A25">
        <v>2047</v>
      </c>
      <c r="B25">
        <v>138.55230700000001</v>
      </c>
      <c r="C25">
        <v>3.4518680000000002</v>
      </c>
      <c r="D25">
        <f t="shared" si="14"/>
        <v>69.61475999999999</v>
      </c>
      <c r="E25">
        <f t="shared" si="1"/>
        <v>27.845903999999997</v>
      </c>
      <c r="F25">
        <f t="shared" si="2"/>
        <v>41.768855999999992</v>
      </c>
      <c r="G25">
        <f t="shared" si="16"/>
        <v>68.937547000000023</v>
      </c>
      <c r="H25">
        <f t="shared" si="3"/>
        <v>27.575018800000009</v>
      </c>
      <c r="I25">
        <f t="shared" si="4"/>
        <v>41.362528200000014</v>
      </c>
      <c r="J25">
        <v>108.685976</v>
      </c>
      <c r="K25">
        <v>42.823943999999997</v>
      </c>
      <c r="L25">
        <v>6.9172450000000003</v>
      </c>
      <c r="M25">
        <v>158.427165</v>
      </c>
      <c r="N25">
        <f t="shared" si="15"/>
        <v>29.143402101156511</v>
      </c>
      <c r="O25">
        <f t="shared" si="15"/>
        <v>12.241251658542275</v>
      </c>
      <c r="P25">
        <f t="shared" si="15"/>
        <v>1.0211668206952647</v>
      </c>
      <c r="Q25">
        <f t="shared" si="15"/>
        <v>42.405820580394121</v>
      </c>
      <c r="R25">
        <f t="shared" si="23"/>
        <v>79.542573898843486</v>
      </c>
      <c r="S25">
        <f t="shared" si="23"/>
        <v>30.582692341457722</v>
      </c>
      <c r="T25">
        <f t="shared" si="23"/>
        <v>5.8960781793047357</v>
      </c>
      <c r="U25">
        <f t="shared" si="23"/>
        <v>116.02134441960588</v>
      </c>
      <c r="V25">
        <f t="shared" si="22"/>
        <v>7.0534003574144162E-3</v>
      </c>
      <c r="W25">
        <f t="shared" si="22"/>
        <v>1.1758511221970355E-2</v>
      </c>
      <c r="X25">
        <f t="shared" si="22"/>
        <v>3.7004681240195611E-2</v>
      </c>
      <c r="Y25">
        <f t="shared" si="5"/>
        <v>9.6329564083451318E-3</v>
      </c>
      <c r="Z25">
        <f t="shared" si="18"/>
        <v>0.68</v>
      </c>
      <c r="AA25">
        <f t="shared" si="19"/>
        <v>0.68</v>
      </c>
      <c r="AB25">
        <v>1</v>
      </c>
      <c r="AC25">
        <v>1</v>
      </c>
      <c r="AD25">
        <f t="shared" si="6"/>
        <v>78.894514205332001</v>
      </c>
      <c r="AE25">
        <f t="shared" si="20"/>
        <v>35.469017877056785</v>
      </c>
      <c r="AF25">
        <f t="shared" si="7"/>
        <v>28.126519176000013</v>
      </c>
      <c r="AG25">
        <f t="shared" si="21"/>
        <v>34.428992219999991</v>
      </c>
      <c r="AH25">
        <f t="shared" si="8"/>
        <v>55.420922800000007</v>
      </c>
      <c r="AI25">
        <f t="shared" si="9"/>
        <v>37.12683021427388</v>
      </c>
      <c r="AJ25">
        <f t="shared" si="10"/>
        <v>6.9368027033373352</v>
      </c>
      <c r="AK25">
        <f t="shared" si="11"/>
        <v>13.236009024000001</v>
      </c>
      <c r="AL25">
        <f t="shared" si="12"/>
        <v>7.3398637800000017</v>
      </c>
      <c r="AM25">
        <v>0.4</v>
      </c>
      <c r="AN25">
        <f>MIN(AN24+(1/20),AN$28)</f>
        <v>0.05</v>
      </c>
    </row>
    <row r="26" spans="1:40" x14ac:dyDescent="0.2">
      <c r="A26">
        <v>2048</v>
      </c>
      <c r="B26">
        <v>140.03160099999999</v>
      </c>
      <c r="C26">
        <v>3.4815589999999998</v>
      </c>
      <c r="D26">
        <f t="shared" si="14"/>
        <v>73.096318999999994</v>
      </c>
      <c r="E26">
        <f t="shared" si="1"/>
        <v>29.238527599999998</v>
      </c>
      <c r="F26">
        <f t="shared" si="2"/>
        <v>43.857791399999996</v>
      </c>
      <c r="G26">
        <f t="shared" si="16"/>
        <v>66.935282000000001</v>
      </c>
      <c r="H26">
        <f t="shared" si="3"/>
        <v>26.774112800000001</v>
      </c>
      <c r="I26">
        <f t="shared" si="4"/>
        <v>40.161169199999996</v>
      </c>
      <c r="J26">
        <v>109.369896</v>
      </c>
      <c r="K26">
        <v>43.093595999999998</v>
      </c>
      <c r="L26">
        <v>6.920223</v>
      </c>
      <c r="M26">
        <v>159.383715</v>
      </c>
      <c r="N26">
        <f t="shared" si="15"/>
        <v>30.388367720324283</v>
      </c>
      <c r="O26">
        <f t="shared" si="15"/>
        <v>12.726615631634211</v>
      </c>
      <c r="P26">
        <f t="shared" si="15"/>
        <v>1.0657322206325155</v>
      </c>
      <c r="Q26">
        <f t="shared" si="15"/>
        <v>44.180715572591069</v>
      </c>
      <c r="R26">
        <f t="shared" si="23"/>
        <v>78.981528279675715</v>
      </c>
      <c r="S26">
        <f t="shared" si="23"/>
        <v>30.366980368365788</v>
      </c>
      <c r="T26">
        <f t="shared" si="23"/>
        <v>5.8544907793674845</v>
      </c>
      <c r="U26">
        <f t="shared" si="23"/>
        <v>115.20299942740893</v>
      </c>
      <c r="V26">
        <f t="shared" si="22"/>
        <v>7.0534003574144162E-3</v>
      </c>
      <c r="W26">
        <f t="shared" si="22"/>
        <v>1.1758511221970355E-2</v>
      </c>
      <c r="X26">
        <f t="shared" si="22"/>
        <v>3.7004681240195611E-2</v>
      </c>
      <c r="Y26">
        <f t="shared" si="5"/>
        <v>9.625994989035767E-3</v>
      </c>
      <c r="Z26">
        <f t="shared" si="18"/>
        <v>0.72000000000000008</v>
      </c>
      <c r="AA26">
        <f t="shared" si="19"/>
        <v>0.72000000000000008</v>
      </c>
      <c r="AB26">
        <v>1</v>
      </c>
      <c r="AC26">
        <v>1</v>
      </c>
      <c r="AD26">
        <f t="shared" si="6"/>
        <v>82.946159587734442</v>
      </c>
      <c r="AE26">
        <f t="shared" si="20"/>
        <v>37.609007748376747</v>
      </c>
      <c r="AF26">
        <f t="shared" si="7"/>
        <v>28.916041824000001</v>
      </c>
      <c r="AG26">
        <f t="shared" si="21"/>
        <v>36.904236240000003</v>
      </c>
      <c r="AH26">
        <f t="shared" si="8"/>
        <v>56.012640399999995</v>
      </c>
      <c r="AI26">
        <f t="shared" si="9"/>
        <v>32.256839839674484</v>
      </c>
      <c r="AJ26">
        <f t="shared" si="10"/>
        <v>6.5717078242143216</v>
      </c>
      <c r="AK26">
        <f t="shared" si="11"/>
        <v>11.245127375999996</v>
      </c>
      <c r="AL26">
        <f t="shared" si="12"/>
        <v>6.9535551599999934</v>
      </c>
      <c r="AM26">
        <v>0.4</v>
      </c>
      <c r="AN26">
        <f>MIN(AN25+(1/20),AN$28)</f>
        <v>0.1</v>
      </c>
    </row>
    <row r="27" spans="1:40" x14ac:dyDescent="0.2">
      <c r="A27">
        <v>2049</v>
      </c>
      <c r="B27">
        <v>141.51960800000001</v>
      </c>
      <c r="C27">
        <v>3.5119199999999999</v>
      </c>
      <c r="D27">
        <f t="shared" si="14"/>
        <v>76.608238999999998</v>
      </c>
      <c r="E27">
        <f t="shared" si="1"/>
        <v>30.643295600000002</v>
      </c>
      <c r="F27">
        <f t="shared" si="2"/>
        <v>45.964943399999996</v>
      </c>
      <c r="G27">
        <f t="shared" si="16"/>
        <v>64.911369000000008</v>
      </c>
      <c r="H27">
        <f t="shared" si="3"/>
        <v>25.964547600000003</v>
      </c>
      <c r="I27">
        <f t="shared" si="4"/>
        <v>38.946821400000005</v>
      </c>
      <c r="J27">
        <v>110.05512</v>
      </c>
      <c r="K27">
        <v>43.365544</v>
      </c>
      <c r="L27">
        <v>6.9254249999999997</v>
      </c>
      <c r="M27">
        <v>160.34608900000001</v>
      </c>
      <c r="N27">
        <f t="shared" si="15"/>
        <v>31.630680060121293</v>
      </c>
      <c r="O27">
        <f t="shared" si="15"/>
        <v>13.212754101818039</v>
      </c>
      <c r="P27">
        <f t="shared" si="15"/>
        <v>1.1122282879881853</v>
      </c>
      <c r="Q27">
        <f t="shared" si="15"/>
        <v>45.955662449927573</v>
      </c>
      <c r="R27">
        <f t="shared" si="23"/>
        <v>78.42443993987871</v>
      </c>
      <c r="S27">
        <f t="shared" si="23"/>
        <v>30.152789898181961</v>
      </c>
      <c r="T27">
        <f t="shared" si="23"/>
        <v>5.8131967120118144</v>
      </c>
      <c r="U27">
        <f t="shared" si="23"/>
        <v>114.39042655007243</v>
      </c>
      <c r="V27">
        <f t="shared" si="22"/>
        <v>7.0534003574144162E-3</v>
      </c>
      <c r="W27">
        <f t="shared" si="22"/>
        <v>1.1758511221970355E-2</v>
      </c>
      <c r="X27">
        <f t="shared" si="22"/>
        <v>3.7004681240195611E-2</v>
      </c>
      <c r="Y27">
        <f t="shared" si="5"/>
        <v>9.6195062362388964E-3</v>
      </c>
      <c r="Z27">
        <f t="shared" si="18"/>
        <v>0.76000000000000012</v>
      </c>
      <c r="AA27">
        <f t="shared" si="19"/>
        <v>0.76000000000000012</v>
      </c>
      <c r="AB27">
        <v>1</v>
      </c>
      <c r="AC27">
        <v>1</v>
      </c>
      <c r="AD27">
        <f t="shared" si="6"/>
        <v>86.936724178055059</v>
      </c>
      <c r="AE27">
        <f t="shared" si="20"/>
        <v>39.749049504836272</v>
      </c>
      <c r="AF27">
        <f t="shared" si="7"/>
        <v>29.599584264000008</v>
      </c>
      <c r="AG27">
        <f t="shared" si="21"/>
        <v>39.397696859999996</v>
      </c>
      <c r="AH27">
        <f t="shared" si="8"/>
        <v>56.607843200000005</v>
      </c>
      <c r="AI27">
        <f t="shared" si="9"/>
        <v>27.453702372017375</v>
      </c>
      <c r="AJ27">
        <f t="shared" si="10"/>
        <v>6.206612945091301</v>
      </c>
      <c r="AK27">
        <f t="shared" si="11"/>
        <v>9.3472371359999968</v>
      </c>
      <c r="AL27">
        <f t="shared" si="12"/>
        <v>6.5672465399999993</v>
      </c>
      <c r="AM27">
        <v>0.4</v>
      </c>
      <c r="AN27">
        <f>MIN(AN26+(1/20),AN$28)</f>
        <v>0.15000000000000002</v>
      </c>
    </row>
    <row r="28" spans="1:40" x14ac:dyDescent="0.2">
      <c r="A28">
        <v>2050</v>
      </c>
      <c r="B28">
        <v>143.01623499999999</v>
      </c>
      <c r="C28">
        <v>3.542278</v>
      </c>
      <c r="D28">
        <f t="shared" si="14"/>
        <v>80.150516999999994</v>
      </c>
      <c r="E28">
        <f t="shared" si="1"/>
        <v>32.060206799999996</v>
      </c>
      <c r="F28">
        <f t="shared" si="2"/>
        <v>48.090310199999998</v>
      </c>
      <c r="G28">
        <f t="shared" si="16"/>
        <v>62.865718000000001</v>
      </c>
      <c r="H28">
        <f t="shared" si="3"/>
        <v>25.146287200000003</v>
      </c>
      <c r="I28">
        <f t="shared" si="4"/>
        <v>37.719430799999998</v>
      </c>
      <c r="J28">
        <v>110.741344</v>
      </c>
      <c r="K28">
        <v>43.639676000000001</v>
      </c>
      <c r="L28">
        <v>6.9324709999999996</v>
      </c>
      <c r="M28">
        <v>161.313491</v>
      </c>
      <c r="N28">
        <f t="shared" si="15"/>
        <v>32.870063032823253</v>
      </c>
      <c r="O28">
        <f t="shared" si="15"/>
        <v>13.699565800862921</v>
      </c>
      <c r="P28">
        <f t="shared" si="15"/>
        <v>1.1602770917544101</v>
      </c>
      <c r="Q28">
        <f t="shared" si="15"/>
        <v>47.729905925440633</v>
      </c>
      <c r="R28">
        <f t="shared" si="23"/>
        <v>77.871280967176745</v>
      </c>
      <c r="S28">
        <f t="shared" si="23"/>
        <v>29.940110199137081</v>
      </c>
      <c r="T28">
        <f t="shared" si="23"/>
        <v>5.7721939082455895</v>
      </c>
      <c r="U28">
        <f t="shared" si="23"/>
        <v>113.58358507455937</v>
      </c>
      <c r="V28">
        <f t="shared" si="22"/>
        <v>7.0534003574144162E-3</v>
      </c>
      <c r="W28">
        <f t="shared" si="22"/>
        <v>1.1758511221970355E-2</v>
      </c>
      <c r="X28">
        <f t="shared" si="22"/>
        <v>3.7004681240195611E-2</v>
      </c>
      <c r="Y28">
        <f t="shared" si="5"/>
        <v>9.6134212040653397E-3</v>
      </c>
      <c r="Z28">
        <v>0.8</v>
      </c>
      <c r="AA28">
        <f>0.8</f>
        <v>0.8</v>
      </c>
      <c r="AB28">
        <v>1</v>
      </c>
      <c r="AC28">
        <v>1</v>
      </c>
      <c r="AD28">
        <f t="shared" si="6"/>
        <v>90.866868059647501</v>
      </c>
      <c r="AE28">
        <f t="shared" si="20"/>
        <v>41.888387859472346</v>
      </c>
      <c r="AF28">
        <f t="shared" si="7"/>
        <v>30.175544639999998</v>
      </c>
      <c r="AG28">
        <f>$AC28*(F28-$F$8)+($AL$8*AN28)</f>
        <v>41.909372279999992</v>
      </c>
      <c r="AH28">
        <f>H28+E28</f>
        <v>57.206493999999999</v>
      </c>
      <c r="AI28">
        <f t="shared" si="9"/>
        <v>22.716717014911865</v>
      </c>
      <c r="AJ28">
        <f t="shared" si="10"/>
        <v>5.8415180659682875</v>
      </c>
      <c r="AK28">
        <f t="shared" si="11"/>
        <v>7.5438861599999996</v>
      </c>
      <c r="AL28">
        <f t="shared" si="12"/>
        <v>6.1809379200000052</v>
      </c>
      <c r="AM28">
        <v>0.4</v>
      </c>
      <c r="AN28">
        <v>0.2</v>
      </c>
    </row>
    <row r="29" spans="1:40" x14ac:dyDescent="0.2">
      <c r="B29" s="1"/>
      <c r="C2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DE287-A1C7-0D43-933C-EBCCAAFB2DA1}">
  <dimension ref="A1:AR29"/>
  <sheetViews>
    <sheetView tabSelected="1" topLeftCell="T1" zoomScale="125" workbookViewId="0">
      <selection activeCell="AJ7" sqref="AJ7"/>
    </sheetView>
  </sheetViews>
  <sheetFormatPr baseColWidth="10" defaultRowHeight="16" x14ac:dyDescent="0.2"/>
  <cols>
    <col min="42" max="42" width="11.1640625" bestFit="1" customWidth="1"/>
  </cols>
  <sheetData>
    <row r="1" spans="1:44" s="2" customFormat="1" ht="170" x14ac:dyDescent="0.2">
      <c r="A1" s="2" t="s">
        <v>5</v>
      </c>
      <c r="B1" s="2" t="s">
        <v>0</v>
      </c>
      <c r="C1" s="2" t="s">
        <v>6</v>
      </c>
      <c r="D1" s="2" t="s">
        <v>7</v>
      </c>
      <c r="E1" s="2" t="s">
        <v>35</v>
      </c>
      <c r="F1" s="2" t="s">
        <v>36</v>
      </c>
      <c r="G1" s="2" t="s">
        <v>40</v>
      </c>
      <c r="H1" s="2" t="s">
        <v>44</v>
      </c>
      <c r="I1" s="2" t="s">
        <v>45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41</v>
      </c>
      <c r="O1" s="2" t="s">
        <v>42</v>
      </c>
      <c r="P1" s="2" t="s">
        <v>43</v>
      </c>
      <c r="Q1" s="2" t="s">
        <v>46</v>
      </c>
      <c r="R1" s="2" t="s">
        <v>47</v>
      </c>
      <c r="S1" s="2" t="s">
        <v>48</v>
      </c>
      <c r="T1" s="2" t="s">
        <v>49</v>
      </c>
      <c r="U1" s="2" t="s">
        <v>50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29</v>
      </c>
      <c r="AA1" s="2" t="s">
        <v>30</v>
      </c>
      <c r="AB1" s="2" t="s">
        <v>33</v>
      </c>
      <c r="AC1" s="2" t="s">
        <v>34</v>
      </c>
      <c r="AD1" s="2" t="s">
        <v>21</v>
      </c>
      <c r="AE1" s="2" t="s">
        <v>22</v>
      </c>
      <c r="AF1" s="2" t="s">
        <v>23</v>
      </c>
      <c r="AG1" s="2" t="s">
        <v>24</v>
      </c>
      <c r="AH1" s="2" t="s">
        <v>31</v>
      </c>
      <c r="AI1" s="2" t="s">
        <v>53</v>
      </c>
      <c r="AJ1" s="2" t="s">
        <v>54</v>
      </c>
      <c r="AK1" s="2" t="s">
        <v>51</v>
      </c>
      <c r="AL1" s="2" t="s">
        <v>26</v>
      </c>
      <c r="AM1" s="2" t="s">
        <v>55</v>
      </c>
      <c r="AN1" s="2" t="s">
        <v>56</v>
      </c>
      <c r="AO1" s="2" t="s">
        <v>52</v>
      </c>
      <c r="AP1" s="2" t="s">
        <v>28</v>
      </c>
      <c r="AQ1" s="2" t="s">
        <v>32</v>
      </c>
      <c r="AR1" s="2" t="s">
        <v>39</v>
      </c>
    </row>
    <row r="2" spans="1:44" x14ac:dyDescent="0.2">
      <c r="A2">
        <v>2024</v>
      </c>
      <c r="B2">
        <v>103.371872</v>
      </c>
      <c r="C2">
        <v>2.7420749999999998</v>
      </c>
      <c r="D2">
        <v>0</v>
      </c>
      <c r="E2">
        <f>D2*$AQ2</f>
        <v>0</v>
      </c>
      <c r="F2">
        <f>D2*(1-$AQ2)</f>
        <v>0</v>
      </c>
      <c r="G2">
        <v>0</v>
      </c>
      <c r="H2">
        <f>G2*$AQ2</f>
        <v>0</v>
      </c>
      <c r="I2">
        <f>G2*(1-$AQ2)</f>
        <v>0</v>
      </c>
      <c r="J2">
        <v>88.609744000000006</v>
      </c>
      <c r="K2">
        <v>34.017912000000003</v>
      </c>
      <c r="L2">
        <v>6.7559019999999999</v>
      </c>
      <c r="M2">
        <v>129.383557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f>0.625/J2</f>
        <v>7.0534003574144162E-3</v>
      </c>
      <c r="W2">
        <f>0.4/K2</f>
        <v>1.1758511221970355E-2</v>
      </c>
      <c r="X2">
        <f>0.25/L2</f>
        <v>3.7004681240195611E-2</v>
      </c>
      <c r="Y2">
        <f>(V2*J2+W2*K2+X2*L2)/M2</f>
        <v>9.8544206819109158E-3</v>
      </c>
      <c r="Z2">
        <v>0</v>
      </c>
      <c r="AA2">
        <v>0</v>
      </c>
      <c r="AB2">
        <v>0</v>
      </c>
      <c r="AC2">
        <v>0</v>
      </c>
      <c r="AD2">
        <f>$Z2*U2</f>
        <v>0</v>
      </c>
      <c r="AE2">
        <f>$AB2*Q2</f>
        <v>0</v>
      </c>
      <c r="AF2">
        <f>$AA2*I2</f>
        <v>0</v>
      </c>
      <c r="AG2">
        <f>$AC2*F2</f>
        <v>0</v>
      </c>
      <c r="AH2">
        <f>H2+E2</f>
        <v>0</v>
      </c>
      <c r="AI2">
        <f t="shared" ref="AI2:AI4" si="0">U2*(1-Z$28)</f>
        <v>0</v>
      </c>
      <c r="AJ2">
        <f t="shared" ref="AJ2:AJ4" si="1">U2*Z$28-AD2</f>
        <v>0</v>
      </c>
      <c r="AK2">
        <f>U2-AD2</f>
        <v>0</v>
      </c>
      <c r="AL2">
        <f>Q2-AE2</f>
        <v>0</v>
      </c>
      <c r="AM2">
        <f t="shared" ref="AM2:AM4" si="2">I2*(1-AA$28)</f>
        <v>0</v>
      </c>
      <c r="AN2">
        <f t="shared" ref="AN2:AN4" si="3">I2*AA$28 - AF2</f>
        <v>0</v>
      </c>
      <c r="AO2">
        <f>I2-AF2</f>
        <v>0</v>
      </c>
      <c r="AP2">
        <f>(F2-AG2)</f>
        <v>0</v>
      </c>
      <c r="AQ2">
        <v>0.4</v>
      </c>
      <c r="AR2">
        <v>0</v>
      </c>
    </row>
    <row r="3" spans="1:44" x14ac:dyDescent="0.2">
      <c r="A3">
        <v>2025</v>
      </c>
      <c r="B3">
        <v>104.52195</v>
      </c>
      <c r="C3">
        <v>2.676447</v>
      </c>
      <c r="D3">
        <v>0</v>
      </c>
      <c r="E3">
        <f t="shared" ref="E3:E28" si="4">D3*$AQ3</f>
        <v>0</v>
      </c>
      <c r="F3">
        <f t="shared" ref="F3:F28" si="5">D3*(1-$AQ3)</f>
        <v>0</v>
      </c>
      <c r="G3">
        <v>0</v>
      </c>
      <c r="H3">
        <f t="shared" ref="H3:H28" si="6">G3*$AQ3</f>
        <v>0</v>
      </c>
      <c r="I3">
        <f t="shared" ref="I3:I28" si="7">G3*(1-$AQ3)</f>
        <v>0</v>
      </c>
      <c r="J3">
        <v>89.620040000000003</v>
      </c>
      <c r="K3">
        <v>34.380152000000002</v>
      </c>
      <c r="L3">
        <v>6.7485489999999997</v>
      </c>
      <c r="M3">
        <v>130.74874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f>V2</f>
        <v>7.0534003574144162E-3</v>
      </c>
      <c r="W3">
        <f>W2</f>
        <v>1.1758511221970355E-2</v>
      </c>
      <c r="X3">
        <f>X2</f>
        <v>3.7004681240195611E-2</v>
      </c>
      <c r="Y3">
        <f t="shared" ref="Y3:Y28" si="8">(V3*J3+W3*K3+X3*L3)/M3</f>
        <v>9.8365256128004116E-3</v>
      </c>
      <c r="Z3">
        <v>0</v>
      </c>
      <c r="AA3">
        <v>0</v>
      </c>
      <c r="AB3">
        <v>0</v>
      </c>
      <c r="AC3">
        <v>0</v>
      </c>
      <c r="AD3">
        <f t="shared" ref="AD3:AD28" si="9">$Z3*U3</f>
        <v>0</v>
      </c>
      <c r="AE3">
        <f t="shared" ref="AE3:AE28" si="10">$AB3*Q3</f>
        <v>0</v>
      </c>
      <c r="AF3">
        <f t="shared" ref="AF3:AF28" si="11">$AA3*I3</f>
        <v>0</v>
      </c>
      <c r="AG3">
        <f>$AC3*F3</f>
        <v>0</v>
      </c>
      <c r="AH3">
        <f t="shared" ref="AH3:AH27" si="12">H3+E3</f>
        <v>0</v>
      </c>
      <c r="AI3">
        <f t="shared" si="0"/>
        <v>0</v>
      </c>
      <c r="AJ3">
        <f t="shared" si="1"/>
        <v>0</v>
      </c>
      <c r="AK3">
        <f t="shared" ref="AK3:AK28" si="13">U3-AD3</f>
        <v>0</v>
      </c>
      <c r="AL3">
        <f t="shared" ref="AL3:AL28" si="14">Q3-AE3</f>
        <v>0</v>
      </c>
      <c r="AM3">
        <f t="shared" si="2"/>
        <v>0</v>
      </c>
      <c r="AN3">
        <f t="shared" si="3"/>
        <v>0</v>
      </c>
      <c r="AO3">
        <f t="shared" ref="AO3:AO28" si="15">I3-AF3</f>
        <v>0</v>
      </c>
      <c r="AP3">
        <f t="shared" ref="AP3:AP28" si="16">(F3-AG3)</f>
        <v>0</v>
      </c>
      <c r="AQ3">
        <v>0.4</v>
      </c>
      <c r="AR3">
        <v>0</v>
      </c>
    </row>
    <row r="4" spans="1:44" x14ac:dyDescent="0.2">
      <c r="A4">
        <v>2026</v>
      </c>
      <c r="B4">
        <v>105.93501999999999</v>
      </c>
      <c r="C4">
        <v>2.951616</v>
      </c>
      <c r="D4">
        <v>0</v>
      </c>
      <c r="E4">
        <f t="shared" si="4"/>
        <v>0</v>
      </c>
      <c r="F4">
        <f t="shared" si="5"/>
        <v>0</v>
      </c>
      <c r="G4">
        <v>0</v>
      </c>
      <c r="H4">
        <f t="shared" si="6"/>
        <v>0</v>
      </c>
      <c r="I4">
        <f t="shared" si="7"/>
        <v>0</v>
      </c>
      <c r="J4">
        <v>90.630319999999998</v>
      </c>
      <c r="K4">
        <v>34.797908</v>
      </c>
      <c r="L4">
        <v>6.7703420000000003</v>
      </c>
      <c r="M4">
        <v>132.19856999999999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f t="shared" ref="V4:X19" si="17">V3</f>
        <v>7.0534003574144162E-3</v>
      </c>
      <c r="W4">
        <f t="shared" si="17"/>
        <v>1.1758511221970355E-2</v>
      </c>
      <c r="X4">
        <f t="shared" si="17"/>
        <v>3.7004681240195611E-2</v>
      </c>
      <c r="Y4">
        <f t="shared" si="8"/>
        <v>9.8258087874686043E-3</v>
      </c>
      <c r="Z4">
        <v>0</v>
      </c>
      <c r="AA4">
        <v>0</v>
      </c>
      <c r="AB4">
        <v>0</v>
      </c>
      <c r="AC4">
        <v>0</v>
      </c>
      <c r="AD4">
        <f t="shared" si="9"/>
        <v>0</v>
      </c>
      <c r="AE4">
        <f t="shared" si="10"/>
        <v>0</v>
      </c>
      <c r="AF4">
        <f t="shared" si="11"/>
        <v>0</v>
      </c>
      <c r="AG4">
        <f>$AC4*F4</f>
        <v>0</v>
      </c>
      <c r="AH4">
        <f t="shared" si="12"/>
        <v>0</v>
      </c>
      <c r="AI4">
        <f t="shared" si="0"/>
        <v>0</v>
      </c>
      <c r="AJ4">
        <f t="shared" si="1"/>
        <v>0</v>
      </c>
      <c r="AK4">
        <f t="shared" si="13"/>
        <v>0</v>
      </c>
      <c r="AL4">
        <f t="shared" si="14"/>
        <v>0</v>
      </c>
      <c r="AM4">
        <f t="shared" si="2"/>
        <v>0</v>
      </c>
      <c r="AN4">
        <f t="shared" si="3"/>
        <v>0</v>
      </c>
      <c r="AO4">
        <f t="shared" si="15"/>
        <v>0</v>
      </c>
      <c r="AP4">
        <f t="shared" si="16"/>
        <v>0</v>
      </c>
      <c r="AQ4">
        <v>0.4</v>
      </c>
      <c r="AR4">
        <v>0</v>
      </c>
    </row>
    <row r="5" spans="1:44" x14ac:dyDescent="0.2">
      <c r="A5">
        <v>2027</v>
      </c>
      <c r="B5">
        <v>107.51918000000001</v>
      </c>
      <c r="C5">
        <v>3.1368719999999999</v>
      </c>
      <c r="D5">
        <f t="shared" ref="D5:D28" si="18">C5+D4</f>
        <v>3.1368719999999999</v>
      </c>
      <c r="E5">
        <f t="shared" si="4"/>
        <v>1.2547488</v>
      </c>
      <c r="F5">
        <f t="shared" si="5"/>
        <v>1.8821231999999999</v>
      </c>
      <c r="G5">
        <f>B5-D5</f>
        <v>104.38230800000001</v>
      </c>
      <c r="H5">
        <f t="shared" si="6"/>
        <v>41.752923200000005</v>
      </c>
      <c r="I5">
        <f t="shared" si="7"/>
        <v>62.629384800000004</v>
      </c>
      <c r="J5">
        <v>91.639303999999996</v>
      </c>
      <c r="K5">
        <v>35.233668000000002</v>
      </c>
      <c r="L5">
        <v>6.7927460000000002</v>
      </c>
      <c r="M5">
        <v>133.665718</v>
      </c>
      <c r="N5">
        <f t="shared" ref="N5:Q28" si="19">J5-R5</f>
        <v>0</v>
      </c>
      <c r="O5">
        <f t="shared" si="19"/>
        <v>0</v>
      </c>
      <c r="P5">
        <f t="shared" si="19"/>
        <v>0</v>
      </c>
      <c r="Q5">
        <f t="shared" si="19"/>
        <v>0</v>
      </c>
      <c r="R5">
        <f>J5</f>
        <v>91.639303999999996</v>
      </c>
      <c r="S5">
        <f>K5</f>
        <v>35.233668000000002</v>
      </c>
      <c r="T5">
        <f>L5</f>
        <v>6.7927460000000002</v>
      </c>
      <c r="U5">
        <f>SUM(R5:T5)</f>
        <v>133.665718</v>
      </c>
      <c r="V5">
        <f t="shared" si="17"/>
        <v>7.0534003574144162E-3</v>
      </c>
      <c r="W5">
        <f t="shared" si="17"/>
        <v>1.1758511221970355E-2</v>
      </c>
      <c r="X5">
        <f t="shared" si="17"/>
        <v>3.7004681240195611E-2</v>
      </c>
      <c r="Y5">
        <f t="shared" si="8"/>
        <v>9.8157373503324156E-3</v>
      </c>
      <c r="Z5">
        <f>MIN(Z4+(Z$28/20),Z$28)</f>
        <v>0.04</v>
      </c>
      <c r="AA5">
        <f>MIN(AA4+(AA$28/20),AA$28)</f>
        <v>2.7500000000000004E-2</v>
      </c>
      <c r="AB5">
        <v>1</v>
      </c>
      <c r="AC5">
        <v>1</v>
      </c>
      <c r="AD5">
        <f t="shared" si="9"/>
        <v>5.34662872</v>
      </c>
      <c r="AE5">
        <f t="shared" si="10"/>
        <v>0</v>
      </c>
      <c r="AF5">
        <f t="shared" si="11"/>
        <v>1.7223080820000003</v>
      </c>
      <c r="AG5">
        <f>$AC5*F5</f>
        <v>1.8821231999999999</v>
      </c>
      <c r="AH5">
        <f t="shared" si="12"/>
        <v>43.007672000000007</v>
      </c>
      <c r="AI5">
        <f>U5*(1-Z$28)</f>
        <v>26.733143599999995</v>
      </c>
      <c r="AJ5">
        <f>U5*Z$28-AD5</f>
        <v>101.58594568000001</v>
      </c>
      <c r="AK5">
        <f t="shared" si="13"/>
        <v>128.31908927999999</v>
      </c>
      <c r="AL5">
        <f t="shared" si="14"/>
        <v>0</v>
      </c>
      <c r="AM5">
        <f>I5*(1-AA$28)</f>
        <v>28.183223160000001</v>
      </c>
      <c r="AN5">
        <f>I5*AA$28 - AF5</f>
        <v>32.723853558000009</v>
      </c>
      <c r="AO5">
        <f>I5-AF5</f>
        <v>60.907076718000006</v>
      </c>
      <c r="AP5">
        <f t="shared" si="16"/>
        <v>0</v>
      </c>
      <c r="AQ5">
        <v>0.4</v>
      </c>
      <c r="AR5">
        <v>0</v>
      </c>
    </row>
    <row r="6" spans="1:44" x14ac:dyDescent="0.2">
      <c r="A6">
        <v>2028</v>
      </c>
      <c r="B6">
        <v>109.194839</v>
      </c>
      <c r="C6">
        <v>3.2451020000000002</v>
      </c>
      <c r="D6">
        <f t="shared" si="18"/>
        <v>6.3819739999999996</v>
      </c>
      <c r="E6">
        <f t="shared" si="4"/>
        <v>2.5527896000000001</v>
      </c>
      <c r="F6">
        <f t="shared" si="5"/>
        <v>3.8291843999999995</v>
      </c>
      <c r="G6">
        <f t="shared" ref="G6:G28" si="20">B6-D6</f>
        <v>102.812865</v>
      </c>
      <c r="H6">
        <f t="shared" si="6"/>
        <v>41.125146000000001</v>
      </c>
      <c r="I6">
        <f t="shared" si="7"/>
        <v>61.687719000000001</v>
      </c>
      <c r="J6">
        <v>92.631463999999994</v>
      </c>
      <c r="K6">
        <v>35.702212000000003</v>
      </c>
      <c r="L6">
        <v>6.8042499999999997</v>
      </c>
      <c r="M6">
        <v>135.13792599999999</v>
      </c>
      <c r="N6">
        <f t="shared" si="19"/>
        <v>1.6385286995868</v>
      </c>
      <c r="O6">
        <f t="shared" si="19"/>
        <v>0.88283948056918149</v>
      </c>
      <c r="P6">
        <f t="shared" si="19"/>
        <v>0.26286740047561352</v>
      </c>
      <c r="Q6">
        <f t="shared" si="19"/>
        <v>2.7842355806315879</v>
      </c>
      <c r="R6">
        <f>R5*(1-V5)</f>
        <v>90.992935300413194</v>
      </c>
      <c r="S6">
        <f t="shared" ref="S6:T6" si="21">S5*(1-W5)</f>
        <v>34.819372519430821</v>
      </c>
      <c r="T6">
        <f t="shared" si="21"/>
        <v>6.5413825995243862</v>
      </c>
      <c r="U6">
        <f t="shared" ref="U6:U28" si="22">SUM(R6:T6)</f>
        <v>132.35369041936841</v>
      </c>
      <c r="V6">
        <f t="shared" si="17"/>
        <v>7.0534003574144162E-3</v>
      </c>
      <c r="W6">
        <f t="shared" si="17"/>
        <v>1.1758511221970355E-2</v>
      </c>
      <c r="X6">
        <f t="shared" si="17"/>
        <v>3.7004681240195611E-2</v>
      </c>
      <c r="Y6">
        <f t="shared" si="8"/>
        <v>9.8045071674785524E-3</v>
      </c>
      <c r="Z6">
        <f t="shared" ref="Z6:Z27" si="23">MIN(Z5+(Z$28/20),Z$28)</f>
        <v>0.08</v>
      </c>
      <c r="AA6">
        <f t="shared" ref="AA6:AA27" si="24">MIN(AA5+(AA$28/20),AA$28)</f>
        <v>5.5000000000000007E-2</v>
      </c>
      <c r="AB6">
        <v>1</v>
      </c>
      <c r="AC6">
        <v>1</v>
      </c>
      <c r="AD6">
        <f t="shared" si="9"/>
        <v>10.588295233549472</v>
      </c>
      <c r="AE6">
        <f t="shared" si="10"/>
        <v>2.7842355806315879</v>
      </c>
      <c r="AF6">
        <f t="shared" si="11"/>
        <v>3.3928245450000003</v>
      </c>
      <c r="AG6">
        <f t="shared" ref="AG6:AG28" si="25">$AC6*F6</f>
        <v>3.8291843999999995</v>
      </c>
      <c r="AH6">
        <f t="shared" si="12"/>
        <v>43.677935599999998</v>
      </c>
      <c r="AI6">
        <f t="shared" ref="AI6:AI28" si="26">U6*(1-Z$28)</f>
        <v>26.470738083873677</v>
      </c>
      <c r="AJ6">
        <f t="shared" ref="AJ6:AJ28" si="27">U6*Z$28-AD6</f>
        <v>95.294657101945262</v>
      </c>
      <c r="AK6">
        <f t="shared" si="13"/>
        <v>121.76539518581893</v>
      </c>
      <c r="AL6">
        <f t="shared" si="14"/>
        <v>0</v>
      </c>
      <c r="AM6">
        <f t="shared" ref="AM6:AM28" si="28">I6*(1-AA$28)</f>
        <v>27.759473549999999</v>
      </c>
      <c r="AN6">
        <f t="shared" ref="AN6:AN28" si="29">I6*AA$28 - AF6</f>
        <v>30.535420905000006</v>
      </c>
      <c r="AO6">
        <f t="shared" si="15"/>
        <v>58.294894454999998</v>
      </c>
      <c r="AP6">
        <f t="shared" si="16"/>
        <v>0</v>
      </c>
      <c r="AQ6">
        <v>0.4</v>
      </c>
      <c r="AR6">
        <v>0</v>
      </c>
    </row>
    <row r="7" spans="1:44" x14ac:dyDescent="0.2">
      <c r="A7">
        <v>2029</v>
      </c>
      <c r="B7">
        <v>110.865685</v>
      </c>
      <c r="C7">
        <v>3.2589950000000001</v>
      </c>
      <c r="D7">
        <f t="shared" si="18"/>
        <v>9.6409690000000001</v>
      </c>
      <c r="E7">
        <f t="shared" si="4"/>
        <v>3.8563876000000001</v>
      </c>
      <c r="F7">
        <f t="shared" si="5"/>
        <v>5.7845813999999995</v>
      </c>
      <c r="G7">
        <f t="shared" si="20"/>
        <v>101.224716</v>
      </c>
      <c r="H7">
        <f t="shared" si="6"/>
        <v>40.489886400000003</v>
      </c>
      <c r="I7">
        <f t="shared" si="7"/>
        <v>60.734829599999998</v>
      </c>
      <c r="J7">
        <v>93.625664</v>
      </c>
      <c r="K7">
        <v>36.208348000000001</v>
      </c>
      <c r="L7">
        <v>6.8139190000000003</v>
      </c>
      <c r="M7">
        <v>136.647931</v>
      </c>
      <c r="N7">
        <f t="shared" si="19"/>
        <v>3.2745383019569232</v>
      </c>
      <c r="O7">
        <f t="shared" si="19"/>
        <v>1.7983994630808695</v>
      </c>
      <c r="P7">
        <f t="shared" si="19"/>
        <v>0.51459817844117595</v>
      </c>
      <c r="Q7">
        <f t="shared" si="19"/>
        <v>5.5875359434789686</v>
      </c>
      <c r="R7">
        <f t="shared" ref="R7:R28" si="30">R6*(1-V6)</f>
        <v>90.351125698043077</v>
      </c>
      <c r="S7">
        <f t="shared" ref="S7:S28" si="31">S6*(1-W6)</f>
        <v>34.409948536919131</v>
      </c>
      <c r="T7">
        <f t="shared" ref="T7:T28" si="32">T6*(1-X6)</f>
        <v>6.2993208215588243</v>
      </c>
      <c r="U7">
        <f t="shared" si="22"/>
        <v>131.06039505652103</v>
      </c>
      <c r="V7">
        <f t="shared" si="17"/>
        <v>7.0534003574144162E-3</v>
      </c>
      <c r="W7">
        <f t="shared" si="17"/>
        <v>1.1758511221970355E-2</v>
      </c>
      <c r="X7">
        <f t="shared" si="17"/>
        <v>3.7004681240195611E-2</v>
      </c>
      <c r="Y7">
        <f t="shared" si="8"/>
        <v>9.7936532884591015E-3</v>
      </c>
      <c r="Z7">
        <f t="shared" si="23"/>
        <v>0.12</v>
      </c>
      <c r="AA7">
        <f t="shared" si="24"/>
        <v>8.2500000000000018E-2</v>
      </c>
      <c r="AB7">
        <v>1</v>
      </c>
      <c r="AC7">
        <v>1</v>
      </c>
      <c r="AD7">
        <f t="shared" si="9"/>
        <v>15.727247406782523</v>
      </c>
      <c r="AE7">
        <f t="shared" si="10"/>
        <v>5.5875359434789686</v>
      </c>
      <c r="AF7">
        <f t="shared" si="11"/>
        <v>5.0106234420000009</v>
      </c>
      <c r="AG7">
        <f t="shared" si="25"/>
        <v>5.7845813999999995</v>
      </c>
      <c r="AH7">
        <f t="shared" si="12"/>
        <v>44.346274000000001</v>
      </c>
      <c r="AI7">
        <f t="shared" si="26"/>
        <v>26.212079011304201</v>
      </c>
      <c r="AJ7">
        <f t="shared" si="27"/>
        <v>89.121068638434309</v>
      </c>
      <c r="AK7">
        <f t="shared" si="13"/>
        <v>115.33314764973851</v>
      </c>
      <c r="AL7">
        <f t="shared" si="14"/>
        <v>0</v>
      </c>
      <c r="AM7">
        <f t="shared" si="28"/>
        <v>27.330673319999995</v>
      </c>
      <c r="AN7">
        <f t="shared" si="29"/>
        <v>28.393532838000002</v>
      </c>
      <c r="AO7">
        <f t="shared" si="15"/>
        <v>55.724206157999994</v>
      </c>
      <c r="AP7">
        <f t="shared" si="16"/>
        <v>0</v>
      </c>
      <c r="AQ7">
        <v>0.4</v>
      </c>
      <c r="AR7">
        <v>0</v>
      </c>
    </row>
    <row r="8" spans="1:44" x14ac:dyDescent="0.2">
      <c r="A8">
        <v>2030</v>
      </c>
      <c r="B8">
        <v>112.493584</v>
      </c>
      <c r="C8">
        <v>3.2359849999999999</v>
      </c>
      <c r="D8">
        <f t="shared" si="18"/>
        <v>12.876954</v>
      </c>
      <c r="E8">
        <f t="shared" si="4"/>
        <v>5.1507816000000002</v>
      </c>
      <c r="F8">
        <f t="shared" si="5"/>
        <v>7.7261723999999994</v>
      </c>
      <c r="G8">
        <f t="shared" si="20"/>
        <v>99.616630000000001</v>
      </c>
      <c r="H8">
        <f t="shared" si="6"/>
        <v>39.846652000000006</v>
      </c>
      <c r="I8">
        <f t="shared" si="7"/>
        <v>59.769977999999995</v>
      </c>
      <c r="J8">
        <v>94.613568000000001</v>
      </c>
      <c r="K8">
        <v>36.726568</v>
      </c>
      <c r="L8">
        <v>6.8189890000000002</v>
      </c>
      <c r="M8">
        <v>138.15912499999999</v>
      </c>
      <c r="N8">
        <f t="shared" si="19"/>
        <v>4.8997249642482927</v>
      </c>
      <c r="O8">
        <f t="shared" si="19"/>
        <v>2.7212292290996558</v>
      </c>
      <c r="P8">
        <f t="shared" si="19"/>
        <v>0.75277253747268702</v>
      </c>
      <c r="Q8">
        <f t="shared" si="19"/>
        <v>8.3737267308206356</v>
      </c>
      <c r="R8">
        <f t="shared" si="30"/>
        <v>89.713843035751708</v>
      </c>
      <c r="S8">
        <f t="shared" si="31"/>
        <v>34.005338770900345</v>
      </c>
      <c r="T8">
        <f t="shared" si="32"/>
        <v>6.0662164625273132</v>
      </c>
      <c r="U8">
        <f>SUM(R8:T8)</f>
        <v>129.78539826917935</v>
      </c>
      <c r="V8">
        <f t="shared" si="17"/>
        <v>7.0534003574144162E-3</v>
      </c>
      <c r="W8">
        <f t="shared" si="17"/>
        <v>1.1758511221970355E-2</v>
      </c>
      <c r="X8">
        <f t="shared" si="17"/>
        <v>3.7004681240195611E-2</v>
      </c>
      <c r="Y8">
        <f t="shared" si="8"/>
        <v>9.7824276944813507E-3</v>
      </c>
      <c r="Z8">
        <f t="shared" si="23"/>
        <v>0.16</v>
      </c>
      <c r="AA8">
        <f t="shared" si="24"/>
        <v>0.11000000000000001</v>
      </c>
      <c r="AB8">
        <v>1</v>
      </c>
      <c r="AC8">
        <v>1</v>
      </c>
      <c r="AD8">
        <f t="shared" si="9"/>
        <v>20.765663723068698</v>
      </c>
      <c r="AE8">
        <f t="shared" si="10"/>
        <v>8.3737267308206356</v>
      </c>
      <c r="AF8">
        <f t="shared" si="11"/>
        <v>6.5746975800000005</v>
      </c>
      <c r="AG8">
        <f t="shared" si="25"/>
        <v>7.7261723999999994</v>
      </c>
      <c r="AH8">
        <f t="shared" si="12"/>
        <v>44.997433600000008</v>
      </c>
      <c r="AI8">
        <f t="shared" si="26"/>
        <v>25.957079653835866</v>
      </c>
      <c r="AJ8">
        <f t="shared" si="27"/>
        <v>83.062654892274793</v>
      </c>
      <c r="AK8">
        <f t="shared" si="13"/>
        <v>109.01973454611066</v>
      </c>
      <c r="AL8">
        <f t="shared" si="14"/>
        <v>0</v>
      </c>
      <c r="AM8">
        <f t="shared" si="28"/>
        <v>26.896490099999994</v>
      </c>
      <c r="AN8">
        <f t="shared" si="29"/>
        <v>26.298790320000002</v>
      </c>
      <c r="AO8">
        <f t="shared" si="15"/>
        <v>53.195280419999996</v>
      </c>
      <c r="AP8">
        <f t="shared" si="16"/>
        <v>0</v>
      </c>
      <c r="AQ8">
        <v>0.4</v>
      </c>
      <c r="AR8">
        <v>0</v>
      </c>
    </row>
    <row r="9" spans="1:44" x14ac:dyDescent="0.2">
      <c r="A9">
        <v>2031</v>
      </c>
      <c r="B9">
        <v>114.092934</v>
      </c>
      <c r="C9">
        <v>3.227938</v>
      </c>
      <c r="D9">
        <f t="shared" si="18"/>
        <v>16.104892</v>
      </c>
      <c r="E9">
        <f t="shared" si="4"/>
        <v>6.4419567999999998</v>
      </c>
      <c r="F9">
        <f t="shared" si="5"/>
        <v>9.6629351999999997</v>
      </c>
      <c r="G9">
        <f t="shared" si="20"/>
        <v>97.988042000000007</v>
      </c>
      <c r="H9">
        <f t="shared" si="6"/>
        <v>39.195216800000004</v>
      </c>
      <c r="I9">
        <f t="shared" si="7"/>
        <v>58.792825200000003</v>
      </c>
      <c r="J9">
        <v>95.599119999999999</v>
      </c>
      <c r="K9">
        <v>37.247472000000002</v>
      </c>
      <c r="L9">
        <v>6.8253740000000001</v>
      </c>
      <c r="M9">
        <v>139.671966</v>
      </c>
      <c r="N9">
        <f t="shared" si="19"/>
        <v>6.518064616781686</v>
      </c>
      <c r="O9">
        <f t="shared" si="19"/>
        <v>3.641985386644194</v>
      </c>
      <c r="P9">
        <f t="shared" si="19"/>
        <v>0.98363594400253707</v>
      </c>
      <c r="Q9">
        <f t="shared" si="19"/>
        <v>11.143685947428423</v>
      </c>
      <c r="R9">
        <f t="shared" si="30"/>
        <v>89.081055383218313</v>
      </c>
      <c r="S9">
        <f t="shared" si="31"/>
        <v>33.605486613355808</v>
      </c>
      <c r="T9">
        <f t="shared" si="32"/>
        <v>5.841738055997463</v>
      </c>
      <c r="U9">
        <f t="shared" si="22"/>
        <v>128.52828005257157</v>
      </c>
      <c r="V9">
        <f t="shared" si="17"/>
        <v>7.0534003574144162E-3</v>
      </c>
      <c r="W9">
        <f t="shared" si="17"/>
        <v>1.1758511221970355E-2</v>
      </c>
      <c r="X9">
        <f t="shared" si="17"/>
        <v>3.7004681240195611E-2</v>
      </c>
      <c r="Y9">
        <f t="shared" si="8"/>
        <v>9.7717853695397216E-3</v>
      </c>
      <c r="Z9">
        <f t="shared" si="23"/>
        <v>0.2</v>
      </c>
      <c r="AA9">
        <f t="shared" si="24"/>
        <v>0.13750000000000001</v>
      </c>
      <c r="AB9">
        <v>1</v>
      </c>
      <c r="AC9">
        <v>1</v>
      </c>
      <c r="AD9">
        <f t="shared" si="9"/>
        <v>25.705656010514318</v>
      </c>
      <c r="AE9">
        <f t="shared" si="10"/>
        <v>11.143685947428423</v>
      </c>
      <c r="AF9">
        <f t="shared" si="11"/>
        <v>8.0840134650000017</v>
      </c>
      <c r="AG9">
        <f t="shared" si="25"/>
        <v>9.6629351999999997</v>
      </c>
      <c r="AH9">
        <f t="shared" si="12"/>
        <v>45.637173600000004</v>
      </c>
      <c r="AI9">
        <f t="shared" si="26"/>
        <v>25.705656010514311</v>
      </c>
      <c r="AJ9">
        <f t="shared" si="27"/>
        <v>77.116968031542953</v>
      </c>
      <c r="AK9">
        <f t="shared" si="13"/>
        <v>102.82262404205726</v>
      </c>
      <c r="AL9">
        <f t="shared" si="14"/>
        <v>0</v>
      </c>
      <c r="AM9">
        <f t="shared" si="28"/>
        <v>26.45677134</v>
      </c>
      <c r="AN9">
        <f t="shared" si="29"/>
        <v>24.252040395000005</v>
      </c>
      <c r="AO9">
        <f t="shared" si="15"/>
        <v>50.708811734999998</v>
      </c>
      <c r="AP9">
        <f t="shared" si="16"/>
        <v>0</v>
      </c>
      <c r="AQ9">
        <v>0.4</v>
      </c>
      <c r="AR9">
        <v>0</v>
      </c>
    </row>
    <row r="10" spans="1:44" x14ac:dyDescent="0.2">
      <c r="A10">
        <v>2032</v>
      </c>
      <c r="B10">
        <v>115.698303</v>
      </c>
      <c r="C10">
        <v>3.2548240000000002</v>
      </c>
      <c r="D10">
        <f t="shared" si="18"/>
        <v>19.359715999999999</v>
      </c>
      <c r="E10">
        <f t="shared" si="4"/>
        <v>7.7438864000000001</v>
      </c>
      <c r="F10">
        <f t="shared" si="5"/>
        <v>11.6158296</v>
      </c>
      <c r="G10">
        <f t="shared" si="20"/>
        <v>96.33858699999999</v>
      </c>
      <c r="H10">
        <f t="shared" si="6"/>
        <v>38.535434799999997</v>
      </c>
      <c r="I10">
        <f t="shared" si="7"/>
        <v>57.803152199999992</v>
      </c>
      <c r="J10">
        <v>96.580712000000005</v>
      </c>
      <c r="K10">
        <v>37.754384000000002</v>
      </c>
      <c r="L10">
        <v>6.8344959999999997</v>
      </c>
      <c r="M10">
        <v>141.16959199999999</v>
      </c>
      <c r="N10">
        <f t="shared" si="19"/>
        <v>8.1279809646605372</v>
      </c>
      <c r="O10">
        <f t="shared" si="19"/>
        <v>4.544047878107115</v>
      </c>
      <c r="P10">
        <f t="shared" si="19"/>
        <v>1.2089295986534427</v>
      </c>
      <c r="Q10">
        <f t="shared" si="19"/>
        <v>13.880958441421086</v>
      </c>
      <c r="R10">
        <f t="shared" si="30"/>
        <v>88.452731035339468</v>
      </c>
      <c r="S10">
        <f t="shared" si="31"/>
        <v>33.210336121892887</v>
      </c>
      <c r="T10">
        <f t="shared" si="32"/>
        <v>5.6255664013465569</v>
      </c>
      <c r="U10">
        <f t="shared" si="22"/>
        <v>127.28863355857891</v>
      </c>
      <c r="V10">
        <f t="shared" si="17"/>
        <v>7.0534003574144162E-3</v>
      </c>
      <c r="W10">
        <f t="shared" si="17"/>
        <v>1.1758511221970355E-2</v>
      </c>
      <c r="X10">
        <f t="shared" si="17"/>
        <v>3.7004681240195611E-2</v>
      </c>
      <c r="Y10">
        <f t="shared" si="8"/>
        <v>9.7617773266647171E-3</v>
      </c>
      <c r="Z10">
        <f t="shared" si="23"/>
        <v>0.24000000000000002</v>
      </c>
      <c r="AA10">
        <f t="shared" si="24"/>
        <v>0.16500000000000001</v>
      </c>
      <c r="AB10">
        <v>1</v>
      </c>
      <c r="AC10">
        <v>1</v>
      </c>
      <c r="AD10">
        <f t="shared" si="9"/>
        <v>30.549272054058939</v>
      </c>
      <c r="AE10">
        <f t="shared" si="10"/>
        <v>13.880958441421086</v>
      </c>
      <c r="AF10">
        <f t="shared" si="11"/>
        <v>9.5375201129999994</v>
      </c>
      <c r="AG10">
        <f t="shared" si="25"/>
        <v>11.6158296</v>
      </c>
      <c r="AH10">
        <f t="shared" si="12"/>
        <v>46.279321199999998</v>
      </c>
      <c r="AI10">
        <f t="shared" si="26"/>
        <v>25.457726711715775</v>
      </c>
      <c r="AJ10">
        <f t="shared" si="27"/>
        <v>71.281634792804198</v>
      </c>
      <c r="AK10">
        <f t="shared" si="13"/>
        <v>96.739361504519962</v>
      </c>
      <c r="AL10">
        <f t="shared" si="14"/>
        <v>0</v>
      </c>
      <c r="AM10">
        <f t="shared" si="28"/>
        <v>26.011418489999993</v>
      </c>
      <c r="AN10">
        <f t="shared" si="29"/>
        <v>22.254213597</v>
      </c>
      <c r="AO10">
        <f t="shared" si="15"/>
        <v>48.265632086999993</v>
      </c>
      <c r="AP10">
        <f t="shared" si="16"/>
        <v>0</v>
      </c>
      <c r="AQ10">
        <v>0.4</v>
      </c>
      <c r="AR10">
        <v>0</v>
      </c>
    </row>
    <row r="11" spans="1:44" x14ac:dyDescent="0.2">
      <c r="A11">
        <v>2033</v>
      </c>
      <c r="B11">
        <v>117.31967899999999</v>
      </c>
      <c r="C11">
        <v>3.2921589999999998</v>
      </c>
      <c r="D11">
        <f t="shared" si="18"/>
        <v>22.651874999999997</v>
      </c>
      <c r="E11">
        <f t="shared" si="4"/>
        <v>9.0607499999999987</v>
      </c>
      <c r="F11">
        <f t="shared" si="5"/>
        <v>13.591124999999998</v>
      </c>
      <c r="G11">
        <f t="shared" si="20"/>
        <v>94.66780399999999</v>
      </c>
      <c r="H11">
        <f t="shared" si="6"/>
        <v>37.867121599999997</v>
      </c>
      <c r="I11">
        <f t="shared" si="7"/>
        <v>56.800682399999992</v>
      </c>
      <c r="J11">
        <v>97.542320000000004</v>
      </c>
      <c r="K11">
        <v>38.228700000000003</v>
      </c>
      <c r="L11">
        <v>6.8445270000000002</v>
      </c>
      <c r="M11">
        <v>142.61554799999999</v>
      </c>
      <c r="N11">
        <f t="shared" si="19"/>
        <v>9.7134814893594807</v>
      </c>
      <c r="O11">
        <f t="shared" si="19"/>
        <v>5.408867988081802</v>
      </c>
      <c r="P11">
        <f t="shared" si="19"/>
        <v>1.4271328901308271</v>
      </c>
      <c r="Q11">
        <f t="shared" si="19"/>
        <v>16.549483367572094</v>
      </c>
      <c r="R11">
        <f t="shared" si="30"/>
        <v>87.828838510640523</v>
      </c>
      <c r="S11">
        <f t="shared" si="31"/>
        <v>32.819832011918201</v>
      </c>
      <c r="T11">
        <f t="shared" si="32"/>
        <v>5.4173941098691731</v>
      </c>
      <c r="U11">
        <f t="shared" si="22"/>
        <v>126.0660646324279</v>
      </c>
      <c r="V11">
        <f t="shared" si="17"/>
        <v>7.0534003574144162E-3</v>
      </c>
      <c r="W11">
        <f t="shared" si="17"/>
        <v>1.1758511221970355E-2</v>
      </c>
      <c r="X11">
        <f t="shared" si="17"/>
        <v>3.7004681240195611E-2</v>
      </c>
      <c r="Y11">
        <f t="shared" si="8"/>
        <v>9.7520725620833561E-3</v>
      </c>
      <c r="Z11">
        <f t="shared" si="23"/>
        <v>0.28000000000000003</v>
      </c>
      <c r="AA11">
        <f t="shared" si="24"/>
        <v>0.1925</v>
      </c>
      <c r="AB11">
        <v>1</v>
      </c>
      <c r="AC11">
        <v>1</v>
      </c>
      <c r="AD11">
        <f t="shared" si="9"/>
        <v>35.298498097079815</v>
      </c>
      <c r="AE11">
        <f t="shared" si="10"/>
        <v>16.549483367572094</v>
      </c>
      <c r="AF11">
        <f t="shared" si="11"/>
        <v>10.934131361999999</v>
      </c>
      <c r="AG11">
        <f t="shared" si="25"/>
        <v>13.591124999999998</v>
      </c>
      <c r="AH11">
        <f t="shared" si="12"/>
        <v>46.927871599999996</v>
      </c>
      <c r="AI11">
        <f t="shared" si="26"/>
        <v>25.213212926485575</v>
      </c>
      <c r="AJ11">
        <f t="shared" si="27"/>
        <v>65.554353608862513</v>
      </c>
      <c r="AK11">
        <f t="shared" si="13"/>
        <v>90.767566535348081</v>
      </c>
      <c r="AL11">
        <f t="shared" si="14"/>
        <v>0</v>
      </c>
      <c r="AM11">
        <f t="shared" si="28"/>
        <v>25.560307079999994</v>
      </c>
      <c r="AN11">
        <f t="shared" si="29"/>
        <v>20.306243958</v>
      </c>
      <c r="AO11">
        <f t="shared" si="15"/>
        <v>45.866551037999997</v>
      </c>
      <c r="AP11">
        <f t="shared" si="16"/>
        <v>0</v>
      </c>
      <c r="AQ11">
        <v>0.4</v>
      </c>
      <c r="AR11">
        <v>0</v>
      </c>
    </row>
    <row r="12" spans="1:44" x14ac:dyDescent="0.2">
      <c r="A12">
        <v>2034</v>
      </c>
      <c r="B12">
        <v>118.94864699999999</v>
      </c>
      <c r="C12">
        <v>3.3216220000000001</v>
      </c>
      <c r="D12">
        <f t="shared" si="18"/>
        <v>25.973496999999998</v>
      </c>
      <c r="E12">
        <f t="shared" si="4"/>
        <v>10.3893988</v>
      </c>
      <c r="F12">
        <f t="shared" si="5"/>
        <v>15.584098199999998</v>
      </c>
      <c r="G12">
        <f t="shared" si="20"/>
        <v>92.975149999999999</v>
      </c>
      <c r="H12">
        <f t="shared" si="6"/>
        <v>37.190060000000003</v>
      </c>
      <c r="I12">
        <f t="shared" si="7"/>
        <v>55.785089999999997</v>
      </c>
      <c r="J12">
        <v>98.475399999999993</v>
      </c>
      <c r="K12">
        <v>38.669908</v>
      </c>
      <c r="L12">
        <v>6.8523969999999998</v>
      </c>
      <c r="M12">
        <v>143.997705</v>
      </c>
      <c r="N12">
        <f t="shared" si="19"/>
        <v>11.266053450301712</v>
      </c>
      <c r="O12">
        <f t="shared" si="19"/>
        <v>6.2359883510971201</v>
      </c>
      <c r="P12">
        <f t="shared" si="19"/>
        <v>1.6354718323190491</v>
      </c>
      <c r="Q12">
        <f t="shared" si="19"/>
        <v>19.137513633717873</v>
      </c>
      <c r="R12">
        <f t="shared" si="30"/>
        <v>87.209346549698282</v>
      </c>
      <c r="S12">
        <f t="shared" si="31"/>
        <v>32.433919648902879</v>
      </c>
      <c r="T12">
        <f t="shared" si="32"/>
        <v>5.2169251676809507</v>
      </c>
      <c r="U12">
        <f t="shared" si="22"/>
        <v>124.86019136628212</v>
      </c>
      <c r="V12">
        <f t="shared" si="17"/>
        <v>7.0534003574144162E-3</v>
      </c>
      <c r="W12">
        <f t="shared" si="17"/>
        <v>1.1758511221970355E-2</v>
      </c>
      <c r="X12">
        <f t="shared" si="17"/>
        <v>3.7004681240195611E-2</v>
      </c>
      <c r="Y12">
        <f t="shared" si="8"/>
        <v>9.7422228739226183E-3</v>
      </c>
      <c r="Z12">
        <f t="shared" si="23"/>
        <v>0.32</v>
      </c>
      <c r="AA12">
        <f t="shared" si="24"/>
        <v>0.22</v>
      </c>
      <c r="AB12">
        <v>1</v>
      </c>
      <c r="AC12">
        <v>1</v>
      </c>
      <c r="AD12">
        <f t="shared" si="9"/>
        <v>39.95526123721028</v>
      </c>
      <c r="AE12">
        <f t="shared" si="10"/>
        <v>19.137513633717873</v>
      </c>
      <c r="AF12">
        <f t="shared" si="11"/>
        <v>12.272719799999999</v>
      </c>
      <c r="AG12">
        <f t="shared" si="25"/>
        <v>15.584098199999998</v>
      </c>
      <c r="AH12">
        <f t="shared" si="12"/>
        <v>47.579458800000005</v>
      </c>
      <c r="AI12">
        <f t="shared" si="26"/>
        <v>24.97203827325642</v>
      </c>
      <c r="AJ12">
        <f t="shared" si="27"/>
        <v>59.932891855815427</v>
      </c>
      <c r="AK12">
        <f t="shared" si="13"/>
        <v>84.904930129071843</v>
      </c>
      <c r="AL12">
        <f t="shared" si="14"/>
        <v>0</v>
      </c>
      <c r="AM12">
        <f t="shared" si="28"/>
        <v>25.103290499999996</v>
      </c>
      <c r="AN12">
        <f t="shared" si="29"/>
        <v>18.409079699999999</v>
      </c>
      <c r="AO12">
        <f t="shared" si="15"/>
        <v>43.512370199999999</v>
      </c>
      <c r="AP12">
        <f t="shared" si="16"/>
        <v>0</v>
      </c>
      <c r="AQ12">
        <v>0.4</v>
      </c>
      <c r="AR12">
        <v>0</v>
      </c>
    </row>
    <row r="13" spans="1:44" x14ac:dyDescent="0.2">
      <c r="A13">
        <v>2035</v>
      </c>
      <c r="B13">
        <v>120.570572</v>
      </c>
      <c r="C13">
        <v>3.3368820000000001</v>
      </c>
      <c r="D13">
        <f t="shared" si="18"/>
        <v>29.310378999999998</v>
      </c>
      <c r="E13">
        <f t="shared" si="4"/>
        <v>11.724151599999999</v>
      </c>
      <c r="F13">
        <f t="shared" si="5"/>
        <v>17.586227399999999</v>
      </c>
      <c r="G13">
        <f t="shared" si="20"/>
        <v>91.260193000000001</v>
      </c>
      <c r="H13">
        <f t="shared" si="6"/>
        <v>36.504077200000005</v>
      </c>
      <c r="I13">
        <f t="shared" si="7"/>
        <v>54.756115799999996</v>
      </c>
      <c r="J13">
        <v>99.402584000000004</v>
      </c>
      <c r="K13">
        <v>39.096772000000001</v>
      </c>
      <c r="L13">
        <v>6.8581479999999999</v>
      </c>
      <c r="M13">
        <v>145.35750400000001</v>
      </c>
      <c r="N13">
        <f t="shared" si="19"/>
        <v>12.808359886425237</v>
      </c>
      <c r="O13">
        <f t="shared" si="19"/>
        <v>7.0442269592612305</v>
      </c>
      <c r="P13">
        <f t="shared" si="19"/>
        <v>1.8342734852030365</v>
      </c>
      <c r="Q13">
        <f t="shared" si="19"/>
        <v>21.686860330889502</v>
      </c>
      <c r="R13">
        <f t="shared" si="30"/>
        <v>86.594224113574768</v>
      </c>
      <c r="S13">
        <f t="shared" si="31"/>
        <v>32.052545040738771</v>
      </c>
      <c r="T13">
        <f t="shared" si="32"/>
        <v>5.0238745147969635</v>
      </c>
      <c r="U13">
        <f t="shared" si="22"/>
        <v>123.6706436691105</v>
      </c>
      <c r="V13">
        <f t="shared" si="17"/>
        <v>7.0534003574144162E-3</v>
      </c>
      <c r="W13">
        <f t="shared" si="17"/>
        <v>1.1758511221970355E-2</v>
      </c>
      <c r="X13">
        <f t="shared" si="17"/>
        <v>3.7004681240195611E-2</v>
      </c>
      <c r="Y13">
        <f t="shared" si="8"/>
        <v>9.732071585767034E-3</v>
      </c>
      <c r="Z13">
        <f t="shared" si="23"/>
        <v>0.36</v>
      </c>
      <c r="AA13">
        <f t="shared" si="24"/>
        <v>0.2475</v>
      </c>
      <c r="AB13">
        <v>1</v>
      </c>
      <c r="AC13">
        <v>1</v>
      </c>
      <c r="AD13">
        <f t="shared" si="9"/>
        <v>44.521431720879782</v>
      </c>
      <c r="AE13">
        <f t="shared" si="10"/>
        <v>21.686860330889502</v>
      </c>
      <c r="AF13">
        <f t="shared" si="11"/>
        <v>13.552138660499999</v>
      </c>
      <c r="AG13">
        <f t="shared" si="25"/>
        <v>17.586227399999999</v>
      </c>
      <c r="AH13">
        <f t="shared" si="12"/>
        <v>48.228228800000004</v>
      </c>
      <c r="AI13">
        <f t="shared" si="26"/>
        <v>24.734128733822097</v>
      </c>
      <c r="AJ13">
        <f t="shared" si="27"/>
        <v>54.415083214408632</v>
      </c>
      <c r="AK13">
        <f t="shared" si="13"/>
        <v>79.149211948230715</v>
      </c>
      <c r="AL13">
        <f t="shared" si="14"/>
        <v>0</v>
      </c>
      <c r="AM13">
        <f t="shared" si="28"/>
        <v>24.640252109999995</v>
      </c>
      <c r="AN13">
        <f t="shared" si="29"/>
        <v>16.563725029500002</v>
      </c>
      <c r="AO13">
        <f t="shared" si="15"/>
        <v>41.203977139499997</v>
      </c>
      <c r="AP13">
        <f t="shared" si="16"/>
        <v>0</v>
      </c>
      <c r="AQ13">
        <v>0.4</v>
      </c>
      <c r="AR13">
        <v>0</v>
      </c>
    </row>
    <row r="14" spans="1:44" x14ac:dyDescent="0.2">
      <c r="A14">
        <v>2036</v>
      </c>
      <c r="B14">
        <v>122.16892199999999</v>
      </c>
      <c r="C14">
        <v>3.3359239999999999</v>
      </c>
      <c r="D14">
        <f t="shared" si="18"/>
        <v>32.646302999999996</v>
      </c>
      <c r="E14">
        <f t="shared" si="4"/>
        <v>13.058521199999999</v>
      </c>
      <c r="F14">
        <f t="shared" si="5"/>
        <v>19.587781799999998</v>
      </c>
      <c r="G14">
        <f t="shared" si="20"/>
        <v>89.522618999999992</v>
      </c>
      <c r="H14">
        <f t="shared" si="6"/>
        <v>35.8090476</v>
      </c>
      <c r="I14">
        <f t="shared" si="7"/>
        <v>53.713571399999992</v>
      </c>
      <c r="J14">
        <v>100.314464</v>
      </c>
      <c r="K14">
        <v>39.507691999999999</v>
      </c>
      <c r="L14">
        <v>6.863969</v>
      </c>
      <c r="M14">
        <v>146.686126</v>
      </c>
      <c r="N14">
        <f t="shared" si="19"/>
        <v>14.331023617737941</v>
      </c>
      <c r="O14">
        <f t="shared" si="19"/>
        <v>7.8320371698154645</v>
      </c>
      <c r="P14">
        <f t="shared" si="19"/>
        <v>2.0260013602138409</v>
      </c>
      <c r="Q14">
        <f t="shared" si="19"/>
        <v>24.189063147767243</v>
      </c>
      <c r="R14">
        <f t="shared" si="30"/>
        <v>85.98344038226206</v>
      </c>
      <c r="S14">
        <f t="shared" si="31"/>
        <v>31.675654830184534</v>
      </c>
      <c r="T14">
        <f t="shared" si="32"/>
        <v>4.8379676397861591</v>
      </c>
      <c r="U14">
        <f t="shared" si="22"/>
        <v>122.49706285223276</v>
      </c>
      <c r="V14">
        <f t="shared" si="17"/>
        <v>7.0534003574144162E-3</v>
      </c>
      <c r="W14">
        <f t="shared" si="17"/>
        <v>1.1758511221970355E-2</v>
      </c>
      <c r="X14">
        <f t="shared" si="17"/>
        <v>3.7004681240195611E-2</v>
      </c>
      <c r="Y14">
        <f t="shared" si="8"/>
        <v>9.7221785027928834E-3</v>
      </c>
      <c r="Z14">
        <f t="shared" si="23"/>
        <v>0.39999999999999997</v>
      </c>
      <c r="AA14">
        <f t="shared" si="24"/>
        <v>0.27500000000000002</v>
      </c>
      <c r="AB14">
        <v>1</v>
      </c>
      <c r="AC14">
        <v>1</v>
      </c>
      <c r="AD14">
        <f t="shared" si="9"/>
        <v>48.998825140893096</v>
      </c>
      <c r="AE14">
        <f t="shared" si="10"/>
        <v>24.189063147767243</v>
      </c>
      <c r="AF14">
        <f t="shared" si="11"/>
        <v>14.771232134999998</v>
      </c>
      <c r="AG14">
        <f t="shared" si="25"/>
        <v>19.587781799999998</v>
      </c>
      <c r="AH14">
        <f t="shared" si="12"/>
        <v>48.867568800000001</v>
      </c>
      <c r="AI14">
        <f t="shared" si="26"/>
        <v>24.499412570446545</v>
      </c>
      <c r="AJ14">
        <f t="shared" si="27"/>
        <v>48.998825140893111</v>
      </c>
      <c r="AK14">
        <f t="shared" si="13"/>
        <v>73.498237711339669</v>
      </c>
      <c r="AL14">
        <f t="shared" si="14"/>
        <v>0</v>
      </c>
      <c r="AM14">
        <f t="shared" si="28"/>
        <v>24.171107129999996</v>
      </c>
      <c r="AN14">
        <f t="shared" si="29"/>
        <v>14.771232134999998</v>
      </c>
      <c r="AO14">
        <f t="shared" si="15"/>
        <v>38.942339264999994</v>
      </c>
      <c r="AP14">
        <f t="shared" si="16"/>
        <v>0</v>
      </c>
      <c r="AQ14">
        <v>0.4</v>
      </c>
      <c r="AR14">
        <v>0</v>
      </c>
    </row>
    <row r="15" spans="1:44" x14ac:dyDescent="0.2">
      <c r="A15">
        <v>2037</v>
      </c>
      <c r="B15">
        <v>123.73555</v>
      </c>
      <c r="C15">
        <v>3.3269090000000001</v>
      </c>
      <c r="D15">
        <f t="shared" si="18"/>
        <v>35.973211999999997</v>
      </c>
      <c r="E15">
        <f t="shared" si="4"/>
        <v>14.389284799999999</v>
      </c>
      <c r="F15">
        <f t="shared" si="5"/>
        <v>21.583927199999998</v>
      </c>
      <c r="G15">
        <f t="shared" si="20"/>
        <v>87.762338</v>
      </c>
      <c r="H15">
        <f t="shared" si="6"/>
        <v>35.1049352</v>
      </c>
      <c r="I15">
        <f t="shared" si="7"/>
        <v>52.6574028</v>
      </c>
      <c r="J15">
        <v>101.201392</v>
      </c>
      <c r="K15">
        <v>39.887748000000002</v>
      </c>
      <c r="L15">
        <v>6.8687569999999996</v>
      </c>
      <c r="M15">
        <v>147.957897</v>
      </c>
      <c r="N15">
        <f t="shared" si="19"/>
        <v>15.824427246861902</v>
      </c>
      <c r="O15">
        <f t="shared" si="19"/>
        <v>8.5845517125994526</v>
      </c>
      <c r="P15">
        <f t="shared" si="19"/>
        <v>2.2098168105745088</v>
      </c>
      <c r="Q15">
        <f t="shared" si="19"/>
        <v>26.61879577003586</v>
      </c>
      <c r="R15">
        <f t="shared" si="30"/>
        <v>85.376964753138097</v>
      </c>
      <c r="S15">
        <f t="shared" si="31"/>
        <v>31.303196287400549</v>
      </c>
      <c r="T15">
        <f t="shared" si="32"/>
        <v>4.6589401894254907</v>
      </c>
      <c r="U15">
        <f t="shared" si="22"/>
        <v>121.33910122996414</v>
      </c>
      <c r="V15">
        <f t="shared" si="17"/>
        <v>7.0534003574144162E-3</v>
      </c>
      <c r="W15">
        <f t="shared" si="17"/>
        <v>1.1758511221970355E-2</v>
      </c>
      <c r="X15">
        <f t="shared" si="17"/>
        <v>3.7004681240195611E-2</v>
      </c>
      <c r="Y15">
        <f t="shared" si="8"/>
        <v>9.712294236529492E-3</v>
      </c>
      <c r="Z15">
        <f t="shared" si="23"/>
        <v>0.43999999999999995</v>
      </c>
      <c r="AA15">
        <f t="shared" si="24"/>
        <v>0.30250000000000005</v>
      </c>
      <c r="AB15">
        <v>1</v>
      </c>
      <c r="AC15">
        <v>1</v>
      </c>
      <c r="AD15">
        <f t="shared" si="9"/>
        <v>53.389204541184213</v>
      </c>
      <c r="AE15">
        <f t="shared" si="10"/>
        <v>26.61879577003586</v>
      </c>
      <c r="AF15">
        <f t="shared" si="11"/>
        <v>15.928864347000003</v>
      </c>
      <c r="AG15">
        <f t="shared" si="25"/>
        <v>21.583927199999998</v>
      </c>
      <c r="AH15">
        <f t="shared" si="12"/>
        <v>49.494219999999999</v>
      </c>
      <c r="AI15">
        <f t="shared" si="26"/>
        <v>24.267820245992823</v>
      </c>
      <c r="AJ15">
        <f t="shared" si="27"/>
        <v>43.682076442787107</v>
      </c>
      <c r="AK15">
        <f t="shared" si="13"/>
        <v>67.94989668877993</v>
      </c>
      <c r="AL15">
        <f t="shared" si="14"/>
        <v>0</v>
      </c>
      <c r="AM15">
        <f t="shared" si="28"/>
        <v>23.695831259999999</v>
      </c>
      <c r="AN15">
        <f t="shared" si="29"/>
        <v>13.032707192999998</v>
      </c>
      <c r="AO15">
        <f t="shared" si="15"/>
        <v>36.728538452999999</v>
      </c>
      <c r="AP15">
        <f t="shared" si="16"/>
        <v>0</v>
      </c>
      <c r="AQ15">
        <v>0.4</v>
      </c>
      <c r="AR15">
        <v>0</v>
      </c>
    </row>
    <row r="16" spans="1:44" x14ac:dyDescent="0.2">
      <c r="A16">
        <v>2038</v>
      </c>
      <c r="B16">
        <v>125.27293400000001</v>
      </c>
      <c r="C16">
        <v>3.3203109999999998</v>
      </c>
      <c r="D16">
        <f t="shared" si="18"/>
        <v>39.293522999999993</v>
      </c>
      <c r="E16">
        <f t="shared" si="4"/>
        <v>15.717409199999999</v>
      </c>
      <c r="F16">
        <f t="shared" si="5"/>
        <v>23.576113799999995</v>
      </c>
      <c r="G16">
        <f t="shared" si="20"/>
        <v>85.979411000000013</v>
      </c>
      <c r="H16">
        <f t="shared" si="6"/>
        <v>34.391764400000007</v>
      </c>
      <c r="I16">
        <f t="shared" si="7"/>
        <v>51.587646600000006</v>
      </c>
      <c r="J16">
        <v>102.063192</v>
      </c>
      <c r="K16">
        <v>40.244427999999999</v>
      </c>
      <c r="L16">
        <v>6.872681</v>
      </c>
      <c r="M16">
        <v>149.18030099999999</v>
      </c>
      <c r="N16">
        <f t="shared" si="19"/>
        <v>17.288425160566646</v>
      </c>
      <c r="O16">
        <f t="shared" si="19"/>
        <v>9.3093106974283906</v>
      </c>
      <c r="P16">
        <f t="shared" si="19"/>
        <v>2.3861434072013363</v>
      </c>
      <c r="Q16">
        <f t="shared" si="19"/>
        <v>28.98387926519635</v>
      </c>
      <c r="R16">
        <f t="shared" si="30"/>
        <v>84.774766839433354</v>
      </c>
      <c r="S16">
        <f t="shared" si="31"/>
        <v>30.935117302571609</v>
      </c>
      <c r="T16">
        <f t="shared" si="32"/>
        <v>4.4865375927986637</v>
      </c>
      <c r="U16">
        <f t="shared" si="22"/>
        <v>120.19642173480364</v>
      </c>
      <c r="V16">
        <f t="shared" si="17"/>
        <v>7.0534003574144162E-3</v>
      </c>
      <c r="W16">
        <f t="shared" si="17"/>
        <v>1.1758511221970355E-2</v>
      </c>
      <c r="X16">
        <f t="shared" si="17"/>
        <v>3.7004681240195611E-2</v>
      </c>
      <c r="Y16">
        <f t="shared" si="8"/>
        <v>9.7025443249506727E-3</v>
      </c>
      <c r="Z16">
        <f t="shared" si="23"/>
        <v>0.47999999999999993</v>
      </c>
      <c r="AA16">
        <f t="shared" si="24"/>
        <v>0.33000000000000007</v>
      </c>
      <c r="AB16">
        <v>1</v>
      </c>
      <c r="AC16">
        <v>1</v>
      </c>
      <c r="AD16">
        <f t="shared" si="9"/>
        <v>57.694282432705734</v>
      </c>
      <c r="AE16">
        <f t="shared" si="10"/>
        <v>28.98387926519635</v>
      </c>
      <c r="AF16">
        <f t="shared" si="11"/>
        <v>17.023923378000006</v>
      </c>
      <c r="AG16">
        <f t="shared" si="25"/>
        <v>23.576113799999995</v>
      </c>
      <c r="AH16">
        <f t="shared" si="12"/>
        <v>50.109173600000005</v>
      </c>
      <c r="AI16">
        <f t="shared" si="26"/>
        <v>24.03928434696072</v>
      </c>
      <c r="AJ16">
        <f t="shared" si="27"/>
        <v>38.462854955137175</v>
      </c>
      <c r="AK16">
        <f t="shared" si="13"/>
        <v>62.502139302097902</v>
      </c>
      <c r="AL16">
        <f t="shared" si="14"/>
        <v>0</v>
      </c>
      <c r="AM16">
        <f t="shared" si="28"/>
        <v>23.214440970000002</v>
      </c>
      <c r="AN16">
        <f t="shared" si="29"/>
        <v>11.349282251999998</v>
      </c>
      <c r="AO16">
        <f t="shared" si="15"/>
        <v>34.563723222</v>
      </c>
      <c r="AP16">
        <f t="shared" si="16"/>
        <v>0</v>
      </c>
      <c r="AQ16">
        <v>0.4</v>
      </c>
      <c r="AR16">
        <v>0</v>
      </c>
    </row>
    <row r="17" spans="1:44" x14ac:dyDescent="0.2">
      <c r="A17">
        <v>2039</v>
      </c>
      <c r="B17">
        <v>126.786034</v>
      </c>
      <c r="C17">
        <v>3.3185319999999998</v>
      </c>
      <c r="D17">
        <f t="shared" si="18"/>
        <v>42.612054999999991</v>
      </c>
      <c r="E17">
        <f t="shared" si="4"/>
        <v>17.044821999999996</v>
      </c>
      <c r="F17">
        <f t="shared" si="5"/>
        <v>25.567232999999995</v>
      </c>
      <c r="G17">
        <f t="shared" si="20"/>
        <v>84.173979000000003</v>
      </c>
      <c r="H17">
        <f t="shared" si="6"/>
        <v>33.669591600000004</v>
      </c>
      <c r="I17">
        <f t="shared" si="7"/>
        <v>50.504387399999999</v>
      </c>
      <c r="J17">
        <v>102.89217600000001</v>
      </c>
      <c r="K17">
        <v>40.580072000000001</v>
      </c>
      <c r="L17">
        <v>6.8761729999999996</v>
      </c>
      <c r="M17">
        <v>150.348421</v>
      </c>
      <c r="N17">
        <f t="shared" si="19"/>
        <v>18.715359531291639</v>
      </c>
      <c r="O17">
        <f t="shared" si="19"/>
        <v>10.008705621383651</v>
      </c>
      <c r="P17">
        <f t="shared" si="19"/>
        <v>2.5556583006950051</v>
      </c>
      <c r="Q17">
        <f t="shared" si="19"/>
        <v>31.279723453370295</v>
      </c>
      <c r="R17">
        <f t="shared" si="30"/>
        <v>84.176816468708367</v>
      </c>
      <c r="S17">
        <f t="shared" si="31"/>
        <v>30.57136637861635</v>
      </c>
      <c r="T17">
        <f t="shared" si="32"/>
        <v>4.3205146993049945</v>
      </c>
      <c r="U17">
        <f t="shared" si="22"/>
        <v>119.06869754662971</v>
      </c>
      <c r="V17">
        <f t="shared" si="17"/>
        <v>7.0534003574144162E-3</v>
      </c>
      <c r="W17">
        <f t="shared" si="17"/>
        <v>1.1758511221970355E-2</v>
      </c>
      <c r="X17">
        <f t="shared" si="17"/>
        <v>3.7004681240195611E-2</v>
      </c>
      <c r="Y17">
        <f t="shared" si="8"/>
        <v>9.6931615463480766E-3</v>
      </c>
      <c r="Z17">
        <f t="shared" si="23"/>
        <v>0.51999999999999991</v>
      </c>
      <c r="AA17">
        <f t="shared" si="24"/>
        <v>0.3575000000000001</v>
      </c>
      <c r="AB17">
        <v>1</v>
      </c>
      <c r="AC17">
        <v>1</v>
      </c>
      <c r="AD17">
        <f t="shared" si="9"/>
        <v>61.915722724247438</v>
      </c>
      <c r="AE17">
        <f t="shared" si="10"/>
        <v>31.279723453370295</v>
      </c>
      <c r="AF17">
        <f t="shared" si="11"/>
        <v>18.055318495500003</v>
      </c>
      <c r="AG17">
        <f t="shared" si="25"/>
        <v>25.567232999999995</v>
      </c>
      <c r="AH17">
        <f t="shared" si="12"/>
        <v>50.7144136</v>
      </c>
      <c r="AI17">
        <f t="shared" si="26"/>
        <v>23.813739509325938</v>
      </c>
      <c r="AJ17">
        <f t="shared" si="27"/>
        <v>33.339235313056328</v>
      </c>
      <c r="AK17">
        <f t="shared" si="13"/>
        <v>57.152974822382269</v>
      </c>
      <c r="AL17">
        <f t="shared" si="14"/>
        <v>0</v>
      </c>
      <c r="AM17">
        <f t="shared" si="28"/>
        <v>22.726974329999997</v>
      </c>
      <c r="AN17">
        <f t="shared" si="29"/>
        <v>9.722094574499998</v>
      </c>
      <c r="AO17">
        <f t="shared" si="15"/>
        <v>32.449068904499995</v>
      </c>
      <c r="AP17">
        <f t="shared" si="16"/>
        <v>0</v>
      </c>
      <c r="AQ17">
        <v>0.4</v>
      </c>
      <c r="AR17">
        <v>0</v>
      </c>
    </row>
    <row r="18" spans="1:44" x14ac:dyDescent="0.2">
      <c r="A18">
        <v>2040</v>
      </c>
      <c r="B18">
        <v>128.28021200000001</v>
      </c>
      <c r="C18">
        <v>3.3219720000000001</v>
      </c>
      <c r="D18">
        <f t="shared" si="18"/>
        <v>45.934026999999993</v>
      </c>
      <c r="E18">
        <f t="shared" si="4"/>
        <v>18.373610799999998</v>
      </c>
      <c r="F18">
        <f t="shared" si="5"/>
        <v>27.560416199999995</v>
      </c>
      <c r="G18">
        <f t="shared" si="20"/>
        <v>82.34618500000002</v>
      </c>
      <c r="H18">
        <f t="shared" si="6"/>
        <v>32.938474000000006</v>
      </c>
      <c r="I18">
        <f t="shared" si="7"/>
        <v>49.407711000000013</v>
      </c>
      <c r="J18">
        <v>103.692392</v>
      </c>
      <c r="K18">
        <v>40.897655999999998</v>
      </c>
      <c r="L18">
        <v>6.8816290000000002</v>
      </c>
      <c r="M18">
        <v>151.471677</v>
      </c>
      <c r="N18">
        <f t="shared" si="19"/>
        <v>20.109308318658023</v>
      </c>
      <c r="O18">
        <f t="shared" si="19"/>
        <v>10.685763376017576</v>
      </c>
      <c r="P18">
        <f t="shared" si="19"/>
        <v>2.7209935699363665</v>
      </c>
      <c r="Q18">
        <f t="shared" si="19"/>
        <v>33.516065264611967</v>
      </c>
      <c r="R18">
        <f t="shared" si="30"/>
        <v>83.583083681341975</v>
      </c>
      <c r="S18">
        <f t="shared" si="31"/>
        <v>30.211892623982422</v>
      </c>
      <c r="T18">
        <f t="shared" si="32"/>
        <v>4.1606354300636337</v>
      </c>
      <c r="U18">
        <f t="shared" si="22"/>
        <v>117.95561173538803</v>
      </c>
      <c r="V18">
        <f t="shared" si="17"/>
        <v>7.0534003574144162E-3</v>
      </c>
      <c r="W18">
        <f t="shared" si="17"/>
        <v>1.1758511221970355E-2</v>
      </c>
      <c r="X18">
        <f t="shared" si="17"/>
        <v>3.7004681240195611E-2</v>
      </c>
      <c r="Y18">
        <f t="shared" si="8"/>
        <v>9.6845299295162945E-3</v>
      </c>
      <c r="Z18">
        <f t="shared" si="23"/>
        <v>0.55999999999999994</v>
      </c>
      <c r="AA18">
        <f t="shared" si="24"/>
        <v>0.38500000000000012</v>
      </c>
      <c r="AB18">
        <v>1</v>
      </c>
      <c r="AC18">
        <v>1</v>
      </c>
      <c r="AD18">
        <f t="shared" si="9"/>
        <v>66.055142571817285</v>
      </c>
      <c r="AE18">
        <f t="shared" si="10"/>
        <v>33.516065264611967</v>
      </c>
      <c r="AF18">
        <f t="shared" si="11"/>
        <v>19.021968735000012</v>
      </c>
      <c r="AG18">
        <f t="shared" si="25"/>
        <v>27.560416199999995</v>
      </c>
      <c r="AH18">
        <f t="shared" si="12"/>
        <v>51.312084800000008</v>
      </c>
      <c r="AI18">
        <f t="shared" si="26"/>
        <v>23.591122347077601</v>
      </c>
      <c r="AJ18">
        <f t="shared" si="27"/>
        <v>28.309346816493147</v>
      </c>
      <c r="AK18">
        <f t="shared" si="13"/>
        <v>51.900469163570747</v>
      </c>
      <c r="AL18">
        <f t="shared" si="14"/>
        <v>0</v>
      </c>
      <c r="AM18">
        <f t="shared" si="28"/>
        <v>22.233469950000003</v>
      </c>
      <c r="AN18">
        <f t="shared" si="29"/>
        <v>8.1522723149999976</v>
      </c>
      <c r="AO18">
        <f t="shared" si="15"/>
        <v>30.385742265000001</v>
      </c>
      <c r="AP18">
        <f t="shared" si="16"/>
        <v>0</v>
      </c>
      <c r="AQ18">
        <v>0.4</v>
      </c>
      <c r="AR18">
        <v>0</v>
      </c>
    </row>
    <row r="19" spans="1:44" x14ac:dyDescent="0.2">
      <c r="A19">
        <v>2041</v>
      </c>
      <c r="B19">
        <v>129.76083399999999</v>
      </c>
      <c r="C19">
        <v>3.3306</v>
      </c>
      <c r="D19">
        <f t="shared" si="18"/>
        <v>49.26462699999999</v>
      </c>
      <c r="E19">
        <f t="shared" si="4"/>
        <v>19.705850799999997</v>
      </c>
      <c r="F19">
        <f t="shared" si="5"/>
        <v>29.558776199999993</v>
      </c>
      <c r="G19">
        <f t="shared" si="20"/>
        <v>80.496206999999998</v>
      </c>
      <c r="H19">
        <f t="shared" si="6"/>
        <v>32.198482800000001</v>
      </c>
      <c r="I19">
        <f t="shared" si="7"/>
        <v>48.297724199999998</v>
      </c>
      <c r="J19">
        <v>104.460888</v>
      </c>
      <c r="K19">
        <v>41.193407999999998</v>
      </c>
      <c r="L19">
        <v>6.8880090000000003</v>
      </c>
      <c r="M19">
        <v>152.542305</v>
      </c>
      <c r="N19">
        <f t="shared" si="19"/>
        <v>21.467349270969805</v>
      </c>
      <c r="O19">
        <f t="shared" si="19"/>
        <v>11.336762254473637</v>
      </c>
      <c r="P19">
        <f t="shared" si="19"/>
        <v>2.8813365577825358</v>
      </c>
      <c r="Q19">
        <f t="shared" si="19"/>
        <v>35.685448083225978</v>
      </c>
      <c r="R19">
        <f t="shared" si="30"/>
        <v>82.993538729030192</v>
      </c>
      <c r="S19">
        <f t="shared" si="31"/>
        <v>29.856645745526361</v>
      </c>
      <c r="T19">
        <f t="shared" si="32"/>
        <v>4.0066724422174644</v>
      </c>
      <c r="U19">
        <f t="shared" si="22"/>
        <v>116.85685691677402</v>
      </c>
      <c r="V19">
        <f t="shared" si="17"/>
        <v>7.0534003574144162E-3</v>
      </c>
      <c r="W19">
        <f t="shared" si="17"/>
        <v>1.1758511221970355E-2</v>
      </c>
      <c r="X19">
        <f t="shared" si="17"/>
        <v>3.7004681240195611E-2</v>
      </c>
      <c r="Y19">
        <f t="shared" si="8"/>
        <v>9.6764382340940053E-3</v>
      </c>
      <c r="Z19">
        <f t="shared" si="23"/>
        <v>0.6</v>
      </c>
      <c r="AA19">
        <f t="shared" si="24"/>
        <v>0.41250000000000014</v>
      </c>
      <c r="AB19">
        <v>1</v>
      </c>
      <c r="AC19">
        <v>1</v>
      </c>
      <c r="AD19">
        <f t="shared" si="9"/>
        <v>70.11411415006441</v>
      </c>
      <c r="AE19">
        <f t="shared" si="10"/>
        <v>35.685448083225978</v>
      </c>
      <c r="AF19">
        <f t="shared" si="11"/>
        <v>19.922811232500006</v>
      </c>
      <c r="AG19">
        <f t="shared" si="25"/>
        <v>29.558776199999993</v>
      </c>
      <c r="AH19">
        <f t="shared" si="12"/>
        <v>51.904333600000001</v>
      </c>
      <c r="AI19">
        <f t="shared" si="26"/>
        <v>23.371371383354798</v>
      </c>
      <c r="AJ19">
        <f t="shared" si="27"/>
        <v>23.371371383354813</v>
      </c>
      <c r="AK19">
        <f t="shared" si="13"/>
        <v>46.742742766709611</v>
      </c>
      <c r="AL19">
        <f t="shared" si="14"/>
        <v>0</v>
      </c>
      <c r="AM19">
        <f t="shared" si="28"/>
        <v>21.733975889999996</v>
      </c>
      <c r="AN19">
        <f t="shared" si="29"/>
        <v>6.640937077499995</v>
      </c>
      <c r="AO19">
        <f t="shared" si="15"/>
        <v>28.374912967499991</v>
      </c>
      <c r="AP19">
        <f t="shared" si="16"/>
        <v>0</v>
      </c>
      <c r="AQ19">
        <v>0.4</v>
      </c>
      <c r="AR19">
        <v>0</v>
      </c>
    </row>
    <row r="20" spans="1:44" x14ac:dyDescent="0.2">
      <c r="A20">
        <v>2042</v>
      </c>
      <c r="B20">
        <v>131.231323</v>
      </c>
      <c r="C20">
        <v>3.3425159999999998</v>
      </c>
      <c r="D20">
        <f t="shared" si="18"/>
        <v>52.607142999999994</v>
      </c>
      <c r="E20">
        <f t="shared" si="4"/>
        <v>21.0428572</v>
      </c>
      <c r="F20">
        <f t="shared" si="5"/>
        <v>31.564285799999993</v>
      </c>
      <c r="G20">
        <f t="shared" si="20"/>
        <v>78.62418000000001</v>
      </c>
      <c r="H20">
        <f t="shared" si="6"/>
        <v>31.449672000000007</v>
      </c>
      <c r="I20">
        <f t="shared" si="7"/>
        <v>47.174508000000003</v>
      </c>
      <c r="J20">
        <v>105.20867200000001</v>
      </c>
      <c r="K20">
        <v>41.472396000000003</v>
      </c>
      <c r="L20">
        <v>6.8943719999999997</v>
      </c>
      <c r="M20">
        <v>153.57543999999999</v>
      </c>
      <c r="N20">
        <f t="shared" si="19"/>
        <v>22.80051992670424</v>
      </c>
      <c r="O20">
        <f t="shared" si="19"/>
        <v>11.966819958522809</v>
      </c>
      <c r="P20">
        <f t="shared" si="19"/>
        <v>3.0359651943406685</v>
      </c>
      <c r="Q20">
        <f t="shared" si="19"/>
        <v>37.803305079567693</v>
      </c>
      <c r="R20">
        <f t="shared" si="30"/>
        <v>82.408152073295767</v>
      </c>
      <c r="S20">
        <f t="shared" si="31"/>
        <v>29.505576041477195</v>
      </c>
      <c r="T20">
        <f t="shared" si="32"/>
        <v>3.8584068056593313</v>
      </c>
      <c r="U20">
        <f t="shared" si="22"/>
        <v>115.77213492043229</v>
      </c>
      <c r="V20">
        <f t="shared" ref="V20:X28" si="33">V19</f>
        <v>7.0534003574144162E-3</v>
      </c>
      <c r="W20">
        <f t="shared" si="33"/>
        <v>1.1758511221970355E-2</v>
      </c>
      <c r="X20">
        <f t="shared" si="33"/>
        <v>3.7004681240195611E-2</v>
      </c>
      <c r="Y20">
        <f t="shared" si="8"/>
        <v>9.6685808399261282E-3</v>
      </c>
      <c r="Z20">
        <f t="shared" si="23"/>
        <v>0.64</v>
      </c>
      <c r="AA20">
        <f t="shared" si="24"/>
        <v>0.44000000000000017</v>
      </c>
      <c r="AB20">
        <v>1</v>
      </c>
      <c r="AC20">
        <v>1</v>
      </c>
      <c r="AD20">
        <f t="shared" si="9"/>
        <v>74.094166349076673</v>
      </c>
      <c r="AE20">
        <f t="shared" si="10"/>
        <v>37.803305079567693</v>
      </c>
      <c r="AF20">
        <f t="shared" si="11"/>
        <v>20.75678352000001</v>
      </c>
      <c r="AG20">
        <f t="shared" si="25"/>
        <v>31.564285799999993</v>
      </c>
      <c r="AH20">
        <f t="shared" si="12"/>
        <v>52.492529200000007</v>
      </c>
      <c r="AI20">
        <f t="shared" si="26"/>
        <v>23.154426984086452</v>
      </c>
      <c r="AJ20">
        <f t="shared" si="27"/>
        <v>18.523541587269165</v>
      </c>
      <c r="AK20">
        <f t="shared" si="13"/>
        <v>41.67796857135562</v>
      </c>
      <c r="AL20">
        <f t="shared" si="14"/>
        <v>0</v>
      </c>
      <c r="AM20">
        <f t="shared" si="28"/>
        <v>21.228528600000001</v>
      </c>
      <c r="AN20">
        <f t="shared" si="29"/>
        <v>5.1891958799999927</v>
      </c>
      <c r="AO20">
        <f t="shared" si="15"/>
        <v>26.417724479999993</v>
      </c>
      <c r="AP20">
        <f t="shared" si="16"/>
        <v>0</v>
      </c>
      <c r="AQ20">
        <v>0.4</v>
      </c>
      <c r="AR20">
        <v>0</v>
      </c>
    </row>
    <row r="21" spans="1:44" x14ac:dyDescent="0.2">
      <c r="A21">
        <v>2043</v>
      </c>
      <c r="B21">
        <v>132.69490099999999</v>
      </c>
      <c r="C21">
        <v>3.3574739999999998</v>
      </c>
      <c r="D21">
        <f t="shared" si="18"/>
        <v>55.96461699999999</v>
      </c>
      <c r="E21">
        <f t="shared" si="4"/>
        <v>22.385846799999996</v>
      </c>
      <c r="F21">
        <f t="shared" si="5"/>
        <v>33.578770199999994</v>
      </c>
      <c r="G21">
        <f t="shared" si="20"/>
        <v>76.730283999999997</v>
      </c>
      <c r="H21">
        <f t="shared" si="6"/>
        <v>30.692113599999999</v>
      </c>
      <c r="I21">
        <f t="shared" si="7"/>
        <v>46.038170399999998</v>
      </c>
      <c r="J21">
        <v>105.923744</v>
      </c>
      <c r="K21">
        <v>41.742612000000001</v>
      </c>
      <c r="L21">
        <v>6.8997310000000001</v>
      </c>
      <c r="M21">
        <v>154.56608700000001</v>
      </c>
      <c r="N21">
        <f t="shared" si="19"/>
        <v>24.096849615991871</v>
      </c>
      <c r="O21">
        <f t="shared" si="19"/>
        <v>12.583977605517216</v>
      </c>
      <c r="P21">
        <f t="shared" si="19"/>
        <v>3.1841033082790937</v>
      </c>
      <c r="Q21">
        <f t="shared" si="19"/>
        <v>39.864930529788182</v>
      </c>
      <c r="R21">
        <f t="shared" si="30"/>
        <v>81.826894384008128</v>
      </c>
      <c r="S21">
        <f t="shared" si="31"/>
        <v>29.158634394482785</v>
      </c>
      <c r="T21">
        <f t="shared" si="32"/>
        <v>3.7156276917209063</v>
      </c>
      <c r="U21">
        <f t="shared" si="22"/>
        <v>114.70115647021183</v>
      </c>
      <c r="V21">
        <f t="shared" si="33"/>
        <v>7.0534003574144162E-3</v>
      </c>
      <c r="W21">
        <f t="shared" si="33"/>
        <v>1.1758511221970355E-2</v>
      </c>
      <c r="X21">
        <f t="shared" si="33"/>
        <v>3.7004681240195611E-2</v>
      </c>
      <c r="Y21">
        <f t="shared" si="8"/>
        <v>9.6610836225848387E-3</v>
      </c>
      <c r="Z21">
        <f t="shared" si="23"/>
        <v>0.68</v>
      </c>
      <c r="AA21">
        <f t="shared" si="24"/>
        <v>0.46750000000000019</v>
      </c>
      <c r="AB21">
        <v>1</v>
      </c>
      <c r="AC21">
        <v>1</v>
      </c>
      <c r="AD21">
        <f t="shared" si="9"/>
        <v>77.996786399744053</v>
      </c>
      <c r="AE21">
        <f t="shared" si="10"/>
        <v>39.864930529788182</v>
      </c>
      <c r="AF21">
        <f t="shared" si="11"/>
        <v>21.522844662000008</v>
      </c>
      <c r="AG21">
        <f t="shared" si="25"/>
        <v>33.578770199999994</v>
      </c>
      <c r="AH21">
        <f t="shared" si="12"/>
        <v>53.077960399999995</v>
      </c>
      <c r="AI21">
        <f t="shared" si="26"/>
        <v>22.940231294042359</v>
      </c>
      <c r="AJ21">
        <f t="shared" si="27"/>
        <v>13.764138776425412</v>
      </c>
      <c r="AK21">
        <f t="shared" si="13"/>
        <v>36.704370070467775</v>
      </c>
      <c r="AL21">
        <f t="shared" si="14"/>
        <v>0</v>
      </c>
      <c r="AM21">
        <f t="shared" si="28"/>
        <v>20.717176679999998</v>
      </c>
      <c r="AN21">
        <f t="shared" si="29"/>
        <v>3.7981490579999928</v>
      </c>
      <c r="AO21">
        <f t="shared" si="15"/>
        <v>24.515325737999991</v>
      </c>
      <c r="AP21">
        <f t="shared" si="16"/>
        <v>0</v>
      </c>
      <c r="AQ21">
        <v>0.4</v>
      </c>
      <c r="AR21">
        <v>0</v>
      </c>
    </row>
    <row r="22" spans="1:44" x14ac:dyDescent="0.2">
      <c r="A22">
        <v>2044</v>
      </c>
      <c r="B22">
        <v>134.15536499999999</v>
      </c>
      <c r="C22">
        <v>3.3761589999999999</v>
      </c>
      <c r="D22">
        <f t="shared" si="18"/>
        <v>59.340775999999991</v>
      </c>
      <c r="E22">
        <f t="shared" si="4"/>
        <v>23.736310399999997</v>
      </c>
      <c r="F22">
        <f t="shared" si="5"/>
        <v>35.60446559999999</v>
      </c>
      <c r="G22">
        <f t="shared" si="20"/>
        <v>74.814588999999998</v>
      </c>
      <c r="H22">
        <f t="shared" si="6"/>
        <v>29.925835599999999</v>
      </c>
      <c r="I22">
        <f t="shared" si="7"/>
        <v>44.888753399999999</v>
      </c>
      <c r="J22">
        <v>106.61773599999999</v>
      </c>
      <c r="K22">
        <v>42.013559999999998</v>
      </c>
      <c r="L22">
        <v>6.9049379999999996</v>
      </c>
      <c r="M22">
        <v>155.53623400000001</v>
      </c>
      <c r="N22">
        <f t="shared" si="19"/>
        <v>25.367999462086146</v>
      </c>
      <c r="O22">
        <f t="shared" si="19"/>
        <v>13.197787735262068</v>
      </c>
      <c r="P22">
        <f t="shared" si="19"/>
        <v>3.3268059266184693</v>
      </c>
      <c r="Q22">
        <f t="shared" si="19"/>
        <v>41.892593123966705</v>
      </c>
      <c r="R22">
        <f t="shared" si="30"/>
        <v>81.249736537913847</v>
      </c>
      <c r="S22">
        <f t="shared" si="31"/>
        <v>28.81577226473793</v>
      </c>
      <c r="T22">
        <f t="shared" si="32"/>
        <v>3.5781320733815303</v>
      </c>
      <c r="U22">
        <f t="shared" si="22"/>
        <v>113.6436408760333</v>
      </c>
      <c r="V22">
        <f t="shared" si="33"/>
        <v>7.0534003574144162E-3</v>
      </c>
      <c r="W22">
        <f t="shared" si="33"/>
        <v>1.1758511221970355E-2</v>
      </c>
      <c r="X22">
        <f t="shared" si="33"/>
        <v>3.7004681240195611E-2</v>
      </c>
      <c r="Y22">
        <f t="shared" si="8"/>
        <v>9.6540174916241988E-3</v>
      </c>
      <c r="Z22">
        <f t="shared" si="23"/>
        <v>0.72000000000000008</v>
      </c>
      <c r="AA22">
        <f t="shared" si="24"/>
        <v>0.49500000000000022</v>
      </c>
      <c r="AB22">
        <v>1</v>
      </c>
      <c r="AC22">
        <v>1</v>
      </c>
      <c r="AD22">
        <f t="shared" si="9"/>
        <v>81.823421430743991</v>
      </c>
      <c r="AE22">
        <f t="shared" si="10"/>
        <v>41.892593123966705</v>
      </c>
      <c r="AF22">
        <f t="shared" si="11"/>
        <v>22.21993293300001</v>
      </c>
      <c r="AG22">
        <f t="shared" si="25"/>
        <v>35.60446559999999</v>
      </c>
      <c r="AH22">
        <f t="shared" si="12"/>
        <v>53.662145999999993</v>
      </c>
      <c r="AI22">
        <f t="shared" si="26"/>
        <v>22.728728175206655</v>
      </c>
      <c r="AJ22">
        <f t="shared" si="27"/>
        <v>9.0914912700826562</v>
      </c>
      <c r="AK22">
        <f t="shared" si="13"/>
        <v>31.820219445289311</v>
      </c>
      <c r="AL22">
        <f t="shared" si="14"/>
        <v>0</v>
      </c>
      <c r="AM22">
        <f t="shared" si="28"/>
        <v>20.199939029999996</v>
      </c>
      <c r="AN22">
        <f t="shared" si="29"/>
        <v>2.4688814369999932</v>
      </c>
      <c r="AO22">
        <f t="shared" si="15"/>
        <v>22.668820466999989</v>
      </c>
      <c r="AP22">
        <f t="shared" si="16"/>
        <v>0</v>
      </c>
      <c r="AQ22">
        <v>0.4</v>
      </c>
      <c r="AR22">
        <v>0</v>
      </c>
    </row>
    <row r="23" spans="1:44" x14ac:dyDescent="0.2">
      <c r="A23">
        <v>2045</v>
      </c>
      <c r="B23">
        <v>135.616333</v>
      </c>
      <c r="C23">
        <v>3.3983430000000001</v>
      </c>
      <c r="D23">
        <f t="shared" si="18"/>
        <v>62.739118999999988</v>
      </c>
      <c r="E23">
        <f t="shared" si="4"/>
        <v>25.095647599999996</v>
      </c>
      <c r="F23">
        <f t="shared" si="5"/>
        <v>37.643471399999989</v>
      </c>
      <c r="G23">
        <f t="shared" si="20"/>
        <v>72.877214000000009</v>
      </c>
      <c r="H23">
        <f t="shared" si="6"/>
        <v>29.150885600000006</v>
      </c>
      <c r="I23">
        <f t="shared" si="7"/>
        <v>43.726328400000007</v>
      </c>
      <c r="J23">
        <v>107.31068</v>
      </c>
      <c r="K23">
        <v>42.284568</v>
      </c>
      <c r="L23">
        <v>6.9104179999999999</v>
      </c>
      <c r="M23">
        <v>156.50566499999999</v>
      </c>
      <c r="N23">
        <f t="shared" si="19"/>
        <v>26.634030382822502</v>
      </c>
      <c r="O23">
        <f t="shared" si="19"/>
        <v>13.807626316806733</v>
      </c>
      <c r="P23">
        <f t="shared" si="19"/>
        <v>3.4646935634292735</v>
      </c>
      <c r="Q23">
        <f t="shared" si="19"/>
        <v>43.906349263058488</v>
      </c>
      <c r="R23">
        <f t="shared" si="30"/>
        <v>80.676649617177503</v>
      </c>
      <c r="S23">
        <f t="shared" si="31"/>
        <v>28.476941683193267</v>
      </c>
      <c r="T23">
        <f t="shared" si="32"/>
        <v>3.4457244365707265</v>
      </c>
      <c r="U23">
        <f t="shared" si="22"/>
        <v>112.59931573694151</v>
      </c>
      <c r="V23">
        <f t="shared" si="33"/>
        <v>7.0534003574144162E-3</v>
      </c>
      <c r="W23">
        <f t="shared" si="33"/>
        <v>1.1758511221970355E-2</v>
      </c>
      <c r="X23">
        <f t="shared" si="33"/>
        <v>3.7004681240195611E-2</v>
      </c>
      <c r="Y23">
        <f t="shared" si="8"/>
        <v>9.6471049232439137E-3</v>
      </c>
      <c r="Z23">
        <f t="shared" si="23"/>
        <v>0.76000000000000012</v>
      </c>
      <c r="AA23">
        <f t="shared" si="24"/>
        <v>0.52250000000000019</v>
      </c>
      <c r="AB23">
        <v>1</v>
      </c>
      <c r="AC23">
        <v>1</v>
      </c>
      <c r="AD23">
        <f t="shared" si="9"/>
        <v>85.575479960075555</v>
      </c>
      <c r="AE23">
        <f t="shared" si="10"/>
        <v>43.906349263058488</v>
      </c>
      <c r="AF23">
        <f t="shared" si="11"/>
        <v>22.847006589000014</v>
      </c>
      <c r="AG23">
        <f t="shared" si="25"/>
        <v>37.643471399999989</v>
      </c>
      <c r="AH23">
        <f t="shared" si="12"/>
        <v>54.246533200000002</v>
      </c>
      <c r="AI23">
        <f t="shared" si="26"/>
        <v>22.519863147388296</v>
      </c>
      <c r="AJ23">
        <f t="shared" si="27"/>
        <v>4.5039726294776585</v>
      </c>
      <c r="AK23">
        <f t="shared" si="13"/>
        <v>27.023835776865951</v>
      </c>
      <c r="AL23">
        <f t="shared" si="14"/>
        <v>0</v>
      </c>
      <c r="AM23">
        <f t="shared" si="28"/>
        <v>19.676847780000003</v>
      </c>
      <c r="AN23">
        <f t="shared" si="29"/>
        <v>1.2024740309999906</v>
      </c>
      <c r="AO23">
        <f t="shared" si="15"/>
        <v>20.879321810999993</v>
      </c>
      <c r="AP23">
        <f t="shared" si="16"/>
        <v>0</v>
      </c>
      <c r="AQ23">
        <v>0.4</v>
      </c>
      <c r="AR23">
        <v>0</v>
      </c>
    </row>
    <row r="24" spans="1:44" x14ac:dyDescent="0.2">
      <c r="A24">
        <v>2046</v>
      </c>
      <c r="B24">
        <v>137.08107000000001</v>
      </c>
      <c r="C24">
        <v>3.4237730000000002</v>
      </c>
      <c r="D24">
        <f t="shared" si="18"/>
        <v>66.162891999999985</v>
      </c>
      <c r="E24">
        <f t="shared" si="4"/>
        <v>26.465156799999995</v>
      </c>
      <c r="F24">
        <f t="shared" si="5"/>
        <v>39.69773519999999</v>
      </c>
      <c r="G24">
        <f t="shared" si="20"/>
        <v>70.918178000000026</v>
      </c>
      <c r="H24">
        <f t="shared" si="6"/>
        <v>28.367271200000012</v>
      </c>
      <c r="I24">
        <f t="shared" si="7"/>
        <v>42.550906800000014</v>
      </c>
      <c r="J24">
        <v>107.999864</v>
      </c>
      <c r="K24">
        <v>42.555123999999999</v>
      </c>
      <c r="L24">
        <v>6.9140819999999996</v>
      </c>
      <c r="M24">
        <v>157.46906999999999</v>
      </c>
      <c r="N24">
        <f t="shared" si="19"/>
        <v>27.892259092067292</v>
      </c>
      <c r="O24">
        <f t="shared" si="19"/>
        <v>14.413028755155956</v>
      </c>
      <c r="P24">
        <f t="shared" si="19"/>
        <v>3.5958654978461255</v>
      </c>
      <c r="Q24">
        <f t="shared" si="19"/>
        <v>45.901153345069361</v>
      </c>
      <c r="R24">
        <f t="shared" si="30"/>
        <v>80.107604907932711</v>
      </c>
      <c r="S24">
        <f t="shared" si="31"/>
        <v>28.142095244844043</v>
      </c>
      <c r="T24">
        <f t="shared" si="32"/>
        <v>3.3182165021538741</v>
      </c>
      <c r="U24">
        <f t="shared" si="22"/>
        <v>111.56791665493063</v>
      </c>
      <c r="V24">
        <f t="shared" si="33"/>
        <v>7.0534003574144162E-3</v>
      </c>
      <c r="W24">
        <f t="shared" si="33"/>
        <v>1.1758511221970355E-2</v>
      </c>
      <c r="X24">
        <f t="shared" si="33"/>
        <v>3.7004681240195611E-2</v>
      </c>
      <c r="Y24">
        <f t="shared" si="8"/>
        <v>9.6400174518286204E-3</v>
      </c>
      <c r="Z24">
        <f t="shared" si="23"/>
        <v>0.8</v>
      </c>
      <c r="AA24">
        <f t="shared" si="24"/>
        <v>0.55000000000000004</v>
      </c>
      <c r="AB24">
        <v>1</v>
      </c>
      <c r="AC24">
        <v>1</v>
      </c>
      <c r="AD24">
        <f t="shared" si="9"/>
        <v>89.254333323944508</v>
      </c>
      <c r="AE24">
        <f t="shared" si="10"/>
        <v>45.901153345069361</v>
      </c>
      <c r="AF24">
        <f t="shared" si="11"/>
        <v>23.402998740000008</v>
      </c>
      <c r="AG24">
        <f t="shared" si="25"/>
        <v>39.69773519999999</v>
      </c>
      <c r="AH24">
        <f t="shared" si="12"/>
        <v>54.832428000000007</v>
      </c>
      <c r="AI24">
        <f t="shared" si="26"/>
        <v>22.31358333098612</v>
      </c>
      <c r="AJ24">
        <f t="shared" si="27"/>
        <v>0</v>
      </c>
      <c r="AK24">
        <f t="shared" si="13"/>
        <v>22.31358333098612</v>
      </c>
      <c r="AL24">
        <f t="shared" si="14"/>
        <v>0</v>
      </c>
      <c r="AM24">
        <f t="shared" si="28"/>
        <v>19.147908060000006</v>
      </c>
      <c r="AN24">
        <f t="shared" si="29"/>
        <v>0</v>
      </c>
      <c r="AO24">
        <f t="shared" si="15"/>
        <v>19.147908060000006</v>
      </c>
      <c r="AP24">
        <f t="shared" si="16"/>
        <v>0</v>
      </c>
      <c r="AQ24">
        <v>0.4</v>
      </c>
      <c r="AR24">
        <v>0</v>
      </c>
    </row>
    <row r="25" spans="1:44" x14ac:dyDescent="0.2">
      <c r="A25">
        <v>2047</v>
      </c>
      <c r="B25">
        <v>138.55230700000001</v>
      </c>
      <c r="C25">
        <v>3.4518680000000002</v>
      </c>
      <c r="D25">
        <f t="shared" si="18"/>
        <v>69.61475999999999</v>
      </c>
      <c r="E25">
        <f t="shared" si="4"/>
        <v>27.845903999999997</v>
      </c>
      <c r="F25">
        <f t="shared" si="5"/>
        <v>41.768855999999992</v>
      </c>
      <c r="G25">
        <f t="shared" si="20"/>
        <v>68.937547000000023</v>
      </c>
      <c r="H25">
        <f t="shared" si="6"/>
        <v>27.575018800000009</v>
      </c>
      <c r="I25">
        <f t="shared" si="7"/>
        <v>41.362528200000014</v>
      </c>
      <c r="J25">
        <v>108.685976</v>
      </c>
      <c r="K25">
        <v>42.823943999999997</v>
      </c>
      <c r="L25">
        <v>6.9172450000000003</v>
      </c>
      <c r="M25">
        <v>158.427165</v>
      </c>
      <c r="N25">
        <f t="shared" si="19"/>
        <v>29.143402101156511</v>
      </c>
      <c r="O25">
        <f t="shared" si="19"/>
        <v>15.012757897902212</v>
      </c>
      <c r="P25">
        <f t="shared" si="19"/>
        <v>3.7218180417942874</v>
      </c>
      <c r="Q25">
        <f t="shared" si="19"/>
        <v>47.877978040853023</v>
      </c>
      <c r="R25">
        <f t="shared" si="30"/>
        <v>79.542573898843486</v>
      </c>
      <c r="S25">
        <f t="shared" si="31"/>
        <v>27.811186102097786</v>
      </c>
      <c r="T25">
        <f t="shared" si="32"/>
        <v>3.1954269582057129</v>
      </c>
      <c r="U25">
        <f t="shared" si="22"/>
        <v>110.54918695914698</v>
      </c>
      <c r="V25">
        <f t="shared" si="33"/>
        <v>7.0534003574144162E-3</v>
      </c>
      <c r="W25">
        <f t="shared" si="33"/>
        <v>1.1758511221970355E-2</v>
      </c>
      <c r="X25">
        <f t="shared" si="33"/>
        <v>3.7004681240195611E-2</v>
      </c>
      <c r="Y25">
        <f t="shared" si="8"/>
        <v>9.6329564083451318E-3</v>
      </c>
      <c r="Z25">
        <f t="shared" si="23"/>
        <v>0.8</v>
      </c>
      <c r="AA25">
        <f t="shared" si="24"/>
        <v>0.55000000000000004</v>
      </c>
      <c r="AB25">
        <v>1</v>
      </c>
      <c r="AC25">
        <v>1</v>
      </c>
      <c r="AD25">
        <f t="shared" si="9"/>
        <v>88.439349567317592</v>
      </c>
      <c r="AE25">
        <f t="shared" si="10"/>
        <v>47.877978040853023</v>
      </c>
      <c r="AF25">
        <f t="shared" si="11"/>
        <v>22.749390510000008</v>
      </c>
      <c r="AG25">
        <f t="shared" si="25"/>
        <v>41.768855999999992</v>
      </c>
      <c r="AH25">
        <f t="shared" si="12"/>
        <v>55.420922800000007</v>
      </c>
      <c r="AI25">
        <f t="shared" si="26"/>
        <v>22.109837391829391</v>
      </c>
      <c r="AJ25">
        <f t="shared" si="27"/>
        <v>0</v>
      </c>
      <c r="AK25">
        <f t="shared" si="13"/>
        <v>22.109837391829387</v>
      </c>
      <c r="AL25">
        <f t="shared" si="14"/>
        <v>0</v>
      </c>
      <c r="AM25">
        <f t="shared" si="28"/>
        <v>18.613137690000006</v>
      </c>
      <c r="AN25">
        <f t="shared" si="29"/>
        <v>0</v>
      </c>
      <c r="AO25">
        <f t="shared" si="15"/>
        <v>18.613137690000006</v>
      </c>
      <c r="AP25">
        <f t="shared" si="16"/>
        <v>0</v>
      </c>
      <c r="AQ25">
        <v>0.4</v>
      </c>
      <c r="AR25">
        <v>0</v>
      </c>
    </row>
    <row r="26" spans="1:44" x14ac:dyDescent="0.2">
      <c r="A26">
        <v>2048</v>
      </c>
      <c r="B26">
        <v>140.03160099999999</v>
      </c>
      <c r="C26">
        <v>3.4815589999999998</v>
      </c>
      <c r="D26">
        <f t="shared" si="18"/>
        <v>73.096318999999994</v>
      </c>
      <c r="E26">
        <f t="shared" si="4"/>
        <v>29.238527599999998</v>
      </c>
      <c r="F26">
        <f t="shared" si="5"/>
        <v>43.857791399999996</v>
      </c>
      <c r="G26">
        <f t="shared" si="20"/>
        <v>66.935282000000001</v>
      </c>
      <c r="H26">
        <f t="shared" si="6"/>
        <v>26.774112800000001</v>
      </c>
      <c r="I26">
        <f t="shared" si="7"/>
        <v>40.161169199999996</v>
      </c>
      <c r="J26">
        <v>109.369896</v>
      </c>
      <c r="K26">
        <v>43.093595999999998</v>
      </c>
      <c r="L26">
        <v>6.920223</v>
      </c>
      <c r="M26">
        <v>159.383715</v>
      </c>
      <c r="N26">
        <f t="shared" si="19"/>
        <v>30.388367720324283</v>
      </c>
      <c r="O26">
        <f t="shared" si="19"/>
        <v>15.609428041780035</v>
      </c>
      <c r="P26">
        <f t="shared" si="19"/>
        <v>3.8430417978090174</v>
      </c>
      <c r="Q26">
        <f t="shared" si="19"/>
        <v>49.840837559913325</v>
      </c>
      <c r="R26">
        <f t="shared" si="30"/>
        <v>78.981528279675715</v>
      </c>
      <c r="S26">
        <f t="shared" si="31"/>
        <v>27.484167958219963</v>
      </c>
      <c r="T26">
        <f t="shared" si="32"/>
        <v>3.0771812021909826</v>
      </c>
      <c r="U26">
        <f t="shared" si="22"/>
        <v>109.54287744008667</v>
      </c>
      <c r="V26">
        <f t="shared" si="33"/>
        <v>7.0534003574144162E-3</v>
      </c>
      <c r="W26">
        <f t="shared" si="33"/>
        <v>1.1758511221970355E-2</v>
      </c>
      <c r="X26">
        <f t="shared" si="33"/>
        <v>3.7004681240195611E-2</v>
      </c>
      <c r="Y26">
        <f t="shared" si="8"/>
        <v>9.625994989035767E-3</v>
      </c>
      <c r="Z26">
        <f t="shared" si="23"/>
        <v>0.8</v>
      </c>
      <c r="AA26">
        <f t="shared" si="24"/>
        <v>0.55000000000000004</v>
      </c>
      <c r="AB26">
        <v>1</v>
      </c>
      <c r="AC26">
        <v>1</v>
      </c>
      <c r="AD26">
        <f t="shared" si="9"/>
        <v>87.634301952069336</v>
      </c>
      <c r="AE26">
        <f t="shared" si="10"/>
        <v>49.840837559913325</v>
      </c>
      <c r="AF26">
        <f t="shared" si="11"/>
        <v>22.088643059999999</v>
      </c>
      <c r="AG26">
        <f t="shared" si="25"/>
        <v>43.857791399999996</v>
      </c>
      <c r="AH26">
        <f t="shared" si="12"/>
        <v>56.012640399999995</v>
      </c>
      <c r="AI26">
        <f t="shared" si="26"/>
        <v>21.90857548801733</v>
      </c>
      <c r="AJ26">
        <f t="shared" si="27"/>
        <v>0</v>
      </c>
      <c r="AK26">
        <f t="shared" si="13"/>
        <v>21.908575488017334</v>
      </c>
      <c r="AL26">
        <f t="shared" si="14"/>
        <v>0</v>
      </c>
      <c r="AM26">
        <f t="shared" si="28"/>
        <v>18.072526139999997</v>
      </c>
      <c r="AN26">
        <f t="shared" si="29"/>
        <v>0</v>
      </c>
      <c r="AO26">
        <f t="shared" si="15"/>
        <v>18.072526139999997</v>
      </c>
      <c r="AP26">
        <f t="shared" si="16"/>
        <v>0</v>
      </c>
      <c r="AQ26">
        <v>0.4</v>
      </c>
      <c r="AR26">
        <v>0</v>
      </c>
    </row>
    <row r="27" spans="1:44" x14ac:dyDescent="0.2">
      <c r="A27">
        <v>2049</v>
      </c>
      <c r="B27">
        <v>141.51960800000001</v>
      </c>
      <c r="C27">
        <v>3.5119199999999999</v>
      </c>
      <c r="D27">
        <f t="shared" si="18"/>
        <v>76.608238999999998</v>
      </c>
      <c r="E27">
        <f t="shared" si="4"/>
        <v>30.643295600000002</v>
      </c>
      <c r="F27">
        <f t="shared" si="5"/>
        <v>45.964943399999996</v>
      </c>
      <c r="G27">
        <f t="shared" si="20"/>
        <v>64.911369000000008</v>
      </c>
      <c r="H27">
        <f t="shared" si="6"/>
        <v>25.964547600000003</v>
      </c>
      <c r="I27">
        <f t="shared" si="7"/>
        <v>38.946821400000005</v>
      </c>
      <c r="J27">
        <v>110.05512</v>
      </c>
      <c r="K27">
        <v>43.365544</v>
      </c>
      <c r="L27">
        <v>6.9254249999999997</v>
      </c>
      <c r="M27">
        <v>160.34608900000001</v>
      </c>
      <c r="N27">
        <f t="shared" si="19"/>
        <v>31.630680060121293</v>
      </c>
      <c r="O27">
        <f t="shared" si="19"/>
        <v>16.204548939143283</v>
      </c>
      <c r="P27">
        <f t="shared" si="19"/>
        <v>3.9621139073144165</v>
      </c>
      <c r="Q27">
        <f t="shared" si="19"/>
        <v>51.79734290657899</v>
      </c>
      <c r="R27">
        <f t="shared" si="30"/>
        <v>78.42443993987871</v>
      </c>
      <c r="S27">
        <f t="shared" si="31"/>
        <v>27.160995060856717</v>
      </c>
      <c r="T27">
        <f t="shared" si="32"/>
        <v>2.9633110926855832</v>
      </c>
      <c r="U27">
        <f t="shared" si="22"/>
        <v>108.54874609342102</v>
      </c>
      <c r="V27">
        <f t="shared" si="33"/>
        <v>7.0534003574144162E-3</v>
      </c>
      <c r="W27">
        <f t="shared" si="33"/>
        <v>1.1758511221970355E-2</v>
      </c>
      <c r="X27">
        <f t="shared" si="33"/>
        <v>3.7004681240195611E-2</v>
      </c>
      <c r="Y27">
        <f t="shared" si="8"/>
        <v>9.6195062362388964E-3</v>
      </c>
      <c r="Z27">
        <f t="shared" si="23"/>
        <v>0.8</v>
      </c>
      <c r="AA27">
        <f t="shared" si="24"/>
        <v>0.55000000000000004</v>
      </c>
      <c r="AB27">
        <v>1</v>
      </c>
      <c r="AC27">
        <v>1</v>
      </c>
      <c r="AD27">
        <f t="shared" si="9"/>
        <v>86.838996874736821</v>
      </c>
      <c r="AE27">
        <f t="shared" si="10"/>
        <v>51.79734290657899</v>
      </c>
      <c r="AF27">
        <f t="shared" si="11"/>
        <v>21.420751770000003</v>
      </c>
      <c r="AG27">
        <f t="shared" si="25"/>
        <v>45.964943399999996</v>
      </c>
      <c r="AH27">
        <f t="shared" si="12"/>
        <v>56.607843200000005</v>
      </c>
      <c r="AI27">
        <f t="shared" si="26"/>
        <v>21.709749218684198</v>
      </c>
      <c r="AJ27">
        <f t="shared" si="27"/>
        <v>0</v>
      </c>
      <c r="AK27">
        <f t="shared" si="13"/>
        <v>21.709749218684195</v>
      </c>
      <c r="AL27">
        <f t="shared" si="14"/>
        <v>0</v>
      </c>
      <c r="AM27">
        <f t="shared" si="28"/>
        <v>17.526069630000002</v>
      </c>
      <c r="AN27">
        <f t="shared" si="29"/>
        <v>0</v>
      </c>
      <c r="AO27">
        <f t="shared" si="15"/>
        <v>17.526069630000002</v>
      </c>
      <c r="AP27">
        <f t="shared" si="16"/>
        <v>0</v>
      </c>
      <c r="AQ27">
        <v>0.4</v>
      </c>
      <c r="AR27">
        <v>0</v>
      </c>
    </row>
    <row r="28" spans="1:44" x14ac:dyDescent="0.2">
      <c r="A28">
        <v>2050</v>
      </c>
      <c r="B28">
        <v>143.01623499999999</v>
      </c>
      <c r="C28">
        <v>3.542278</v>
      </c>
      <c r="D28">
        <f t="shared" si="18"/>
        <v>80.150516999999994</v>
      </c>
      <c r="E28">
        <f t="shared" si="4"/>
        <v>32.060206799999996</v>
      </c>
      <c r="F28">
        <f t="shared" si="5"/>
        <v>48.090310199999998</v>
      </c>
      <c r="G28">
        <f t="shared" si="20"/>
        <v>62.865718000000001</v>
      </c>
      <c r="H28">
        <f t="shared" si="6"/>
        <v>25.146287200000003</v>
      </c>
      <c r="I28">
        <f t="shared" si="7"/>
        <v>37.719430799999998</v>
      </c>
      <c r="J28">
        <v>110.741344</v>
      </c>
      <c r="K28">
        <v>43.639676000000001</v>
      </c>
      <c r="L28">
        <v>6.9324709999999996</v>
      </c>
      <c r="M28">
        <v>161.313491</v>
      </c>
      <c r="N28">
        <f t="shared" si="19"/>
        <v>32.870063032823253</v>
      </c>
      <c r="O28">
        <f t="shared" si="19"/>
        <v>16.798053804366251</v>
      </c>
      <c r="P28">
        <f t="shared" si="19"/>
        <v>4.0788162897147817</v>
      </c>
      <c r="Q28">
        <f t="shared" si="19"/>
        <v>53.746933126904295</v>
      </c>
      <c r="R28">
        <f t="shared" si="30"/>
        <v>77.871280967176745</v>
      </c>
      <c r="S28">
        <f t="shared" si="31"/>
        <v>26.84162219563375</v>
      </c>
      <c r="T28">
        <f t="shared" si="32"/>
        <v>2.8536547102852174</v>
      </c>
      <c r="U28">
        <f t="shared" si="22"/>
        <v>107.5665578730957</v>
      </c>
      <c r="V28">
        <f t="shared" si="33"/>
        <v>7.0534003574144162E-3</v>
      </c>
      <c r="W28">
        <f t="shared" si="33"/>
        <v>1.1758511221970355E-2</v>
      </c>
      <c r="X28">
        <f t="shared" si="33"/>
        <v>3.7004681240195611E-2</v>
      </c>
      <c r="Y28">
        <f t="shared" si="8"/>
        <v>9.6134212040653397E-3</v>
      </c>
      <c r="Z28">
        <v>0.8</v>
      </c>
      <c r="AA28">
        <v>0.55000000000000004</v>
      </c>
      <c r="AB28">
        <v>1</v>
      </c>
      <c r="AC28">
        <v>1</v>
      </c>
      <c r="AD28">
        <f t="shared" si="9"/>
        <v>86.053246298476566</v>
      </c>
      <c r="AE28">
        <f t="shared" si="10"/>
        <v>53.746933126904295</v>
      </c>
      <c r="AF28">
        <f t="shared" si="11"/>
        <v>20.745686939999999</v>
      </c>
      <c r="AG28">
        <f t="shared" si="25"/>
        <v>48.090310199999998</v>
      </c>
      <c r="AH28">
        <f>H28+E28</f>
        <v>57.206493999999999</v>
      </c>
      <c r="AI28">
        <f t="shared" si="26"/>
        <v>21.513311574619134</v>
      </c>
      <c r="AJ28">
        <f t="shared" si="27"/>
        <v>0</v>
      </c>
      <c r="AK28">
        <f t="shared" si="13"/>
        <v>21.513311574619138</v>
      </c>
      <c r="AL28">
        <f t="shared" si="14"/>
        <v>0</v>
      </c>
      <c r="AM28">
        <f t="shared" si="28"/>
        <v>16.973743859999999</v>
      </c>
      <c r="AN28">
        <f t="shared" si="29"/>
        <v>0</v>
      </c>
      <c r="AO28">
        <f t="shared" si="15"/>
        <v>16.973743859999999</v>
      </c>
      <c r="AP28">
        <f t="shared" si="16"/>
        <v>0</v>
      </c>
      <c r="AQ28">
        <v>0.4</v>
      </c>
      <c r="AR28">
        <v>0</v>
      </c>
    </row>
    <row r="29" spans="1:44" x14ac:dyDescent="0.2">
      <c r="B29" s="1"/>
      <c r="C29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Privilege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</vt:lpstr>
      <vt:lpstr>adoption</vt:lpstr>
      <vt:lpstr>adoption_2027</vt:lpstr>
      <vt:lpstr>adoption_2027_no retro of new</vt:lpstr>
      <vt:lpstr>adoption_2027 (start in 2027)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Eric</dc:creator>
  <cp:lastModifiedBy>Adhikari, Rajendra</cp:lastModifiedBy>
  <dcterms:created xsi:type="dcterms:W3CDTF">2026-04-02T22:57:23Z</dcterms:created>
  <dcterms:modified xsi:type="dcterms:W3CDTF">2026-05-13T17:20:05Z</dcterms:modified>
</cp:coreProperties>
</file>