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ilson/Documents/code/buildstock-weatherreg/growth_factors/"/>
    </mc:Choice>
  </mc:AlternateContent>
  <xr:revisionPtr revIDLastSave="0" documentId="13_ncr:1_{79BDBA82-C1FA-CC4D-B4E3-374FD7CB8151}" xr6:coauthVersionLast="47" xr6:coauthVersionMax="47" xr10:uidLastSave="{00000000-0000-0000-0000-000000000000}"/>
  <bookViews>
    <workbookView xWindow="0" yWindow="760" windowWidth="17280" windowHeight="21580" activeTab="2" xr2:uid="{EA8081D7-E8B7-8144-A2A8-F1C24B1A73B5}"/>
  </bookViews>
  <sheets>
    <sheet name="shell factors calc" sheetId="1" r:id="rId1"/>
    <sheet name="floorspace" sheetId="2" r:id="rId2"/>
    <sheet name="export to csv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4" i="1" l="1"/>
  <c r="P44" i="1"/>
  <c r="Q44" i="1"/>
  <c r="R44" i="1"/>
  <c r="S44" i="1"/>
  <c r="T44" i="1"/>
  <c r="U44" i="1"/>
  <c r="V44" i="1"/>
  <c r="W44" i="1"/>
  <c r="X44" i="1"/>
  <c r="Y44" i="1"/>
  <c r="O45" i="1"/>
  <c r="P45" i="1"/>
  <c r="Q45" i="1"/>
  <c r="R45" i="1"/>
  <c r="S45" i="1"/>
  <c r="T45" i="1"/>
  <c r="U45" i="1"/>
  <c r="V45" i="1"/>
  <c r="W45" i="1"/>
  <c r="X45" i="1"/>
  <c r="Y45" i="1"/>
  <c r="O46" i="1"/>
  <c r="P46" i="1"/>
  <c r="Q46" i="1"/>
  <c r="R46" i="1"/>
  <c r="S46" i="1"/>
  <c r="T46" i="1"/>
  <c r="U46" i="1"/>
  <c r="V46" i="1"/>
  <c r="W46" i="1"/>
  <c r="X46" i="1"/>
  <c r="Y46" i="1"/>
  <c r="O47" i="1"/>
  <c r="P47" i="1"/>
  <c r="Q47" i="1"/>
  <c r="R47" i="1"/>
  <c r="S47" i="1"/>
  <c r="T47" i="1"/>
  <c r="U47" i="1"/>
  <c r="V47" i="1"/>
  <c r="W47" i="1"/>
  <c r="X47" i="1"/>
  <c r="Y47" i="1"/>
  <c r="O48" i="1"/>
  <c r="P48" i="1"/>
  <c r="Q48" i="1"/>
  <c r="R48" i="1"/>
  <c r="S48" i="1"/>
  <c r="T48" i="1"/>
  <c r="U48" i="1"/>
  <c r="V48" i="1"/>
  <c r="W48" i="1"/>
  <c r="X48" i="1"/>
  <c r="Y48" i="1"/>
  <c r="O49" i="1"/>
  <c r="P49" i="1"/>
  <c r="Q49" i="1"/>
  <c r="R49" i="1"/>
  <c r="S49" i="1"/>
  <c r="T49" i="1"/>
  <c r="U49" i="1"/>
  <c r="V49" i="1"/>
  <c r="W49" i="1"/>
  <c r="X49" i="1"/>
  <c r="Y49" i="1"/>
  <c r="O50" i="1"/>
  <c r="P50" i="1"/>
  <c r="Q50" i="1"/>
  <c r="R50" i="1"/>
  <c r="S50" i="1"/>
  <c r="T50" i="1"/>
  <c r="U50" i="1"/>
  <c r="V50" i="1"/>
  <c r="W50" i="1"/>
  <c r="X50" i="1"/>
  <c r="Y50" i="1"/>
  <c r="O51" i="1"/>
  <c r="P51" i="1"/>
  <c r="Q51" i="1"/>
  <c r="R51" i="1"/>
  <c r="S51" i="1"/>
  <c r="T51" i="1"/>
  <c r="U51" i="1"/>
  <c r="V51" i="1"/>
  <c r="W51" i="1"/>
  <c r="X51" i="1"/>
  <c r="Y51" i="1"/>
  <c r="O52" i="1"/>
  <c r="P52" i="1"/>
  <c r="Q52" i="1"/>
  <c r="R52" i="1"/>
  <c r="S52" i="1"/>
  <c r="T52" i="1"/>
  <c r="U52" i="1"/>
  <c r="V52" i="1"/>
  <c r="W52" i="1"/>
  <c r="X52" i="1"/>
  <c r="Y52" i="1"/>
  <c r="O53" i="1"/>
  <c r="P53" i="1"/>
  <c r="Q53" i="1"/>
  <c r="R53" i="1"/>
  <c r="S53" i="1"/>
  <c r="T53" i="1"/>
  <c r="U53" i="1"/>
  <c r="V53" i="1"/>
  <c r="W53" i="1"/>
  <c r="X53" i="1"/>
  <c r="Y53" i="1"/>
  <c r="O54" i="1"/>
  <c r="P54" i="1"/>
  <c r="Q54" i="1"/>
  <c r="R54" i="1"/>
  <c r="S54" i="1"/>
  <c r="T54" i="1"/>
  <c r="U54" i="1"/>
  <c r="V54" i="1"/>
  <c r="W54" i="1"/>
  <c r="X54" i="1"/>
  <c r="Y54" i="1"/>
  <c r="O55" i="1"/>
  <c r="P55" i="1"/>
  <c r="Q55" i="1"/>
  <c r="R55" i="1"/>
  <c r="S55" i="1"/>
  <c r="T55" i="1"/>
  <c r="U55" i="1"/>
  <c r="V55" i="1"/>
  <c r="W55" i="1"/>
  <c r="X55" i="1"/>
  <c r="Y55" i="1"/>
  <c r="O56" i="1"/>
  <c r="P56" i="1"/>
  <c r="Q56" i="1"/>
  <c r="R56" i="1"/>
  <c r="S56" i="1"/>
  <c r="T56" i="1"/>
  <c r="U56" i="1"/>
  <c r="V56" i="1"/>
  <c r="W56" i="1"/>
  <c r="X56" i="1"/>
  <c r="Y56" i="1"/>
  <c r="O57" i="1"/>
  <c r="P57" i="1"/>
  <c r="Q57" i="1"/>
  <c r="R57" i="1"/>
  <c r="S57" i="1"/>
  <c r="T57" i="1"/>
  <c r="U57" i="1"/>
  <c r="V57" i="1"/>
  <c r="W57" i="1"/>
  <c r="X57" i="1"/>
  <c r="Y57" i="1"/>
  <c r="O58" i="1"/>
  <c r="P58" i="1"/>
  <c r="Q58" i="1"/>
  <c r="R58" i="1"/>
  <c r="S58" i="1"/>
  <c r="T58" i="1"/>
  <c r="U58" i="1"/>
  <c r="V58" i="1"/>
  <c r="W58" i="1"/>
  <c r="X58" i="1"/>
  <c r="Y58" i="1"/>
  <c r="O59" i="1"/>
  <c r="P59" i="1"/>
  <c r="Q59" i="1"/>
  <c r="R59" i="1"/>
  <c r="S59" i="1"/>
  <c r="T59" i="1"/>
  <c r="U59" i="1"/>
  <c r="V59" i="1"/>
  <c r="W59" i="1"/>
  <c r="X59" i="1"/>
  <c r="Y59" i="1"/>
  <c r="O60" i="1"/>
  <c r="P60" i="1"/>
  <c r="Q60" i="1"/>
  <c r="R60" i="1"/>
  <c r="S60" i="1"/>
  <c r="T60" i="1"/>
  <c r="U60" i="1"/>
  <c r="V60" i="1"/>
  <c r="W60" i="1"/>
  <c r="X60" i="1"/>
  <c r="Y60" i="1"/>
  <c r="O61" i="1"/>
  <c r="P61" i="1"/>
  <c r="Q61" i="1"/>
  <c r="R61" i="1"/>
  <c r="S61" i="1"/>
  <c r="T61" i="1"/>
  <c r="U61" i="1"/>
  <c r="V61" i="1"/>
  <c r="W61" i="1"/>
  <c r="X61" i="1"/>
  <c r="Y61" i="1"/>
  <c r="O62" i="1"/>
  <c r="P62" i="1"/>
  <c r="Q62" i="1"/>
  <c r="R62" i="1"/>
  <c r="S62" i="1"/>
  <c r="T62" i="1"/>
  <c r="U62" i="1"/>
  <c r="V62" i="1"/>
  <c r="W62" i="1"/>
  <c r="X62" i="1"/>
  <c r="Y62" i="1"/>
  <c r="O63" i="1"/>
  <c r="P63" i="1"/>
  <c r="Q63" i="1"/>
  <c r="R63" i="1"/>
  <c r="S63" i="1"/>
  <c r="T63" i="1"/>
  <c r="U63" i="1"/>
  <c r="V63" i="1"/>
  <c r="W63" i="1"/>
  <c r="X63" i="1"/>
  <c r="Y63" i="1"/>
  <c r="O64" i="1"/>
  <c r="P64" i="1"/>
  <c r="Q64" i="1"/>
  <c r="R64" i="1"/>
  <c r="S64" i="1"/>
  <c r="T64" i="1"/>
  <c r="U64" i="1"/>
  <c r="V64" i="1"/>
  <c r="W64" i="1"/>
  <c r="X64" i="1"/>
  <c r="Y64" i="1"/>
  <c r="O65" i="1"/>
  <c r="P65" i="1"/>
  <c r="Q65" i="1"/>
  <c r="R65" i="1"/>
  <c r="S65" i="1"/>
  <c r="T65" i="1"/>
  <c r="U65" i="1"/>
  <c r="V65" i="1"/>
  <c r="W65" i="1"/>
  <c r="X65" i="1"/>
  <c r="Y65" i="1"/>
  <c r="O66" i="1"/>
  <c r="P66" i="1"/>
  <c r="Q66" i="1"/>
  <c r="R66" i="1"/>
  <c r="S66" i="1"/>
  <c r="T66" i="1"/>
  <c r="U66" i="1"/>
  <c r="V66" i="1"/>
  <c r="W66" i="1"/>
  <c r="X66" i="1"/>
  <c r="Y66" i="1"/>
  <c r="O67" i="1"/>
  <c r="P67" i="1"/>
  <c r="Q67" i="1"/>
  <c r="R67" i="1"/>
  <c r="S67" i="1"/>
  <c r="T67" i="1"/>
  <c r="U67" i="1"/>
  <c r="V67" i="1"/>
  <c r="W67" i="1"/>
  <c r="X67" i="1"/>
  <c r="Y67" i="1"/>
  <c r="O68" i="1"/>
  <c r="P68" i="1"/>
  <c r="Q68" i="1"/>
  <c r="R68" i="1"/>
  <c r="S68" i="1"/>
  <c r="T68" i="1"/>
  <c r="U68" i="1"/>
  <c r="V68" i="1"/>
  <c r="W68" i="1"/>
  <c r="X68" i="1"/>
  <c r="Y68" i="1"/>
  <c r="O69" i="1"/>
  <c r="P69" i="1"/>
  <c r="Q69" i="1"/>
  <c r="R69" i="1"/>
  <c r="S69" i="1"/>
  <c r="T69" i="1"/>
  <c r="U69" i="1"/>
  <c r="V69" i="1"/>
  <c r="W69" i="1"/>
  <c r="X69" i="1"/>
  <c r="Y69" i="1"/>
  <c r="O70" i="1"/>
  <c r="P70" i="1"/>
  <c r="Q70" i="1"/>
  <c r="R70" i="1"/>
  <c r="S70" i="1"/>
  <c r="T70" i="1"/>
  <c r="U70" i="1"/>
  <c r="V70" i="1"/>
  <c r="W70" i="1"/>
  <c r="X70" i="1"/>
  <c r="Y70" i="1"/>
  <c r="O71" i="1"/>
  <c r="P71" i="1"/>
  <c r="Q71" i="1"/>
  <c r="R71" i="1"/>
  <c r="S71" i="1"/>
  <c r="T71" i="1"/>
  <c r="U71" i="1"/>
  <c r="V71" i="1"/>
  <c r="W71" i="1"/>
  <c r="X71" i="1"/>
  <c r="Y71" i="1"/>
  <c r="O72" i="1"/>
  <c r="P72" i="1"/>
  <c r="Q72" i="1"/>
  <c r="R72" i="1"/>
  <c r="S72" i="1"/>
  <c r="T72" i="1"/>
  <c r="U72" i="1"/>
  <c r="V72" i="1"/>
  <c r="W72" i="1"/>
  <c r="X72" i="1"/>
  <c r="Y72" i="1"/>
  <c r="O73" i="1"/>
  <c r="P73" i="1"/>
  <c r="Q73" i="1"/>
  <c r="R73" i="1"/>
  <c r="S73" i="1"/>
  <c r="T73" i="1"/>
  <c r="U73" i="1"/>
  <c r="V73" i="1"/>
  <c r="W73" i="1"/>
  <c r="X73" i="1"/>
  <c r="Y73" i="1"/>
  <c r="O74" i="1"/>
  <c r="P74" i="1"/>
  <c r="Q74" i="1"/>
  <c r="R74" i="1"/>
  <c r="S74" i="1"/>
  <c r="T74" i="1"/>
  <c r="U74" i="1"/>
  <c r="V74" i="1"/>
  <c r="W74" i="1"/>
  <c r="X74" i="1"/>
  <c r="Y74" i="1"/>
  <c r="O75" i="1"/>
  <c r="P75" i="1"/>
  <c r="Q75" i="1"/>
  <c r="R75" i="1"/>
  <c r="S75" i="1"/>
  <c r="T75" i="1"/>
  <c r="U75" i="1"/>
  <c r="V75" i="1"/>
  <c r="W75" i="1"/>
  <c r="X75" i="1"/>
  <c r="Y75" i="1"/>
  <c r="O76" i="1"/>
  <c r="P76" i="1"/>
  <c r="Q76" i="1"/>
  <c r="R76" i="1"/>
  <c r="S76" i="1"/>
  <c r="T76" i="1"/>
  <c r="U76" i="1"/>
  <c r="V76" i="1"/>
  <c r="W76" i="1"/>
  <c r="X76" i="1"/>
  <c r="Y76" i="1"/>
  <c r="O77" i="1"/>
  <c r="P77" i="1"/>
  <c r="Q77" i="1"/>
  <c r="R77" i="1"/>
  <c r="S77" i="1"/>
  <c r="T77" i="1"/>
  <c r="U77" i="1"/>
  <c r="V77" i="1"/>
  <c r="W77" i="1"/>
  <c r="X77" i="1"/>
  <c r="Y77" i="1"/>
  <c r="O78" i="1"/>
  <c r="P78" i="1"/>
  <c r="Q78" i="1"/>
  <c r="R78" i="1"/>
  <c r="S78" i="1"/>
  <c r="T78" i="1"/>
  <c r="U78" i="1"/>
  <c r="V78" i="1"/>
  <c r="W78" i="1"/>
  <c r="X78" i="1"/>
  <c r="Y78" i="1"/>
  <c r="O79" i="1"/>
  <c r="P79" i="1"/>
  <c r="Q79" i="1"/>
  <c r="R79" i="1"/>
  <c r="S79" i="1"/>
  <c r="T79" i="1"/>
  <c r="U79" i="1"/>
  <c r="V79" i="1"/>
  <c r="W79" i="1"/>
  <c r="X79" i="1"/>
  <c r="Y79" i="1"/>
  <c r="O80" i="1"/>
  <c r="P80" i="1"/>
  <c r="Q80" i="1"/>
  <c r="R80" i="1"/>
  <c r="S80" i="1"/>
  <c r="T80" i="1"/>
  <c r="U80" i="1"/>
  <c r="V80" i="1"/>
  <c r="W80" i="1"/>
  <c r="X80" i="1"/>
  <c r="Y80" i="1"/>
  <c r="O81" i="1"/>
  <c r="P81" i="1"/>
  <c r="Q81" i="1"/>
  <c r="R81" i="1"/>
  <c r="S81" i="1"/>
  <c r="T81" i="1"/>
  <c r="U81" i="1"/>
  <c r="V81" i="1"/>
  <c r="W81" i="1"/>
  <c r="X81" i="1"/>
  <c r="Y81" i="1"/>
  <c r="O82" i="1"/>
  <c r="P82" i="1"/>
  <c r="Q82" i="1"/>
  <c r="R82" i="1"/>
  <c r="S82" i="1"/>
  <c r="T82" i="1"/>
  <c r="U82" i="1"/>
  <c r="V82" i="1"/>
  <c r="W82" i="1"/>
  <c r="X82" i="1"/>
  <c r="Y82" i="1"/>
  <c r="O83" i="1"/>
  <c r="P83" i="1"/>
  <c r="Q83" i="1"/>
  <c r="R83" i="1"/>
  <c r="S83" i="1"/>
  <c r="T83" i="1"/>
  <c r="U83" i="1"/>
  <c r="V83" i="1"/>
  <c r="W83" i="1"/>
  <c r="X83" i="1"/>
  <c r="Y83" i="1"/>
  <c r="O84" i="1"/>
  <c r="P84" i="1"/>
  <c r="Q84" i="1"/>
  <c r="R84" i="1"/>
  <c r="S84" i="1"/>
  <c r="T84" i="1"/>
  <c r="U84" i="1"/>
  <c r="V84" i="1"/>
  <c r="W84" i="1"/>
  <c r="X84" i="1"/>
  <c r="Y84" i="1"/>
  <c r="O85" i="1"/>
  <c r="P85" i="1"/>
  <c r="Q85" i="1"/>
  <c r="R85" i="1"/>
  <c r="S85" i="1"/>
  <c r="T85" i="1"/>
  <c r="U85" i="1"/>
  <c r="V85" i="1"/>
  <c r="W85" i="1"/>
  <c r="X85" i="1"/>
  <c r="Y85" i="1"/>
  <c r="O86" i="1"/>
  <c r="P86" i="1"/>
  <c r="Q86" i="1"/>
  <c r="R86" i="1"/>
  <c r="S86" i="1"/>
  <c r="T86" i="1"/>
  <c r="U86" i="1"/>
  <c r="V86" i="1"/>
  <c r="W86" i="1"/>
  <c r="X86" i="1"/>
  <c r="Y86" i="1"/>
  <c r="O87" i="1"/>
  <c r="P87" i="1"/>
  <c r="Q87" i="1"/>
  <c r="R87" i="1"/>
  <c r="S87" i="1"/>
  <c r="T87" i="1"/>
  <c r="U87" i="1"/>
  <c r="V87" i="1"/>
  <c r="W87" i="1"/>
  <c r="X87" i="1"/>
  <c r="Y87" i="1"/>
  <c r="O88" i="1"/>
  <c r="P88" i="1"/>
  <c r="Q88" i="1"/>
  <c r="R88" i="1"/>
  <c r="S88" i="1"/>
  <c r="T88" i="1"/>
  <c r="U88" i="1"/>
  <c r="V88" i="1"/>
  <c r="W88" i="1"/>
  <c r="X88" i="1"/>
  <c r="Y88" i="1"/>
  <c r="O89" i="1"/>
  <c r="P89" i="1"/>
  <c r="Q89" i="1"/>
  <c r="R89" i="1"/>
  <c r="S89" i="1"/>
  <c r="T89" i="1"/>
  <c r="U89" i="1"/>
  <c r="V89" i="1"/>
  <c r="W89" i="1"/>
  <c r="X89" i="1"/>
  <c r="Y89" i="1"/>
  <c r="O90" i="1"/>
  <c r="P90" i="1"/>
  <c r="Q90" i="1"/>
  <c r="R90" i="1"/>
  <c r="S90" i="1"/>
  <c r="T90" i="1"/>
  <c r="U90" i="1"/>
  <c r="V90" i="1"/>
  <c r="W90" i="1"/>
  <c r="X90" i="1"/>
  <c r="Y90" i="1"/>
  <c r="O91" i="1"/>
  <c r="P91" i="1"/>
  <c r="Q91" i="1"/>
  <c r="R91" i="1"/>
  <c r="S91" i="1"/>
  <c r="T91" i="1"/>
  <c r="U91" i="1"/>
  <c r="V91" i="1"/>
  <c r="W91" i="1"/>
  <c r="X91" i="1"/>
  <c r="Y91" i="1"/>
  <c r="O92" i="1"/>
  <c r="P92" i="1"/>
  <c r="Q92" i="1"/>
  <c r="R92" i="1"/>
  <c r="S92" i="1"/>
  <c r="T92" i="1"/>
  <c r="U92" i="1"/>
  <c r="V92" i="1"/>
  <c r="W92" i="1"/>
  <c r="X92" i="1"/>
  <c r="Y92" i="1"/>
  <c r="O93" i="1"/>
  <c r="P93" i="1"/>
  <c r="Q93" i="1"/>
  <c r="R93" i="1"/>
  <c r="S93" i="1"/>
  <c r="T93" i="1"/>
  <c r="U93" i="1"/>
  <c r="V93" i="1"/>
  <c r="W93" i="1"/>
  <c r="X93" i="1"/>
  <c r="Y93" i="1"/>
  <c r="O94" i="1"/>
  <c r="P94" i="1"/>
  <c r="Q94" i="1"/>
  <c r="R94" i="1"/>
  <c r="S94" i="1"/>
  <c r="T94" i="1"/>
  <c r="U94" i="1"/>
  <c r="V94" i="1"/>
  <c r="W94" i="1"/>
  <c r="X94" i="1"/>
  <c r="Y94" i="1"/>
  <c r="O95" i="1"/>
  <c r="P95" i="1"/>
  <c r="Q95" i="1"/>
  <c r="R95" i="1"/>
  <c r="S95" i="1"/>
  <c r="T95" i="1"/>
  <c r="U95" i="1"/>
  <c r="V95" i="1"/>
  <c r="W95" i="1"/>
  <c r="X95" i="1"/>
  <c r="Y95" i="1"/>
  <c r="O96" i="1"/>
  <c r="P96" i="1"/>
  <c r="Q96" i="1"/>
  <c r="R96" i="1"/>
  <c r="S96" i="1"/>
  <c r="T96" i="1"/>
  <c r="U96" i="1"/>
  <c r="V96" i="1"/>
  <c r="W96" i="1"/>
  <c r="X96" i="1"/>
  <c r="Y96" i="1"/>
  <c r="O97" i="1"/>
  <c r="P97" i="1"/>
  <c r="Q97" i="1"/>
  <c r="R97" i="1"/>
  <c r="S97" i="1"/>
  <c r="T97" i="1"/>
  <c r="U97" i="1"/>
  <c r="V97" i="1"/>
  <c r="W97" i="1"/>
  <c r="X97" i="1"/>
  <c r="Y97" i="1"/>
  <c r="O98" i="1"/>
  <c r="P98" i="1"/>
  <c r="Q98" i="1"/>
  <c r="R98" i="1"/>
  <c r="S98" i="1"/>
  <c r="T98" i="1"/>
  <c r="U98" i="1"/>
  <c r="V98" i="1"/>
  <c r="W98" i="1"/>
  <c r="X98" i="1"/>
  <c r="Y98" i="1"/>
  <c r="O99" i="1"/>
  <c r="P99" i="1"/>
  <c r="Q99" i="1"/>
  <c r="R99" i="1"/>
  <c r="S99" i="1"/>
  <c r="T99" i="1"/>
  <c r="U99" i="1"/>
  <c r="V99" i="1"/>
  <c r="W99" i="1"/>
  <c r="X99" i="1"/>
  <c r="Y99" i="1"/>
  <c r="O100" i="1"/>
  <c r="P100" i="1"/>
  <c r="Q100" i="1"/>
  <c r="R100" i="1"/>
  <c r="S100" i="1"/>
  <c r="T100" i="1"/>
  <c r="U100" i="1"/>
  <c r="V100" i="1"/>
  <c r="W100" i="1"/>
  <c r="X100" i="1"/>
  <c r="Y100" i="1"/>
  <c r="O101" i="1"/>
  <c r="P101" i="1"/>
  <c r="Q101" i="1"/>
  <c r="R101" i="1"/>
  <c r="S101" i="1"/>
  <c r="T101" i="1"/>
  <c r="U101" i="1"/>
  <c r="V101" i="1"/>
  <c r="W101" i="1"/>
  <c r="X101" i="1"/>
  <c r="Y101" i="1"/>
  <c r="O102" i="1"/>
  <c r="P102" i="1"/>
  <c r="Q102" i="1"/>
  <c r="R102" i="1"/>
  <c r="S102" i="1"/>
  <c r="T102" i="1"/>
  <c r="U102" i="1"/>
  <c r="V102" i="1"/>
  <c r="W102" i="1"/>
  <c r="X102" i="1"/>
  <c r="Y102" i="1"/>
  <c r="O103" i="1"/>
  <c r="P103" i="1"/>
  <c r="Q103" i="1"/>
  <c r="R103" i="1"/>
  <c r="S103" i="1"/>
  <c r="T103" i="1"/>
  <c r="U103" i="1"/>
  <c r="V103" i="1"/>
  <c r="W103" i="1"/>
  <c r="X103" i="1"/>
  <c r="Y103" i="1"/>
  <c r="O104" i="1"/>
  <c r="P104" i="1"/>
  <c r="Q104" i="1"/>
  <c r="R104" i="1"/>
  <c r="S104" i="1"/>
  <c r="T104" i="1"/>
  <c r="U104" i="1"/>
  <c r="V104" i="1"/>
  <c r="W104" i="1"/>
  <c r="X104" i="1"/>
  <c r="Y104" i="1"/>
  <c r="O105" i="1"/>
  <c r="P105" i="1"/>
  <c r="Q105" i="1"/>
  <c r="R105" i="1"/>
  <c r="S105" i="1"/>
  <c r="T105" i="1"/>
  <c r="U105" i="1"/>
  <c r="V105" i="1"/>
  <c r="W105" i="1"/>
  <c r="X105" i="1"/>
  <c r="Y105" i="1"/>
  <c r="O106" i="1"/>
  <c r="P106" i="1"/>
  <c r="Q106" i="1"/>
  <c r="R106" i="1"/>
  <c r="S106" i="1"/>
  <c r="T106" i="1"/>
  <c r="U106" i="1"/>
  <c r="V106" i="1"/>
  <c r="W106" i="1"/>
  <c r="X106" i="1"/>
  <c r="Y106" i="1"/>
  <c r="O107" i="1"/>
  <c r="P107" i="1"/>
  <c r="Q107" i="1"/>
  <c r="R107" i="1"/>
  <c r="S107" i="1"/>
  <c r="T107" i="1"/>
  <c r="U107" i="1"/>
  <c r="V107" i="1"/>
  <c r="W107" i="1"/>
  <c r="X107" i="1"/>
  <c r="Y107" i="1"/>
  <c r="O108" i="1"/>
  <c r="P108" i="1"/>
  <c r="Q108" i="1"/>
  <c r="R108" i="1"/>
  <c r="S108" i="1"/>
  <c r="T108" i="1"/>
  <c r="U108" i="1"/>
  <c r="V108" i="1"/>
  <c r="W108" i="1"/>
  <c r="X108" i="1"/>
  <c r="Y108" i="1"/>
  <c r="O109" i="1"/>
  <c r="P109" i="1"/>
  <c r="Q109" i="1"/>
  <c r="R109" i="1"/>
  <c r="S109" i="1"/>
  <c r="T109" i="1"/>
  <c r="U109" i="1"/>
  <c r="V109" i="1"/>
  <c r="W109" i="1"/>
  <c r="X109" i="1"/>
  <c r="Y109" i="1"/>
  <c r="O110" i="1"/>
  <c r="P110" i="1"/>
  <c r="Q110" i="1"/>
  <c r="R110" i="1"/>
  <c r="S110" i="1"/>
  <c r="T110" i="1"/>
  <c r="U110" i="1"/>
  <c r="V110" i="1"/>
  <c r="W110" i="1"/>
  <c r="X110" i="1"/>
  <c r="Y110" i="1"/>
  <c r="O111" i="1"/>
  <c r="P111" i="1"/>
  <c r="Q111" i="1"/>
  <c r="R111" i="1"/>
  <c r="S111" i="1"/>
  <c r="T111" i="1"/>
  <c r="U111" i="1"/>
  <c r="V111" i="1"/>
  <c r="W111" i="1"/>
  <c r="X111" i="1"/>
  <c r="Y111" i="1"/>
  <c r="O112" i="1"/>
  <c r="P112" i="1"/>
  <c r="Q112" i="1"/>
  <c r="R112" i="1"/>
  <c r="S112" i="1"/>
  <c r="T112" i="1"/>
  <c r="U112" i="1"/>
  <c r="V112" i="1"/>
  <c r="W112" i="1"/>
  <c r="X112" i="1"/>
  <c r="Y112" i="1"/>
  <c r="O113" i="1"/>
  <c r="P113" i="1"/>
  <c r="Q113" i="1"/>
  <c r="R113" i="1"/>
  <c r="S113" i="1"/>
  <c r="T113" i="1"/>
  <c r="U113" i="1"/>
  <c r="V113" i="1"/>
  <c r="W113" i="1"/>
  <c r="X113" i="1"/>
  <c r="Y113" i="1"/>
  <c r="O114" i="1"/>
  <c r="P114" i="1"/>
  <c r="Q114" i="1"/>
  <c r="R114" i="1"/>
  <c r="S114" i="1"/>
  <c r="T114" i="1"/>
  <c r="U114" i="1"/>
  <c r="V114" i="1"/>
  <c r="W114" i="1"/>
  <c r="X114" i="1"/>
  <c r="Y114" i="1"/>
  <c r="O115" i="1"/>
  <c r="P115" i="1"/>
  <c r="Q115" i="1"/>
  <c r="R115" i="1"/>
  <c r="S115" i="1"/>
  <c r="T115" i="1"/>
  <c r="U115" i="1"/>
  <c r="V115" i="1"/>
  <c r="W115" i="1"/>
  <c r="X115" i="1"/>
  <c r="Y115" i="1"/>
  <c r="O116" i="1"/>
  <c r="P116" i="1"/>
  <c r="Q116" i="1"/>
  <c r="R116" i="1"/>
  <c r="S116" i="1"/>
  <c r="T116" i="1"/>
  <c r="U116" i="1"/>
  <c r="V116" i="1"/>
  <c r="W116" i="1"/>
  <c r="X116" i="1"/>
  <c r="Y116" i="1"/>
  <c r="O117" i="1"/>
  <c r="P117" i="1"/>
  <c r="Q117" i="1"/>
  <c r="R117" i="1"/>
  <c r="S117" i="1"/>
  <c r="T117" i="1"/>
  <c r="U117" i="1"/>
  <c r="V117" i="1"/>
  <c r="W117" i="1"/>
  <c r="X117" i="1"/>
  <c r="Y117" i="1"/>
  <c r="O118" i="1"/>
  <c r="P118" i="1"/>
  <c r="Q118" i="1"/>
  <c r="R118" i="1"/>
  <c r="S118" i="1"/>
  <c r="T118" i="1"/>
  <c r="U118" i="1"/>
  <c r="V118" i="1"/>
  <c r="W118" i="1"/>
  <c r="X118" i="1"/>
  <c r="Y118" i="1"/>
  <c r="O119" i="1"/>
  <c r="P119" i="1"/>
  <c r="Q119" i="1"/>
  <c r="R119" i="1"/>
  <c r="S119" i="1"/>
  <c r="T119" i="1"/>
  <c r="U119" i="1"/>
  <c r="V119" i="1"/>
  <c r="W119" i="1"/>
  <c r="X119" i="1"/>
  <c r="Y119" i="1"/>
  <c r="O120" i="1"/>
  <c r="P120" i="1"/>
  <c r="Q120" i="1"/>
  <c r="R120" i="1"/>
  <c r="S120" i="1"/>
  <c r="T120" i="1"/>
  <c r="U120" i="1"/>
  <c r="V120" i="1"/>
  <c r="W120" i="1"/>
  <c r="X120" i="1"/>
  <c r="Y120" i="1"/>
  <c r="O121" i="1"/>
  <c r="P121" i="1"/>
  <c r="Q121" i="1"/>
  <c r="R121" i="1"/>
  <c r="S121" i="1"/>
  <c r="T121" i="1"/>
  <c r="U121" i="1"/>
  <c r="V121" i="1"/>
  <c r="W121" i="1"/>
  <c r="X121" i="1"/>
  <c r="Y121" i="1"/>
  <c r="O122" i="1"/>
  <c r="P122" i="1"/>
  <c r="Q122" i="1"/>
  <c r="R122" i="1"/>
  <c r="S122" i="1"/>
  <c r="T122" i="1"/>
  <c r="U122" i="1"/>
  <c r="V122" i="1"/>
  <c r="W122" i="1"/>
  <c r="X122" i="1"/>
  <c r="Y122" i="1"/>
  <c r="O123" i="1"/>
  <c r="P123" i="1"/>
  <c r="Q123" i="1"/>
  <c r="R123" i="1"/>
  <c r="S123" i="1"/>
  <c r="T123" i="1"/>
  <c r="U123" i="1"/>
  <c r="V123" i="1"/>
  <c r="W123" i="1"/>
  <c r="X123" i="1"/>
  <c r="Y123" i="1"/>
  <c r="O124" i="1"/>
  <c r="P124" i="1"/>
  <c r="Q124" i="1"/>
  <c r="R124" i="1"/>
  <c r="S124" i="1"/>
  <c r="T124" i="1"/>
  <c r="U124" i="1"/>
  <c r="V124" i="1"/>
  <c r="W124" i="1"/>
  <c r="X124" i="1"/>
  <c r="Y124" i="1"/>
  <c r="O125" i="1"/>
  <c r="P125" i="1"/>
  <c r="Q125" i="1"/>
  <c r="R125" i="1"/>
  <c r="S125" i="1"/>
  <c r="T125" i="1"/>
  <c r="U125" i="1"/>
  <c r="V125" i="1"/>
  <c r="W125" i="1"/>
  <c r="X125" i="1"/>
  <c r="Y125" i="1"/>
  <c r="O126" i="1"/>
  <c r="P126" i="1"/>
  <c r="Q126" i="1"/>
  <c r="R126" i="1"/>
  <c r="S126" i="1"/>
  <c r="T126" i="1"/>
  <c r="U126" i="1"/>
  <c r="V126" i="1"/>
  <c r="W126" i="1"/>
  <c r="X126" i="1"/>
  <c r="Y126" i="1"/>
  <c r="O127" i="1"/>
  <c r="P127" i="1"/>
  <c r="Q127" i="1"/>
  <c r="R127" i="1"/>
  <c r="S127" i="1"/>
  <c r="T127" i="1"/>
  <c r="U127" i="1"/>
  <c r="V127" i="1"/>
  <c r="W127" i="1"/>
  <c r="X127" i="1"/>
  <c r="Y127" i="1"/>
  <c r="O128" i="1"/>
  <c r="P128" i="1"/>
  <c r="Q128" i="1"/>
  <c r="R128" i="1"/>
  <c r="S128" i="1"/>
  <c r="T128" i="1"/>
  <c r="U128" i="1"/>
  <c r="V128" i="1"/>
  <c r="W128" i="1"/>
  <c r="X128" i="1"/>
  <c r="Y128" i="1"/>
  <c r="O129" i="1"/>
  <c r="P129" i="1"/>
  <c r="Q129" i="1"/>
  <c r="R129" i="1"/>
  <c r="S129" i="1"/>
  <c r="T129" i="1"/>
  <c r="U129" i="1"/>
  <c r="V129" i="1"/>
  <c r="W129" i="1"/>
  <c r="X129" i="1"/>
  <c r="Y129" i="1"/>
  <c r="O130" i="1"/>
  <c r="P130" i="1"/>
  <c r="Q130" i="1"/>
  <c r="R130" i="1"/>
  <c r="S130" i="1"/>
  <c r="T130" i="1"/>
  <c r="U130" i="1"/>
  <c r="V130" i="1"/>
  <c r="W130" i="1"/>
  <c r="X130" i="1"/>
  <c r="Y130" i="1"/>
  <c r="O131" i="1"/>
  <c r="P131" i="1"/>
  <c r="Q131" i="1"/>
  <c r="R131" i="1"/>
  <c r="S131" i="1"/>
  <c r="T131" i="1"/>
  <c r="U131" i="1"/>
  <c r="V131" i="1"/>
  <c r="W131" i="1"/>
  <c r="X131" i="1"/>
  <c r="Y131" i="1"/>
  <c r="O132" i="1"/>
  <c r="P132" i="1"/>
  <c r="Q132" i="1"/>
  <c r="R132" i="1"/>
  <c r="S132" i="1"/>
  <c r="T132" i="1"/>
  <c r="U132" i="1"/>
  <c r="V132" i="1"/>
  <c r="W132" i="1"/>
  <c r="X132" i="1"/>
  <c r="Y132" i="1"/>
  <c r="O133" i="1"/>
  <c r="P133" i="1"/>
  <c r="Q133" i="1"/>
  <c r="R133" i="1"/>
  <c r="S133" i="1"/>
  <c r="T133" i="1"/>
  <c r="U133" i="1"/>
  <c r="V133" i="1"/>
  <c r="W133" i="1"/>
  <c r="X133" i="1"/>
  <c r="Y133" i="1"/>
  <c r="O134" i="1"/>
  <c r="P134" i="1"/>
  <c r="Q134" i="1"/>
  <c r="R134" i="1"/>
  <c r="S134" i="1"/>
  <c r="T134" i="1"/>
  <c r="U134" i="1"/>
  <c r="V134" i="1"/>
  <c r="W134" i="1"/>
  <c r="X134" i="1"/>
  <c r="Y134" i="1"/>
  <c r="O135" i="1"/>
  <c r="P135" i="1"/>
  <c r="Q135" i="1"/>
  <c r="R135" i="1"/>
  <c r="S135" i="1"/>
  <c r="T135" i="1"/>
  <c r="U135" i="1"/>
  <c r="V135" i="1"/>
  <c r="W135" i="1"/>
  <c r="X135" i="1"/>
  <c r="Y135" i="1"/>
  <c r="O136" i="1"/>
  <c r="P136" i="1"/>
  <c r="Q136" i="1"/>
  <c r="R136" i="1"/>
  <c r="S136" i="1"/>
  <c r="T136" i="1"/>
  <c r="U136" i="1"/>
  <c r="V136" i="1"/>
  <c r="W136" i="1"/>
  <c r="X136" i="1"/>
  <c r="Y136" i="1"/>
  <c r="O137" i="1"/>
  <c r="P137" i="1"/>
  <c r="Q137" i="1"/>
  <c r="R137" i="1"/>
  <c r="S137" i="1"/>
  <c r="T137" i="1"/>
  <c r="U137" i="1"/>
  <c r="V137" i="1"/>
  <c r="W137" i="1"/>
  <c r="X137" i="1"/>
  <c r="Y137" i="1"/>
  <c r="O138" i="1"/>
  <c r="P138" i="1"/>
  <c r="Q138" i="1"/>
  <c r="R138" i="1"/>
  <c r="S138" i="1"/>
  <c r="T138" i="1"/>
  <c r="U138" i="1"/>
  <c r="V138" i="1"/>
  <c r="W138" i="1"/>
  <c r="X138" i="1"/>
  <c r="Y138" i="1"/>
  <c r="O139" i="1"/>
  <c r="P139" i="1"/>
  <c r="Q139" i="1"/>
  <c r="R139" i="1"/>
  <c r="S139" i="1"/>
  <c r="T139" i="1"/>
  <c r="U139" i="1"/>
  <c r="V139" i="1"/>
  <c r="W139" i="1"/>
  <c r="X139" i="1"/>
  <c r="Y139" i="1"/>
  <c r="O140" i="1"/>
  <c r="P140" i="1"/>
  <c r="Q140" i="1"/>
  <c r="R140" i="1"/>
  <c r="S140" i="1"/>
  <c r="T140" i="1"/>
  <c r="U140" i="1"/>
  <c r="V140" i="1"/>
  <c r="W140" i="1"/>
  <c r="X140" i="1"/>
  <c r="Y140" i="1"/>
  <c r="O141" i="1"/>
  <c r="P141" i="1"/>
  <c r="Q141" i="1"/>
  <c r="R141" i="1"/>
  <c r="S141" i="1"/>
  <c r="T141" i="1"/>
  <c r="U141" i="1"/>
  <c r="V141" i="1"/>
  <c r="W141" i="1"/>
  <c r="X141" i="1"/>
  <c r="Y141" i="1"/>
  <c r="O142" i="1"/>
  <c r="P142" i="1"/>
  <c r="Q142" i="1"/>
  <c r="R142" i="1"/>
  <c r="S142" i="1"/>
  <c r="T142" i="1"/>
  <c r="U142" i="1"/>
  <c r="V142" i="1"/>
  <c r="W142" i="1"/>
  <c r="X142" i="1"/>
  <c r="Y142" i="1"/>
  <c r="O143" i="1"/>
  <c r="P143" i="1"/>
  <c r="Q143" i="1"/>
  <c r="R143" i="1"/>
  <c r="S143" i="1"/>
  <c r="T143" i="1"/>
  <c r="U143" i="1"/>
  <c r="V143" i="1"/>
  <c r="W143" i="1"/>
  <c r="X143" i="1"/>
  <c r="Y143" i="1"/>
  <c r="O144" i="1"/>
  <c r="P144" i="1"/>
  <c r="Q144" i="1"/>
  <c r="R144" i="1"/>
  <c r="S144" i="1"/>
  <c r="T144" i="1"/>
  <c r="U144" i="1"/>
  <c r="V144" i="1"/>
  <c r="W144" i="1"/>
  <c r="X144" i="1"/>
  <c r="Y144" i="1"/>
  <c r="O145" i="1"/>
  <c r="P145" i="1"/>
  <c r="Q145" i="1"/>
  <c r="R145" i="1"/>
  <c r="S145" i="1"/>
  <c r="T145" i="1"/>
  <c r="U145" i="1"/>
  <c r="V145" i="1"/>
  <c r="W145" i="1"/>
  <c r="X145" i="1"/>
  <c r="Y145" i="1"/>
  <c r="O146" i="1"/>
  <c r="P146" i="1"/>
  <c r="Q146" i="1"/>
  <c r="R146" i="1"/>
  <c r="S146" i="1"/>
  <c r="T146" i="1"/>
  <c r="U146" i="1"/>
  <c r="V146" i="1"/>
  <c r="W146" i="1"/>
  <c r="X146" i="1"/>
  <c r="Y146" i="1"/>
  <c r="O147" i="1"/>
  <c r="P147" i="1"/>
  <c r="Q147" i="1"/>
  <c r="R147" i="1"/>
  <c r="S147" i="1"/>
  <c r="T147" i="1"/>
  <c r="U147" i="1"/>
  <c r="V147" i="1"/>
  <c r="W147" i="1"/>
  <c r="X147" i="1"/>
  <c r="Y147" i="1"/>
  <c r="O148" i="1"/>
  <c r="P148" i="1"/>
  <c r="Q148" i="1"/>
  <c r="R148" i="1"/>
  <c r="S148" i="1"/>
  <c r="T148" i="1"/>
  <c r="U148" i="1"/>
  <c r="V148" i="1"/>
  <c r="W148" i="1"/>
  <c r="X148" i="1"/>
  <c r="Y148" i="1"/>
  <c r="O149" i="1"/>
  <c r="P149" i="1"/>
  <c r="Q149" i="1"/>
  <c r="R149" i="1"/>
  <c r="S149" i="1"/>
  <c r="T149" i="1"/>
  <c r="U149" i="1"/>
  <c r="V149" i="1"/>
  <c r="W149" i="1"/>
  <c r="X149" i="1"/>
  <c r="Y149" i="1"/>
  <c r="O150" i="1"/>
  <c r="P150" i="1"/>
  <c r="Q150" i="1"/>
  <c r="R150" i="1"/>
  <c r="S150" i="1"/>
  <c r="T150" i="1"/>
  <c r="U150" i="1"/>
  <c r="V150" i="1"/>
  <c r="W150" i="1"/>
  <c r="X150" i="1"/>
  <c r="Y150" i="1"/>
  <c r="O151" i="1"/>
  <c r="P151" i="1"/>
  <c r="Q151" i="1"/>
  <c r="R151" i="1"/>
  <c r="S151" i="1"/>
  <c r="T151" i="1"/>
  <c r="U151" i="1"/>
  <c r="V151" i="1"/>
  <c r="W151" i="1"/>
  <c r="X151" i="1"/>
  <c r="Y151" i="1"/>
  <c r="O152" i="1"/>
  <c r="P152" i="1"/>
  <c r="Q152" i="1"/>
  <c r="R152" i="1"/>
  <c r="S152" i="1"/>
  <c r="T152" i="1"/>
  <c r="U152" i="1"/>
  <c r="V152" i="1"/>
  <c r="W152" i="1"/>
  <c r="X152" i="1"/>
  <c r="Y152" i="1"/>
  <c r="O153" i="1"/>
  <c r="P153" i="1"/>
  <c r="Q153" i="1"/>
  <c r="R153" i="1"/>
  <c r="S153" i="1"/>
  <c r="T153" i="1"/>
  <c r="U153" i="1"/>
  <c r="V153" i="1"/>
  <c r="W153" i="1"/>
  <c r="X153" i="1"/>
  <c r="Y153" i="1"/>
  <c r="O154" i="1"/>
  <c r="P154" i="1"/>
  <c r="Q154" i="1"/>
  <c r="R154" i="1"/>
  <c r="S154" i="1"/>
  <c r="T154" i="1"/>
  <c r="U154" i="1"/>
  <c r="V154" i="1"/>
  <c r="W154" i="1"/>
  <c r="X154" i="1"/>
  <c r="Y154" i="1"/>
  <c r="O155" i="1"/>
  <c r="P155" i="1"/>
  <c r="Q155" i="1"/>
  <c r="R155" i="1"/>
  <c r="S155" i="1"/>
  <c r="T155" i="1"/>
  <c r="U155" i="1"/>
  <c r="V155" i="1"/>
  <c r="W155" i="1"/>
  <c r="X155" i="1"/>
  <c r="Y155" i="1"/>
  <c r="O156" i="1"/>
  <c r="P156" i="1"/>
  <c r="Q156" i="1"/>
  <c r="R156" i="1"/>
  <c r="S156" i="1"/>
  <c r="T156" i="1"/>
  <c r="U156" i="1"/>
  <c r="V156" i="1"/>
  <c r="W156" i="1"/>
  <c r="X156" i="1"/>
  <c r="Y156" i="1"/>
  <c r="O157" i="1"/>
  <c r="P157" i="1"/>
  <c r="Q157" i="1"/>
  <c r="R157" i="1"/>
  <c r="S157" i="1"/>
  <c r="T157" i="1"/>
  <c r="U157" i="1"/>
  <c r="V157" i="1"/>
  <c r="W157" i="1"/>
  <c r="X157" i="1"/>
  <c r="Y157" i="1"/>
  <c r="O158" i="1"/>
  <c r="P158" i="1"/>
  <c r="Q158" i="1"/>
  <c r="R158" i="1"/>
  <c r="S158" i="1"/>
  <c r="T158" i="1"/>
  <c r="U158" i="1"/>
  <c r="V158" i="1"/>
  <c r="W158" i="1"/>
  <c r="X158" i="1"/>
  <c r="Y158" i="1"/>
  <c r="O159" i="1"/>
  <c r="P159" i="1"/>
  <c r="Q159" i="1"/>
  <c r="R159" i="1"/>
  <c r="S159" i="1"/>
  <c r="T159" i="1"/>
  <c r="U159" i="1"/>
  <c r="V159" i="1"/>
  <c r="W159" i="1"/>
  <c r="X159" i="1"/>
  <c r="Y159" i="1"/>
  <c r="O160" i="1"/>
  <c r="P160" i="1"/>
  <c r="Q160" i="1"/>
  <c r="R160" i="1"/>
  <c r="S160" i="1"/>
  <c r="T160" i="1"/>
  <c r="U160" i="1"/>
  <c r="V160" i="1"/>
  <c r="W160" i="1"/>
  <c r="X160" i="1"/>
  <c r="Y160" i="1"/>
  <c r="O161" i="1"/>
  <c r="P161" i="1"/>
  <c r="Q161" i="1"/>
  <c r="R161" i="1"/>
  <c r="S161" i="1"/>
  <c r="T161" i="1"/>
  <c r="U161" i="1"/>
  <c r="V161" i="1"/>
  <c r="W161" i="1"/>
  <c r="X161" i="1"/>
  <c r="Y161" i="1"/>
  <c r="O162" i="1"/>
  <c r="P162" i="1"/>
  <c r="Q162" i="1"/>
  <c r="R162" i="1"/>
  <c r="S162" i="1"/>
  <c r="T162" i="1"/>
  <c r="U162" i="1"/>
  <c r="V162" i="1"/>
  <c r="W162" i="1"/>
  <c r="X162" i="1"/>
  <c r="Y162" i="1"/>
  <c r="O163" i="1"/>
  <c r="P163" i="1"/>
  <c r="Q163" i="1"/>
  <c r="R163" i="1"/>
  <c r="S163" i="1"/>
  <c r="T163" i="1"/>
  <c r="U163" i="1"/>
  <c r="V163" i="1"/>
  <c r="W163" i="1"/>
  <c r="X163" i="1"/>
  <c r="Y163" i="1"/>
  <c r="O164" i="1"/>
  <c r="P164" i="1"/>
  <c r="Q164" i="1"/>
  <c r="R164" i="1"/>
  <c r="S164" i="1"/>
  <c r="T164" i="1"/>
  <c r="U164" i="1"/>
  <c r="V164" i="1"/>
  <c r="W164" i="1"/>
  <c r="X164" i="1"/>
  <c r="Y164" i="1"/>
  <c r="O165" i="1"/>
  <c r="P165" i="1"/>
  <c r="Q165" i="1"/>
  <c r="R165" i="1"/>
  <c r="S165" i="1"/>
  <c r="T165" i="1"/>
  <c r="U165" i="1"/>
  <c r="V165" i="1"/>
  <c r="W165" i="1"/>
  <c r="X165" i="1"/>
  <c r="Y165" i="1"/>
  <c r="O166" i="1"/>
  <c r="P166" i="1"/>
  <c r="Q166" i="1"/>
  <c r="R166" i="1"/>
  <c r="S166" i="1"/>
  <c r="T166" i="1"/>
  <c r="U166" i="1"/>
  <c r="V166" i="1"/>
  <c r="W166" i="1"/>
  <c r="X166" i="1"/>
  <c r="Y166" i="1"/>
  <c r="O167" i="1"/>
  <c r="P167" i="1"/>
  <c r="Q167" i="1"/>
  <c r="R167" i="1"/>
  <c r="S167" i="1"/>
  <c r="T167" i="1"/>
  <c r="U167" i="1"/>
  <c r="V167" i="1"/>
  <c r="W167" i="1"/>
  <c r="X167" i="1"/>
  <c r="Y167" i="1"/>
  <c r="O168" i="1"/>
  <c r="P168" i="1"/>
  <c r="Q168" i="1"/>
  <c r="R168" i="1"/>
  <c r="S168" i="1"/>
  <c r="T168" i="1"/>
  <c r="U168" i="1"/>
  <c r="V168" i="1"/>
  <c r="W168" i="1"/>
  <c r="X168" i="1"/>
  <c r="Y168" i="1"/>
  <c r="O169" i="1"/>
  <c r="P169" i="1"/>
  <c r="Q169" i="1"/>
  <c r="R169" i="1"/>
  <c r="S169" i="1"/>
  <c r="T169" i="1"/>
  <c r="U169" i="1"/>
  <c r="V169" i="1"/>
  <c r="W169" i="1"/>
  <c r="X169" i="1"/>
  <c r="Y169" i="1"/>
  <c r="O170" i="1"/>
  <c r="P170" i="1"/>
  <c r="Q170" i="1"/>
  <c r="R170" i="1"/>
  <c r="S170" i="1"/>
  <c r="T170" i="1"/>
  <c r="U170" i="1"/>
  <c r="V170" i="1"/>
  <c r="W170" i="1"/>
  <c r="X170" i="1"/>
  <c r="Y170" i="1"/>
  <c r="O171" i="1"/>
  <c r="P171" i="1"/>
  <c r="Q171" i="1"/>
  <c r="R171" i="1"/>
  <c r="S171" i="1"/>
  <c r="T171" i="1"/>
  <c r="U171" i="1"/>
  <c r="V171" i="1"/>
  <c r="W171" i="1"/>
  <c r="X171" i="1"/>
  <c r="Y171" i="1"/>
  <c r="O172" i="1"/>
  <c r="P172" i="1"/>
  <c r="Q172" i="1"/>
  <c r="R172" i="1"/>
  <c r="S172" i="1"/>
  <c r="T172" i="1"/>
  <c r="U172" i="1"/>
  <c r="V172" i="1"/>
  <c r="W172" i="1"/>
  <c r="X172" i="1"/>
  <c r="Y172" i="1"/>
  <c r="O173" i="1"/>
  <c r="P173" i="1"/>
  <c r="Q173" i="1"/>
  <c r="R173" i="1"/>
  <c r="S173" i="1"/>
  <c r="T173" i="1"/>
  <c r="U173" i="1"/>
  <c r="V173" i="1"/>
  <c r="W173" i="1"/>
  <c r="X173" i="1"/>
  <c r="Y173" i="1"/>
  <c r="O174" i="1"/>
  <c r="P174" i="1"/>
  <c r="Q174" i="1"/>
  <c r="R174" i="1"/>
  <c r="S174" i="1"/>
  <c r="T174" i="1"/>
  <c r="U174" i="1"/>
  <c r="V174" i="1"/>
  <c r="W174" i="1"/>
  <c r="X174" i="1"/>
  <c r="Y174" i="1"/>
  <c r="O175" i="1"/>
  <c r="P175" i="1"/>
  <c r="Q175" i="1"/>
  <c r="R175" i="1"/>
  <c r="S175" i="1"/>
  <c r="T175" i="1"/>
  <c r="U175" i="1"/>
  <c r="V175" i="1"/>
  <c r="W175" i="1"/>
  <c r="X175" i="1"/>
  <c r="Y175" i="1"/>
  <c r="O176" i="1"/>
  <c r="P176" i="1"/>
  <c r="Q176" i="1"/>
  <c r="R176" i="1"/>
  <c r="S176" i="1"/>
  <c r="T176" i="1"/>
  <c r="U176" i="1"/>
  <c r="V176" i="1"/>
  <c r="W176" i="1"/>
  <c r="X176" i="1"/>
  <c r="Y176" i="1"/>
  <c r="O177" i="1"/>
  <c r="P177" i="1"/>
  <c r="Q177" i="1"/>
  <c r="R177" i="1"/>
  <c r="S177" i="1"/>
  <c r="T177" i="1"/>
  <c r="U177" i="1"/>
  <c r="V177" i="1"/>
  <c r="W177" i="1"/>
  <c r="X177" i="1"/>
  <c r="Y177" i="1"/>
  <c r="O178" i="1"/>
  <c r="P178" i="1"/>
  <c r="Q178" i="1"/>
  <c r="R178" i="1"/>
  <c r="S178" i="1"/>
  <c r="T178" i="1"/>
  <c r="U178" i="1"/>
  <c r="V178" i="1"/>
  <c r="W178" i="1"/>
  <c r="X178" i="1"/>
  <c r="Y178" i="1"/>
  <c r="O179" i="1"/>
  <c r="P179" i="1"/>
  <c r="Q179" i="1"/>
  <c r="R179" i="1"/>
  <c r="S179" i="1"/>
  <c r="T179" i="1"/>
  <c r="U179" i="1"/>
  <c r="V179" i="1"/>
  <c r="W179" i="1"/>
  <c r="X179" i="1"/>
  <c r="Y179" i="1"/>
  <c r="O180" i="1"/>
  <c r="P180" i="1"/>
  <c r="Q180" i="1"/>
  <c r="R180" i="1"/>
  <c r="S180" i="1"/>
  <c r="T180" i="1"/>
  <c r="U180" i="1"/>
  <c r="V180" i="1"/>
  <c r="W180" i="1"/>
  <c r="X180" i="1"/>
  <c r="Y180" i="1"/>
  <c r="O181" i="1"/>
  <c r="P181" i="1"/>
  <c r="Q181" i="1"/>
  <c r="R181" i="1"/>
  <c r="S181" i="1"/>
  <c r="T181" i="1"/>
  <c r="U181" i="1"/>
  <c r="V181" i="1"/>
  <c r="W181" i="1"/>
  <c r="X181" i="1"/>
  <c r="Y181" i="1"/>
  <c r="O182" i="1"/>
  <c r="P182" i="1"/>
  <c r="Q182" i="1"/>
  <c r="R182" i="1"/>
  <c r="S182" i="1"/>
  <c r="T182" i="1"/>
  <c r="U182" i="1"/>
  <c r="V182" i="1"/>
  <c r="W182" i="1"/>
  <c r="X182" i="1"/>
  <c r="Y182" i="1"/>
  <c r="O183" i="1"/>
  <c r="P183" i="1"/>
  <c r="Q183" i="1"/>
  <c r="R183" i="1"/>
  <c r="S183" i="1"/>
  <c r="T183" i="1"/>
  <c r="U183" i="1"/>
  <c r="V183" i="1"/>
  <c r="W183" i="1"/>
  <c r="X183" i="1"/>
  <c r="Y183" i="1"/>
  <c r="O184" i="1"/>
  <c r="P184" i="1"/>
  <c r="Q184" i="1"/>
  <c r="R184" i="1"/>
  <c r="S184" i="1"/>
  <c r="T184" i="1"/>
  <c r="U184" i="1"/>
  <c r="V184" i="1"/>
  <c r="W184" i="1"/>
  <c r="X184" i="1"/>
  <c r="Y184" i="1"/>
  <c r="O185" i="1"/>
  <c r="P185" i="1"/>
  <c r="Q185" i="1"/>
  <c r="R185" i="1"/>
  <c r="S185" i="1"/>
  <c r="T185" i="1"/>
  <c r="U185" i="1"/>
  <c r="V185" i="1"/>
  <c r="W185" i="1"/>
  <c r="X185" i="1"/>
  <c r="Y185" i="1"/>
  <c r="O186" i="1"/>
  <c r="P186" i="1"/>
  <c r="Q186" i="1"/>
  <c r="R186" i="1"/>
  <c r="S186" i="1"/>
  <c r="T186" i="1"/>
  <c r="U186" i="1"/>
  <c r="V186" i="1"/>
  <c r="W186" i="1"/>
  <c r="X186" i="1"/>
  <c r="Y186" i="1"/>
  <c r="O187" i="1"/>
  <c r="P187" i="1"/>
  <c r="Q187" i="1"/>
  <c r="R187" i="1"/>
  <c r="S187" i="1"/>
  <c r="T187" i="1"/>
  <c r="U187" i="1"/>
  <c r="V187" i="1"/>
  <c r="W187" i="1"/>
  <c r="X187" i="1"/>
  <c r="Y187" i="1"/>
  <c r="O188" i="1"/>
  <c r="P188" i="1"/>
  <c r="Q188" i="1"/>
  <c r="R188" i="1"/>
  <c r="S188" i="1"/>
  <c r="T188" i="1"/>
  <c r="U188" i="1"/>
  <c r="V188" i="1"/>
  <c r="W188" i="1"/>
  <c r="X188" i="1"/>
  <c r="Y188" i="1"/>
  <c r="O189" i="1"/>
  <c r="P189" i="1"/>
  <c r="Q189" i="1"/>
  <c r="R189" i="1"/>
  <c r="S189" i="1"/>
  <c r="T189" i="1"/>
  <c r="U189" i="1"/>
  <c r="V189" i="1"/>
  <c r="W189" i="1"/>
  <c r="X189" i="1"/>
  <c r="Y189" i="1"/>
  <c r="O190" i="1"/>
  <c r="P190" i="1"/>
  <c r="Q190" i="1"/>
  <c r="R190" i="1"/>
  <c r="S190" i="1"/>
  <c r="T190" i="1"/>
  <c r="U190" i="1"/>
  <c r="V190" i="1"/>
  <c r="W190" i="1"/>
  <c r="X190" i="1"/>
  <c r="Y190" i="1"/>
  <c r="O191" i="1"/>
  <c r="P191" i="1"/>
  <c r="Q191" i="1"/>
  <c r="R191" i="1"/>
  <c r="S191" i="1"/>
  <c r="T191" i="1"/>
  <c r="U191" i="1"/>
  <c r="V191" i="1"/>
  <c r="W191" i="1"/>
  <c r="X191" i="1"/>
  <c r="Y191" i="1"/>
  <c r="O192" i="1"/>
  <c r="P192" i="1"/>
  <c r="Q192" i="1"/>
  <c r="R192" i="1"/>
  <c r="S192" i="1"/>
  <c r="T192" i="1"/>
  <c r="U192" i="1"/>
  <c r="V192" i="1"/>
  <c r="W192" i="1"/>
  <c r="X192" i="1"/>
  <c r="Y192" i="1"/>
  <c r="O193" i="1"/>
  <c r="P193" i="1"/>
  <c r="Q193" i="1"/>
  <c r="R193" i="1"/>
  <c r="S193" i="1"/>
  <c r="T193" i="1"/>
  <c r="U193" i="1"/>
  <c r="V193" i="1"/>
  <c r="W193" i="1"/>
  <c r="X193" i="1"/>
  <c r="Y193" i="1"/>
  <c r="O194" i="1"/>
  <c r="P194" i="1"/>
  <c r="Q194" i="1"/>
  <c r="R194" i="1"/>
  <c r="S194" i="1"/>
  <c r="T194" i="1"/>
  <c r="U194" i="1"/>
  <c r="V194" i="1"/>
  <c r="W194" i="1"/>
  <c r="X194" i="1"/>
  <c r="Y194" i="1"/>
  <c r="O195" i="1"/>
  <c r="P195" i="1"/>
  <c r="Q195" i="1"/>
  <c r="R195" i="1"/>
  <c r="S195" i="1"/>
  <c r="T195" i="1"/>
  <c r="U195" i="1"/>
  <c r="V195" i="1"/>
  <c r="W195" i="1"/>
  <c r="X195" i="1"/>
  <c r="Y195" i="1"/>
  <c r="O196" i="1"/>
  <c r="P196" i="1"/>
  <c r="Q196" i="1"/>
  <c r="R196" i="1"/>
  <c r="S196" i="1"/>
  <c r="T196" i="1"/>
  <c r="U196" i="1"/>
  <c r="V196" i="1"/>
  <c r="W196" i="1"/>
  <c r="X196" i="1"/>
  <c r="Y196" i="1"/>
  <c r="O197" i="1"/>
  <c r="P197" i="1"/>
  <c r="Q197" i="1"/>
  <c r="R197" i="1"/>
  <c r="S197" i="1"/>
  <c r="T197" i="1"/>
  <c r="U197" i="1"/>
  <c r="V197" i="1"/>
  <c r="W197" i="1"/>
  <c r="X197" i="1"/>
  <c r="Y197" i="1"/>
  <c r="O198" i="1"/>
  <c r="P198" i="1"/>
  <c r="Q198" i="1"/>
  <c r="R198" i="1"/>
  <c r="S198" i="1"/>
  <c r="T198" i="1"/>
  <c r="U198" i="1"/>
  <c r="V198" i="1"/>
  <c r="W198" i="1"/>
  <c r="X198" i="1"/>
  <c r="Y198" i="1"/>
  <c r="O199" i="1"/>
  <c r="P199" i="1"/>
  <c r="Q199" i="1"/>
  <c r="R199" i="1"/>
  <c r="S199" i="1"/>
  <c r="T199" i="1"/>
  <c r="U199" i="1"/>
  <c r="V199" i="1"/>
  <c r="W199" i="1"/>
  <c r="X199" i="1"/>
  <c r="Y199" i="1"/>
  <c r="O200" i="1"/>
  <c r="P200" i="1"/>
  <c r="Q200" i="1"/>
  <c r="R200" i="1"/>
  <c r="S200" i="1"/>
  <c r="T200" i="1"/>
  <c r="U200" i="1"/>
  <c r="V200" i="1"/>
  <c r="W200" i="1"/>
  <c r="X200" i="1"/>
  <c r="Y200" i="1"/>
  <c r="O201" i="1"/>
  <c r="P201" i="1"/>
  <c r="Q201" i="1"/>
  <c r="R201" i="1"/>
  <c r="S201" i="1"/>
  <c r="T201" i="1"/>
  <c r="U201" i="1"/>
  <c r="V201" i="1"/>
  <c r="W201" i="1"/>
  <c r="X201" i="1"/>
  <c r="Y201" i="1"/>
  <c r="O202" i="1"/>
  <c r="P202" i="1"/>
  <c r="Q202" i="1"/>
  <c r="R202" i="1"/>
  <c r="S202" i="1"/>
  <c r="T202" i="1"/>
  <c r="U202" i="1"/>
  <c r="V202" i="1"/>
  <c r="W202" i="1"/>
  <c r="X202" i="1"/>
  <c r="Y202" i="1"/>
  <c r="O203" i="1"/>
  <c r="P203" i="1"/>
  <c r="Q203" i="1"/>
  <c r="R203" i="1"/>
  <c r="S203" i="1"/>
  <c r="T203" i="1"/>
  <c r="U203" i="1"/>
  <c r="V203" i="1"/>
  <c r="W203" i="1"/>
  <c r="X203" i="1"/>
  <c r="Y203" i="1"/>
  <c r="O204" i="1"/>
  <c r="P204" i="1"/>
  <c r="Q204" i="1"/>
  <c r="R204" i="1"/>
  <c r="S204" i="1"/>
  <c r="T204" i="1"/>
  <c r="U204" i="1"/>
  <c r="V204" i="1"/>
  <c r="W204" i="1"/>
  <c r="X204" i="1"/>
  <c r="Y204" i="1"/>
  <c r="O205" i="1"/>
  <c r="P205" i="1"/>
  <c r="Q205" i="1"/>
  <c r="R205" i="1"/>
  <c r="S205" i="1"/>
  <c r="T205" i="1"/>
  <c r="U205" i="1"/>
  <c r="V205" i="1"/>
  <c r="W205" i="1"/>
  <c r="X205" i="1"/>
  <c r="Y205" i="1"/>
  <c r="O206" i="1"/>
  <c r="P206" i="1"/>
  <c r="Q206" i="1"/>
  <c r="R206" i="1"/>
  <c r="S206" i="1"/>
  <c r="T206" i="1"/>
  <c r="U206" i="1"/>
  <c r="V206" i="1"/>
  <c r="W206" i="1"/>
  <c r="X206" i="1"/>
  <c r="Y206" i="1"/>
  <c r="O207" i="1"/>
  <c r="P207" i="1"/>
  <c r="Q207" i="1"/>
  <c r="R207" i="1"/>
  <c r="S207" i="1"/>
  <c r="T207" i="1"/>
  <c r="U207" i="1"/>
  <c r="V207" i="1"/>
  <c r="W207" i="1"/>
  <c r="X207" i="1"/>
  <c r="Y207" i="1"/>
  <c r="O208" i="1"/>
  <c r="P208" i="1"/>
  <c r="Q208" i="1"/>
  <c r="R208" i="1"/>
  <c r="S208" i="1"/>
  <c r="T208" i="1"/>
  <c r="U208" i="1"/>
  <c r="V208" i="1"/>
  <c r="W208" i="1"/>
  <c r="X208" i="1"/>
  <c r="Y208" i="1"/>
  <c r="O209" i="1"/>
  <c r="P209" i="1"/>
  <c r="Q209" i="1"/>
  <c r="R209" i="1"/>
  <c r="S209" i="1"/>
  <c r="T209" i="1"/>
  <c r="U209" i="1"/>
  <c r="V209" i="1"/>
  <c r="W209" i="1"/>
  <c r="X209" i="1"/>
  <c r="Y209" i="1"/>
  <c r="O210" i="1"/>
  <c r="P210" i="1"/>
  <c r="Q210" i="1"/>
  <c r="R210" i="1"/>
  <c r="S210" i="1"/>
  <c r="T210" i="1"/>
  <c r="U210" i="1"/>
  <c r="V210" i="1"/>
  <c r="W210" i="1"/>
  <c r="X210" i="1"/>
  <c r="Y210" i="1"/>
  <c r="O211" i="1"/>
  <c r="P211" i="1"/>
  <c r="Q211" i="1"/>
  <c r="R211" i="1"/>
  <c r="S211" i="1"/>
  <c r="T211" i="1"/>
  <c r="U211" i="1"/>
  <c r="V211" i="1"/>
  <c r="W211" i="1"/>
  <c r="X211" i="1"/>
  <c r="Y211" i="1"/>
  <c r="O212" i="1"/>
  <c r="P212" i="1"/>
  <c r="Q212" i="1"/>
  <c r="R212" i="1"/>
  <c r="S212" i="1"/>
  <c r="T212" i="1"/>
  <c r="U212" i="1"/>
  <c r="V212" i="1"/>
  <c r="W212" i="1"/>
  <c r="X212" i="1"/>
  <c r="Y212" i="1"/>
  <c r="O213" i="1"/>
  <c r="P213" i="1"/>
  <c r="Q213" i="1"/>
  <c r="R213" i="1"/>
  <c r="S213" i="1"/>
  <c r="T213" i="1"/>
  <c r="U213" i="1"/>
  <c r="V213" i="1"/>
  <c r="W213" i="1"/>
  <c r="X213" i="1"/>
  <c r="Y213" i="1"/>
  <c r="O214" i="1"/>
  <c r="P214" i="1"/>
  <c r="Q214" i="1"/>
  <c r="R214" i="1"/>
  <c r="S214" i="1"/>
  <c r="T214" i="1"/>
  <c r="U214" i="1"/>
  <c r="V214" i="1"/>
  <c r="W214" i="1"/>
  <c r="X214" i="1"/>
  <c r="Y214" i="1"/>
  <c r="O215" i="1"/>
  <c r="P215" i="1"/>
  <c r="Q215" i="1"/>
  <c r="R215" i="1"/>
  <c r="S215" i="1"/>
  <c r="T215" i="1"/>
  <c r="U215" i="1"/>
  <c r="V215" i="1"/>
  <c r="W215" i="1"/>
  <c r="X215" i="1"/>
  <c r="Y215" i="1"/>
  <c r="O216" i="1"/>
  <c r="P216" i="1"/>
  <c r="Q216" i="1"/>
  <c r="R216" i="1"/>
  <c r="S216" i="1"/>
  <c r="T216" i="1"/>
  <c r="U216" i="1"/>
  <c r="V216" i="1"/>
  <c r="W216" i="1"/>
  <c r="X216" i="1"/>
  <c r="Y216" i="1"/>
  <c r="O217" i="1"/>
  <c r="P217" i="1"/>
  <c r="Q217" i="1"/>
  <c r="R217" i="1"/>
  <c r="S217" i="1"/>
  <c r="T217" i="1"/>
  <c r="U217" i="1"/>
  <c r="V217" i="1"/>
  <c r="W217" i="1"/>
  <c r="X217" i="1"/>
  <c r="Y217" i="1"/>
  <c r="O218" i="1"/>
  <c r="P218" i="1"/>
  <c r="Q218" i="1"/>
  <c r="R218" i="1"/>
  <c r="S218" i="1"/>
  <c r="T218" i="1"/>
  <c r="U218" i="1"/>
  <c r="V218" i="1"/>
  <c r="W218" i="1"/>
  <c r="X218" i="1"/>
  <c r="Y218" i="1"/>
  <c r="O219" i="1"/>
  <c r="P219" i="1"/>
  <c r="Q219" i="1"/>
  <c r="R219" i="1"/>
  <c r="S219" i="1"/>
  <c r="T219" i="1"/>
  <c r="U219" i="1"/>
  <c r="V219" i="1"/>
  <c r="W219" i="1"/>
  <c r="X219" i="1"/>
  <c r="Y219" i="1"/>
  <c r="O220" i="1"/>
  <c r="P220" i="1"/>
  <c r="Q220" i="1"/>
  <c r="R220" i="1"/>
  <c r="S220" i="1"/>
  <c r="T220" i="1"/>
  <c r="U220" i="1"/>
  <c r="V220" i="1"/>
  <c r="W220" i="1"/>
  <c r="X220" i="1"/>
  <c r="Y220" i="1"/>
  <c r="O221" i="1"/>
  <c r="P221" i="1"/>
  <c r="Q221" i="1"/>
  <c r="R221" i="1"/>
  <c r="S221" i="1"/>
  <c r="T221" i="1"/>
  <c r="U221" i="1"/>
  <c r="V221" i="1"/>
  <c r="W221" i="1"/>
  <c r="X221" i="1"/>
  <c r="Y221" i="1"/>
  <c r="O222" i="1"/>
  <c r="P222" i="1"/>
  <c r="Q222" i="1"/>
  <c r="R222" i="1"/>
  <c r="S222" i="1"/>
  <c r="T222" i="1"/>
  <c r="U222" i="1"/>
  <c r="V222" i="1"/>
  <c r="W222" i="1"/>
  <c r="X222" i="1"/>
  <c r="Y222" i="1"/>
  <c r="O223" i="1"/>
  <c r="P223" i="1"/>
  <c r="Q223" i="1"/>
  <c r="R223" i="1"/>
  <c r="S223" i="1"/>
  <c r="T223" i="1"/>
  <c r="U223" i="1"/>
  <c r="V223" i="1"/>
  <c r="W223" i="1"/>
  <c r="X223" i="1"/>
  <c r="Y223" i="1"/>
  <c r="O224" i="1"/>
  <c r="P224" i="1"/>
  <c r="Q224" i="1"/>
  <c r="R224" i="1"/>
  <c r="S224" i="1"/>
  <c r="T224" i="1"/>
  <c r="U224" i="1"/>
  <c r="V224" i="1"/>
  <c r="W224" i="1"/>
  <c r="X224" i="1"/>
  <c r="Y224" i="1"/>
  <c r="O225" i="1"/>
  <c r="P225" i="1"/>
  <c r="Q225" i="1"/>
  <c r="R225" i="1"/>
  <c r="S225" i="1"/>
  <c r="T225" i="1"/>
  <c r="U225" i="1"/>
  <c r="V225" i="1"/>
  <c r="W225" i="1"/>
  <c r="X225" i="1"/>
  <c r="Y225" i="1"/>
  <c r="O226" i="1"/>
  <c r="P226" i="1"/>
  <c r="Q226" i="1"/>
  <c r="R226" i="1"/>
  <c r="S226" i="1"/>
  <c r="T226" i="1"/>
  <c r="U226" i="1"/>
  <c r="V226" i="1"/>
  <c r="W226" i="1"/>
  <c r="X226" i="1"/>
  <c r="Y226" i="1"/>
  <c r="O227" i="1"/>
  <c r="P227" i="1"/>
  <c r="Q227" i="1"/>
  <c r="R227" i="1"/>
  <c r="S227" i="1"/>
  <c r="T227" i="1"/>
  <c r="U227" i="1"/>
  <c r="V227" i="1"/>
  <c r="W227" i="1"/>
  <c r="X227" i="1"/>
  <c r="Y227" i="1"/>
  <c r="O228" i="1"/>
  <c r="P228" i="1"/>
  <c r="Q228" i="1"/>
  <c r="R228" i="1"/>
  <c r="S228" i="1"/>
  <c r="T228" i="1"/>
  <c r="U228" i="1"/>
  <c r="V228" i="1"/>
  <c r="W228" i="1"/>
  <c r="X228" i="1"/>
  <c r="Y228" i="1"/>
  <c r="O229" i="1"/>
  <c r="P229" i="1"/>
  <c r="Q229" i="1"/>
  <c r="R229" i="1"/>
  <c r="S229" i="1"/>
  <c r="T229" i="1"/>
  <c r="U229" i="1"/>
  <c r="V229" i="1"/>
  <c r="W229" i="1"/>
  <c r="X229" i="1"/>
  <c r="Y229" i="1"/>
  <c r="O230" i="1"/>
  <c r="P230" i="1"/>
  <c r="Q230" i="1"/>
  <c r="R230" i="1"/>
  <c r="S230" i="1"/>
  <c r="T230" i="1"/>
  <c r="U230" i="1"/>
  <c r="V230" i="1"/>
  <c r="W230" i="1"/>
  <c r="X230" i="1"/>
  <c r="Y230" i="1"/>
  <c r="O231" i="1"/>
  <c r="P231" i="1"/>
  <c r="Q231" i="1"/>
  <c r="R231" i="1"/>
  <c r="S231" i="1"/>
  <c r="T231" i="1"/>
  <c r="U231" i="1"/>
  <c r="V231" i="1"/>
  <c r="W231" i="1"/>
  <c r="X231" i="1"/>
  <c r="Y231" i="1"/>
  <c r="O232" i="1"/>
  <c r="P232" i="1"/>
  <c r="Q232" i="1"/>
  <c r="R232" i="1"/>
  <c r="S232" i="1"/>
  <c r="T232" i="1"/>
  <c r="U232" i="1"/>
  <c r="V232" i="1"/>
  <c r="W232" i="1"/>
  <c r="X232" i="1"/>
  <c r="Y232" i="1"/>
  <c r="O233" i="1"/>
  <c r="P233" i="1"/>
  <c r="Q233" i="1"/>
  <c r="R233" i="1"/>
  <c r="S233" i="1"/>
  <c r="T233" i="1"/>
  <c r="U233" i="1"/>
  <c r="V233" i="1"/>
  <c r="W233" i="1"/>
  <c r="X233" i="1"/>
  <c r="Y233" i="1"/>
  <c r="O234" i="1"/>
  <c r="P234" i="1"/>
  <c r="Q234" i="1"/>
  <c r="R234" i="1"/>
  <c r="S234" i="1"/>
  <c r="T234" i="1"/>
  <c r="U234" i="1"/>
  <c r="V234" i="1"/>
  <c r="W234" i="1"/>
  <c r="X234" i="1"/>
  <c r="Y234" i="1"/>
  <c r="O235" i="1"/>
  <c r="P235" i="1"/>
  <c r="Q235" i="1"/>
  <c r="R235" i="1"/>
  <c r="S235" i="1"/>
  <c r="T235" i="1"/>
  <c r="U235" i="1"/>
  <c r="V235" i="1"/>
  <c r="W235" i="1"/>
  <c r="X235" i="1"/>
  <c r="Y235" i="1"/>
  <c r="O236" i="1"/>
  <c r="P236" i="1"/>
  <c r="Q236" i="1"/>
  <c r="R236" i="1"/>
  <c r="S236" i="1"/>
  <c r="T236" i="1"/>
  <c r="U236" i="1"/>
  <c r="V236" i="1"/>
  <c r="W236" i="1"/>
  <c r="X236" i="1"/>
  <c r="Y236" i="1"/>
  <c r="O237" i="1"/>
  <c r="P237" i="1"/>
  <c r="Q237" i="1"/>
  <c r="R237" i="1"/>
  <c r="S237" i="1"/>
  <c r="T237" i="1"/>
  <c r="U237" i="1"/>
  <c r="V237" i="1"/>
  <c r="W237" i="1"/>
  <c r="X237" i="1"/>
  <c r="Y237" i="1"/>
  <c r="O238" i="1"/>
  <c r="P238" i="1"/>
  <c r="Q238" i="1"/>
  <c r="R238" i="1"/>
  <c r="S238" i="1"/>
  <c r="T238" i="1"/>
  <c r="U238" i="1"/>
  <c r="V238" i="1"/>
  <c r="W238" i="1"/>
  <c r="X238" i="1"/>
  <c r="Y238" i="1"/>
  <c r="O239" i="1"/>
  <c r="P239" i="1"/>
  <c r="Q239" i="1"/>
  <c r="R239" i="1"/>
  <c r="S239" i="1"/>
  <c r="T239" i="1"/>
  <c r="U239" i="1"/>
  <c r="V239" i="1"/>
  <c r="W239" i="1"/>
  <c r="X239" i="1"/>
  <c r="Y239" i="1"/>
  <c r="O240" i="1"/>
  <c r="P240" i="1"/>
  <c r="Q240" i="1"/>
  <c r="R240" i="1"/>
  <c r="S240" i="1"/>
  <c r="T240" i="1"/>
  <c r="U240" i="1"/>
  <c r="V240" i="1"/>
  <c r="W240" i="1"/>
  <c r="X240" i="1"/>
  <c r="Y240" i="1"/>
  <c r="O241" i="1"/>
  <c r="P241" i="1"/>
  <c r="Q241" i="1"/>
  <c r="R241" i="1"/>
  <c r="S241" i="1"/>
  <c r="T241" i="1"/>
  <c r="U241" i="1"/>
  <c r="V241" i="1"/>
  <c r="W241" i="1"/>
  <c r="X241" i="1"/>
  <c r="Y241" i="1"/>
  <c r="O242" i="1"/>
  <c r="P242" i="1"/>
  <c r="Q242" i="1"/>
  <c r="R242" i="1"/>
  <c r="S242" i="1"/>
  <c r="T242" i="1"/>
  <c r="U242" i="1"/>
  <c r="V242" i="1"/>
  <c r="W242" i="1"/>
  <c r="X242" i="1"/>
  <c r="Y242" i="1"/>
  <c r="O243" i="1"/>
  <c r="P243" i="1"/>
  <c r="Q243" i="1"/>
  <c r="R243" i="1"/>
  <c r="S243" i="1"/>
  <c r="T243" i="1"/>
  <c r="U243" i="1"/>
  <c r="V243" i="1"/>
  <c r="W243" i="1"/>
  <c r="X243" i="1"/>
  <c r="Y243" i="1"/>
  <c r="O244" i="1"/>
  <c r="P244" i="1"/>
  <c r="Q244" i="1"/>
  <c r="R244" i="1"/>
  <c r="S244" i="1"/>
  <c r="T244" i="1"/>
  <c r="U244" i="1"/>
  <c r="V244" i="1"/>
  <c r="W244" i="1"/>
  <c r="X244" i="1"/>
  <c r="Y244" i="1"/>
  <c r="O245" i="1"/>
  <c r="P245" i="1"/>
  <c r="Q245" i="1"/>
  <c r="R245" i="1"/>
  <c r="S245" i="1"/>
  <c r="T245" i="1"/>
  <c r="U245" i="1"/>
  <c r="V245" i="1"/>
  <c r="W245" i="1"/>
  <c r="X245" i="1"/>
  <c r="Y245" i="1"/>
  <c r="O246" i="1"/>
  <c r="P246" i="1"/>
  <c r="Q246" i="1"/>
  <c r="R246" i="1"/>
  <c r="S246" i="1"/>
  <c r="T246" i="1"/>
  <c r="U246" i="1"/>
  <c r="V246" i="1"/>
  <c r="W246" i="1"/>
  <c r="X246" i="1"/>
  <c r="Y246" i="1"/>
  <c r="O247" i="1"/>
  <c r="P247" i="1"/>
  <c r="Q247" i="1"/>
  <c r="R247" i="1"/>
  <c r="S247" i="1"/>
  <c r="T247" i="1"/>
  <c r="U247" i="1"/>
  <c r="V247" i="1"/>
  <c r="W247" i="1"/>
  <c r="X247" i="1"/>
  <c r="Y247" i="1"/>
  <c r="O248" i="1"/>
  <c r="P248" i="1"/>
  <c r="Q248" i="1"/>
  <c r="R248" i="1"/>
  <c r="S248" i="1"/>
  <c r="T248" i="1"/>
  <c r="U248" i="1"/>
  <c r="V248" i="1"/>
  <c r="W248" i="1"/>
  <c r="X248" i="1"/>
  <c r="Y248" i="1"/>
  <c r="O249" i="1"/>
  <c r="P249" i="1"/>
  <c r="Q249" i="1"/>
  <c r="R249" i="1"/>
  <c r="S249" i="1"/>
  <c r="T249" i="1"/>
  <c r="U249" i="1"/>
  <c r="V249" i="1"/>
  <c r="W249" i="1"/>
  <c r="X249" i="1"/>
  <c r="Y249" i="1"/>
  <c r="O250" i="1"/>
  <c r="P250" i="1"/>
  <c r="Q250" i="1"/>
  <c r="R250" i="1"/>
  <c r="S250" i="1"/>
  <c r="T250" i="1"/>
  <c r="U250" i="1"/>
  <c r="V250" i="1"/>
  <c r="W250" i="1"/>
  <c r="X250" i="1"/>
  <c r="Y250" i="1"/>
  <c r="O251" i="1"/>
  <c r="P251" i="1"/>
  <c r="Q251" i="1"/>
  <c r="R251" i="1"/>
  <c r="S251" i="1"/>
  <c r="T251" i="1"/>
  <c r="U251" i="1"/>
  <c r="V251" i="1"/>
  <c r="W251" i="1"/>
  <c r="X251" i="1"/>
  <c r="Y251" i="1"/>
  <c r="O252" i="1"/>
  <c r="P252" i="1"/>
  <c r="Q252" i="1"/>
  <c r="R252" i="1"/>
  <c r="S252" i="1"/>
  <c r="T252" i="1"/>
  <c r="U252" i="1"/>
  <c r="V252" i="1"/>
  <c r="W252" i="1"/>
  <c r="X252" i="1"/>
  <c r="Y252" i="1"/>
  <c r="O253" i="1"/>
  <c r="P253" i="1"/>
  <c r="Q253" i="1"/>
  <c r="R253" i="1"/>
  <c r="S253" i="1"/>
  <c r="T253" i="1"/>
  <c r="U253" i="1"/>
  <c r="V253" i="1"/>
  <c r="W253" i="1"/>
  <c r="X253" i="1"/>
  <c r="Y253" i="1"/>
  <c r="O254" i="1"/>
  <c r="P254" i="1"/>
  <c r="Q254" i="1"/>
  <c r="R254" i="1"/>
  <c r="S254" i="1"/>
  <c r="T254" i="1"/>
  <c r="U254" i="1"/>
  <c r="V254" i="1"/>
  <c r="W254" i="1"/>
  <c r="X254" i="1"/>
  <c r="Y254" i="1"/>
  <c r="O255" i="1"/>
  <c r="P255" i="1"/>
  <c r="Q255" i="1"/>
  <c r="R255" i="1"/>
  <c r="S255" i="1"/>
  <c r="T255" i="1"/>
  <c r="U255" i="1"/>
  <c r="V255" i="1"/>
  <c r="W255" i="1"/>
  <c r="X255" i="1"/>
  <c r="Y255" i="1"/>
  <c r="O256" i="1"/>
  <c r="P256" i="1"/>
  <c r="Q256" i="1"/>
  <c r="R256" i="1"/>
  <c r="S256" i="1"/>
  <c r="T256" i="1"/>
  <c r="U256" i="1"/>
  <c r="V256" i="1"/>
  <c r="W256" i="1"/>
  <c r="X256" i="1"/>
  <c r="Y256" i="1"/>
  <c r="O257" i="1"/>
  <c r="P257" i="1"/>
  <c r="Q257" i="1"/>
  <c r="R257" i="1"/>
  <c r="S257" i="1"/>
  <c r="T257" i="1"/>
  <c r="U257" i="1"/>
  <c r="V257" i="1"/>
  <c r="W257" i="1"/>
  <c r="X257" i="1"/>
  <c r="Y257" i="1"/>
  <c r="O258" i="1"/>
  <c r="P258" i="1"/>
  <c r="Q258" i="1"/>
  <c r="R258" i="1"/>
  <c r="S258" i="1"/>
  <c r="T258" i="1"/>
  <c r="U258" i="1"/>
  <c r="V258" i="1"/>
  <c r="W258" i="1"/>
  <c r="X258" i="1"/>
  <c r="Y258" i="1"/>
  <c r="O259" i="1"/>
  <c r="P259" i="1"/>
  <c r="Q259" i="1"/>
  <c r="R259" i="1"/>
  <c r="S259" i="1"/>
  <c r="T259" i="1"/>
  <c r="U259" i="1"/>
  <c r="V259" i="1"/>
  <c r="W259" i="1"/>
  <c r="X259" i="1"/>
  <c r="Y259" i="1"/>
  <c r="O260" i="1"/>
  <c r="P260" i="1"/>
  <c r="Q260" i="1"/>
  <c r="R260" i="1"/>
  <c r="S260" i="1"/>
  <c r="T260" i="1"/>
  <c r="U260" i="1"/>
  <c r="V260" i="1"/>
  <c r="W260" i="1"/>
  <c r="X260" i="1"/>
  <c r="Y260" i="1"/>
  <c r="O261" i="1"/>
  <c r="P261" i="1"/>
  <c r="Q261" i="1"/>
  <c r="R261" i="1"/>
  <c r="S261" i="1"/>
  <c r="T261" i="1"/>
  <c r="U261" i="1"/>
  <c r="V261" i="1"/>
  <c r="W261" i="1"/>
  <c r="X261" i="1"/>
  <c r="Y261" i="1"/>
  <c r="O262" i="1"/>
  <c r="P262" i="1"/>
  <c r="Q262" i="1"/>
  <c r="R262" i="1"/>
  <c r="S262" i="1"/>
  <c r="T262" i="1"/>
  <c r="U262" i="1"/>
  <c r="V262" i="1"/>
  <c r="W262" i="1"/>
  <c r="X262" i="1"/>
  <c r="Y262" i="1"/>
  <c r="O263" i="1"/>
  <c r="P263" i="1"/>
  <c r="Q263" i="1"/>
  <c r="R263" i="1"/>
  <c r="S263" i="1"/>
  <c r="T263" i="1"/>
  <c r="U263" i="1"/>
  <c r="V263" i="1"/>
  <c r="W263" i="1"/>
  <c r="X263" i="1"/>
  <c r="Y263" i="1"/>
  <c r="O264" i="1"/>
  <c r="P264" i="1"/>
  <c r="Q264" i="1"/>
  <c r="R264" i="1"/>
  <c r="S264" i="1"/>
  <c r="T264" i="1"/>
  <c r="U264" i="1"/>
  <c r="V264" i="1"/>
  <c r="W264" i="1"/>
  <c r="X264" i="1"/>
  <c r="Y264" i="1"/>
  <c r="O265" i="1"/>
  <c r="P265" i="1"/>
  <c r="Q265" i="1"/>
  <c r="R265" i="1"/>
  <c r="S265" i="1"/>
  <c r="T265" i="1"/>
  <c r="U265" i="1"/>
  <c r="V265" i="1"/>
  <c r="W265" i="1"/>
  <c r="X265" i="1"/>
  <c r="Y265" i="1"/>
  <c r="O266" i="1"/>
  <c r="P266" i="1"/>
  <c r="Q266" i="1"/>
  <c r="R266" i="1"/>
  <c r="S266" i="1"/>
  <c r="T266" i="1"/>
  <c r="U266" i="1"/>
  <c r="V266" i="1"/>
  <c r="W266" i="1"/>
  <c r="X266" i="1"/>
  <c r="Y266" i="1"/>
  <c r="O267" i="1"/>
  <c r="P267" i="1"/>
  <c r="Q267" i="1"/>
  <c r="R267" i="1"/>
  <c r="S267" i="1"/>
  <c r="T267" i="1"/>
  <c r="U267" i="1"/>
  <c r="V267" i="1"/>
  <c r="W267" i="1"/>
  <c r="X267" i="1"/>
  <c r="Y267" i="1"/>
  <c r="O268" i="1"/>
  <c r="P268" i="1"/>
  <c r="Q268" i="1"/>
  <c r="R268" i="1"/>
  <c r="S268" i="1"/>
  <c r="T268" i="1"/>
  <c r="U268" i="1"/>
  <c r="V268" i="1"/>
  <c r="W268" i="1"/>
  <c r="X268" i="1"/>
  <c r="Y268" i="1"/>
  <c r="O269" i="1"/>
  <c r="P269" i="1"/>
  <c r="Q269" i="1"/>
  <c r="R269" i="1"/>
  <c r="S269" i="1"/>
  <c r="T269" i="1"/>
  <c r="U269" i="1"/>
  <c r="V269" i="1"/>
  <c r="W269" i="1"/>
  <c r="X269" i="1"/>
  <c r="Y269" i="1"/>
  <c r="O270" i="1"/>
  <c r="P270" i="1"/>
  <c r="Q270" i="1"/>
  <c r="R270" i="1"/>
  <c r="S270" i="1"/>
  <c r="T270" i="1"/>
  <c r="U270" i="1"/>
  <c r="V270" i="1"/>
  <c r="W270" i="1"/>
  <c r="X270" i="1"/>
  <c r="Y270" i="1"/>
  <c r="O271" i="1"/>
  <c r="P271" i="1"/>
  <c r="Q271" i="1"/>
  <c r="R271" i="1"/>
  <c r="S271" i="1"/>
  <c r="T271" i="1"/>
  <c r="U271" i="1"/>
  <c r="V271" i="1"/>
  <c r="W271" i="1"/>
  <c r="X271" i="1"/>
  <c r="Y271" i="1"/>
  <c r="O272" i="1"/>
  <c r="P272" i="1"/>
  <c r="Q272" i="1"/>
  <c r="R272" i="1"/>
  <c r="S272" i="1"/>
  <c r="T272" i="1"/>
  <c r="U272" i="1"/>
  <c r="V272" i="1"/>
  <c r="W272" i="1"/>
  <c r="X272" i="1"/>
  <c r="Y272" i="1"/>
  <c r="O273" i="1"/>
  <c r="P273" i="1"/>
  <c r="Q273" i="1"/>
  <c r="R273" i="1"/>
  <c r="S273" i="1"/>
  <c r="T273" i="1"/>
  <c r="U273" i="1"/>
  <c r="V273" i="1"/>
  <c r="W273" i="1"/>
  <c r="X273" i="1"/>
  <c r="Y273" i="1"/>
  <c r="O274" i="1"/>
  <c r="P274" i="1"/>
  <c r="Q274" i="1"/>
  <c r="R274" i="1"/>
  <c r="S274" i="1"/>
  <c r="T274" i="1"/>
  <c r="U274" i="1"/>
  <c r="V274" i="1"/>
  <c r="W274" i="1"/>
  <c r="X274" i="1"/>
  <c r="Y274" i="1"/>
  <c r="O275" i="1"/>
  <c r="P275" i="1"/>
  <c r="Q275" i="1"/>
  <c r="R275" i="1"/>
  <c r="S275" i="1"/>
  <c r="T275" i="1"/>
  <c r="U275" i="1"/>
  <c r="V275" i="1"/>
  <c r="W275" i="1"/>
  <c r="X275" i="1"/>
  <c r="Y275" i="1"/>
  <c r="O276" i="1"/>
  <c r="P276" i="1"/>
  <c r="Q276" i="1"/>
  <c r="R276" i="1"/>
  <c r="S276" i="1"/>
  <c r="T276" i="1"/>
  <c r="U276" i="1"/>
  <c r="V276" i="1"/>
  <c r="W276" i="1"/>
  <c r="X276" i="1"/>
  <c r="Y276" i="1"/>
  <c r="O277" i="1"/>
  <c r="P277" i="1"/>
  <c r="Q277" i="1"/>
  <c r="R277" i="1"/>
  <c r="S277" i="1"/>
  <c r="T277" i="1"/>
  <c r="U277" i="1"/>
  <c r="V277" i="1"/>
  <c r="W277" i="1"/>
  <c r="X277" i="1"/>
  <c r="Y277" i="1"/>
  <c r="O278" i="1"/>
  <c r="P278" i="1"/>
  <c r="Q278" i="1"/>
  <c r="R278" i="1"/>
  <c r="S278" i="1"/>
  <c r="T278" i="1"/>
  <c r="U278" i="1"/>
  <c r="V278" i="1"/>
  <c r="W278" i="1"/>
  <c r="X278" i="1"/>
  <c r="Y278" i="1"/>
  <c r="O279" i="1"/>
  <c r="P279" i="1"/>
  <c r="Q279" i="1"/>
  <c r="R279" i="1"/>
  <c r="S279" i="1"/>
  <c r="T279" i="1"/>
  <c r="U279" i="1"/>
  <c r="V279" i="1"/>
  <c r="W279" i="1"/>
  <c r="X279" i="1"/>
  <c r="Y279" i="1"/>
  <c r="O280" i="1"/>
  <c r="P280" i="1"/>
  <c r="Q280" i="1"/>
  <c r="R280" i="1"/>
  <c r="S280" i="1"/>
  <c r="T280" i="1"/>
  <c r="U280" i="1"/>
  <c r="V280" i="1"/>
  <c r="W280" i="1"/>
  <c r="X280" i="1"/>
  <c r="Y280" i="1"/>
  <c r="O281" i="1"/>
  <c r="P281" i="1"/>
  <c r="Q281" i="1"/>
  <c r="R281" i="1"/>
  <c r="S281" i="1"/>
  <c r="T281" i="1"/>
  <c r="U281" i="1"/>
  <c r="V281" i="1"/>
  <c r="W281" i="1"/>
  <c r="X281" i="1"/>
  <c r="Y281" i="1"/>
  <c r="O282" i="1"/>
  <c r="P282" i="1"/>
  <c r="Q282" i="1"/>
  <c r="R282" i="1"/>
  <c r="S282" i="1"/>
  <c r="T282" i="1"/>
  <c r="U282" i="1"/>
  <c r="V282" i="1"/>
  <c r="W282" i="1"/>
  <c r="X282" i="1"/>
  <c r="Y282" i="1"/>
  <c r="O283" i="1"/>
  <c r="P283" i="1"/>
  <c r="Q283" i="1"/>
  <c r="R283" i="1"/>
  <c r="S283" i="1"/>
  <c r="T283" i="1"/>
  <c r="U283" i="1"/>
  <c r="V283" i="1"/>
  <c r="W283" i="1"/>
  <c r="X283" i="1"/>
  <c r="Y283" i="1"/>
  <c r="O284" i="1"/>
  <c r="P284" i="1"/>
  <c r="Q284" i="1"/>
  <c r="R284" i="1"/>
  <c r="S284" i="1"/>
  <c r="T284" i="1"/>
  <c r="U284" i="1"/>
  <c r="V284" i="1"/>
  <c r="W284" i="1"/>
  <c r="X284" i="1"/>
  <c r="Y284" i="1"/>
  <c r="O285" i="1"/>
  <c r="P285" i="1"/>
  <c r="Q285" i="1"/>
  <c r="R285" i="1"/>
  <c r="S285" i="1"/>
  <c r="T285" i="1"/>
  <c r="U285" i="1"/>
  <c r="V285" i="1"/>
  <c r="W285" i="1"/>
  <c r="X285" i="1"/>
  <c r="Y285" i="1"/>
  <c r="O286" i="1"/>
  <c r="P286" i="1"/>
  <c r="Q286" i="1"/>
  <c r="R286" i="1"/>
  <c r="S286" i="1"/>
  <c r="T286" i="1"/>
  <c r="U286" i="1"/>
  <c r="V286" i="1"/>
  <c r="W286" i="1"/>
  <c r="X286" i="1"/>
  <c r="Y286" i="1"/>
  <c r="O287" i="1"/>
  <c r="P287" i="1"/>
  <c r="Q287" i="1"/>
  <c r="R287" i="1"/>
  <c r="S287" i="1"/>
  <c r="T287" i="1"/>
  <c r="U287" i="1"/>
  <c r="V287" i="1"/>
  <c r="W287" i="1"/>
  <c r="X287" i="1"/>
  <c r="Y287" i="1"/>
  <c r="O288" i="1"/>
  <c r="P288" i="1"/>
  <c r="Q288" i="1"/>
  <c r="R288" i="1"/>
  <c r="S288" i="1"/>
  <c r="T288" i="1"/>
  <c r="U288" i="1"/>
  <c r="V288" i="1"/>
  <c r="W288" i="1"/>
  <c r="X288" i="1"/>
  <c r="Y288" i="1"/>
  <c r="O289" i="1"/>
  <c r="P289" i="1"/>
  <c r="Q289" i="1"/>
  <c r="R289" i="1"/>
  <c r="S289" i="1"/>
  <c r="T289" i="1"/>
  <c r="U289" i="1"/>
  <c r="V289" i="1"/>
  <c r="W289" i="1"/>
  <c r="X289" i="1"/>
  <c r="Y289" i="1"/>
  <c r="O290" i="1"/>
  <c r="P290" i="1"/>
  <c r="Q290" i="1"/>
  <c r="R290" i="1"/>
  <c r="S290" i="1"/>
  <c r="T290" i="1"/>
  <c r="U290" i="1"/>
  <c r="V290" i="1"/>
  <c r="W290" i="1"/>
  <c r="X290" i="1"/>
  <c r="Y290" i="1"/>
  <c r="O291" i="1"/>
  <c r="P291" i="1"/>
  <c r="Q291" i="1"/>
  <c r="R291" i="1"/>
  <c r="S291" i="1"/>
  <c r="T291" i="1"/>
  <c r="U291" i="1"/>
  <c r="V291" i="1"/>
  <c r="W291" i="1"/>
  <c r="X291" i="1"/>
  <c r="Y291" i="1"/>
  <c r="O292" i="1"/>
  <c r="P292" i="1"/>
  <c r="Q292" i="1"/>
  <c r="R292" i="1"/>
  <c r="S292" i="1"/>
  <c r="T292" i="1"/>
  <c r="U292" i="1"/>
  <c r="V292" i="1"/>
  <c r="W292" i="1"/>
  <c r="X292" i="1"/>
  <c r="Y292" i="1"/>
  <c r="O293" i="1"/>
  <c r="P293" i="1"/>
  <c r="Q293" i="1"/>
  <c r="R293" i="1"/>
  <c r="S293" i="1"/>
  <c r="T293" i="1"/>
  <c r="U293" i="1"/>
  <c r="V293" i="1"/>
  <c r="W293" i="1"/>
  <c r="X293" i="1"/>
  <c r="Y293" i="1"/>
  <c r="O294" i="1"/>
  <c r="P294" i="1"/>
  <c r="Q294" i="1"/>
  <c r="R294" i="1"/>
  <c r="S294" i="1"/>
  <c r="T294" i="1"/>
  <c r="U294" i="1"/>
  <c r="V294" i="1"/>
  <c r="W294" i="1"/>
  <c r="X294" i="1"/>
  <c r="Y294" i="1"/>
  <c r="O295" i="1"/>
  <c r="P295" i="1"/>
  <c r="Q295" i="1"/>
  <c r="R295" i="1"/>
  <c r="S295" i="1"/>
  <c r="T295" i="1"/>
  <c r="U295" i="1"/>
  <c r="V295" i="1"/>
  <c r="W295" i="1"/>
  <c r="X295" i="1"/>
  <c r="Y295" i="1"/>
  <c r="O296" i="1"/>
  <c r="P296" i="1"/>
  <c r="Q296" i="1"/>
  <c r="R296" i="1"/>
  <c r="S296" i="1"/>
  <c r="T296" i="1"/>
  <c r="U296" i="1"/>
  <c r="V296" i="1"/>
  <c r="W296" i="1"/>
  <c r="X296" i="1"/>
  <c r="Y296" i="1"/>
  <c r="O297" i="1"/>
  <c r="P297" i="1"/>
  <c r="Q297" i="1"/>
  <c r="R297" i="1"/>
  <c r="S297" i="1"/>
  <c r="T297" i="1"/>
  <c r="U297" i="1"/>
  <c r="V297" i="1"/>
  <c r="W297" i="1"/>
  <c r="X297" i="1"/>
  <c r="Y297" i="1"/>
  <c r="O298" i="1"/>
  <c r="P298" i="1"/>
  <c r="Q298" i="1"/>
  <c r="R298" i="1"/>
  <c r="S298" i="1"/>
  <c r="T298" i="1"/>
  <c r="U298" i="1"/>
  <c r="V298" i="1"/>
  <c r="W298" i="1"/>
  <c r="X298" i="1"/>
  <c r="Y298" i="1"/>
  <c r="O299" i="1"/>
  <c r="P299" i="1"/>
  <c r="Q299" i="1"/>
  <c r="R299" i="1"/>
  <c r="S299" i="1"/>
  <c r="T299" i="1"/>
  <c r="U299" i="1"/>
  <c r="V299" i="1"/>
  <c r="W299" i="1"/>
  <c r="X299" i="1"/>
  <c r="Y299" i="1"/>
  <c r="O300" i="1"/>
  <c r="P300" i="1"/>
  <c r="Q300" i="1"/>
  <c r="R300" i="1"/>
  <c r="S300" i="1"/>
  <c r="T300" i="1"/>
  <c r="U300" i="1"/>
  <c r="V300" i="1"/>
  <c r="W300" i="1"/>
  <c r="X300" i="1"/>
  <c r="Y300" i="1"/>
  <c r="O301" i="1"/>
  <c r="P301" i="1"/>
  <c r="Q301" i="1"/>
  <c r="R301" i="1"/>
  <c r="S301" i="1"/>
  <c r="T301" i="1"/>
  <c r="U301" i="1"/>
  <c r="V301" i="1"/>
  <c r="W301" i="1"/>
  <c r="X301" i="1"/>
  <c r="Y301" i="1"/>
  <c r="O302" i="1"/>
  <c r="P302" i="1"/>
  <c r="Q302" i="1"/>
  <c r="R302" i="1"/>
  <c r="S302" i="1"/>
  <c r="T302" i="1"/>
  <c r="U302" i="1"/>
  <c r="V302" i="1"/>
  <c r="W302" i="1"/>
  <c r="X302" i="1"/>
  <c r="Y302" i="1"/>
  <c r="O303" i="1"/>
  <c r="P303" i="1"/>
  <c r="Q303" i="1"/>
  <c r="R303" i="1"/>
  <c r="S303" i="1"/>
  <c r="T303" i="1"/>
  <c r="U303" i="1"/>
  <c r="V303" i="1"/>
  <c r="W303" i="1"/>
  <c r="X303" i="1"/>
  <c r="Y303" i="1"/>
  <c r="O304" i="1"/>
  <c r="P304" i="1"/>
  <c r="Q304" i="1"/>
  <c r="R304" i="1"/>
  <c r="S304" i="1"/>
  <c r="T304" i="1"/>
  <c r="U304" i="1"/>
  <c r="V304" i="1"/>
  <c r="W304" i="1"/>
  <c r="X304" i="1"/>
  <c r="Y304" i="1"/>
  <c r="O305" i="1"/>
  <c r="P305" i="1"/>
  <c r="Q305" i="1"/>
  <c r="R305" i="1"/>
  <c r="S305" i="1"/>
  <c r="T305" i="1"/>
  <c r="U305" i="1"/>
  <c r="V305" i="1"/>
  <c r="W305" i="1"/>
  <c r="X305" i="1"/>
  <c r="Y305" i="1"/>
  <c r="O306" i="1"/>
  <c r="P306" i="1"/>
  <c r="Q306" i="1"/>
  <c r="R306" i="1"/>
  <c r="S306" i="1"/>
  <c r="T306" i="1"/>
  <c r="U306" i="1"/>
  <c r="V306" i="1"/>
  <c r="W306" i="1"/>
  <c r="X306" i="1"/>
  <c r="Y306" i="1"/>
  <c r="O307" i="1"/>
  <c r="P307" i="1"/>
  <c r="Q307" i="1"/>
  <c r="R307" i="1"/>
  <c r="S307" i="1"/>
  <c r="T307" i="1"/>
  <c r="U307" i="1"/>
  <c r="V307" i="1"/>
  <c r="W307" i="1"/>
  <c r="X307" i="1"/>
  <c r="Y307" i="1"/>
  <c r="O308" i="1"/>
  <c r="P308" i="1"/>
  <c r="Q308" i="1"/>
  <c r="R308" i="1"/>
  <c r="S308" i="1"/>
  <c r="T308" i="1"/>
  <c r="U308" i="1"/>
  <c r="V308" i="1"/>
  <c r="W308" i="1"/>
  <c r="X308" i="1"/>
  <c r="Y308" i="1"/>
  <c r="O309" i="1"/>
  <c r="P309" i="1"/>
  <c r="Q309" i="1"/>
  <c r="R309" i="1"/>
  <c r="S309" i="1"/>
  <c r="T309" i="1"/>
  <c r="U309" i="1"/>
  <c r="V309" i="1"/>
  <c r="W309" i="1"/>
  <c r="X309" i="1"/>
  <c r="Y309" i="1"/>
  <c r="O310" i="1"/>
  <c r="P310" i="1"/>
  <c r="Q310" i="1"/>
  <c r="R310" i="1"/>
  <c r="S310" i="1"/>
  <c r="T310" i="1"/>
  <c r="U310" i="1"/>
  <c r="V310" i="1"/>
  <c r="W310" i="1"/>
  <c r="X310" i="1"/>
  <c r="Y310" i="1"/>
  <c r="O311" i="1"/>
  <c r="P311" i="1"/>
  <c r="Q311" i="1"/>
  <c r="R311" i="1"/>
  <c r="S311" i="1"/>
  <c r="T311" i="1"/>
  <c r="U311" i="1"/>
  <c r="V311" i="1"/>
  <c r="W311" i="1"/>
  <c r="X311" i="1"/>
  <c r="Y311" i="1"/>
  <c r="O312" i="1"/>
  <c r="P312" i="1"/>
  <c r="Q312" i="1"/>
  <c r="R312" i="1"/>
  <c r="S312" i="1"/>
  <c r="T312" i="1"/>
  <c r="U312" i="1"/>
  <c r="V312" i="1"/>
  <c r="W312" i="1"/>
  <c r="X312" i="1"/>
  <c r="Y312" i="1"/>
  <c r="O313" i="1"/>
  <c r="P313" i="1"/>
  <c r="Q313" i="1"/>
  <c r="R313" i="1"/>
  <c r="S313" i="1"/>
  <c r="T313" i="1"/>
  <c r="U313" i="1"/>
  <c r="V313" i="1"/>
  <c r="W313" i="1"/>
  <c r="X313" i="1"/>
  <c r="Y313" i="1"/>
  <c r="O314" i="1"/>
  <c r="P314" i="1"/>
  <c r="Q314" i="1"/>
  <c r="R314" i="1"/>
  <c r="S314" i="1"/>
  <c r="T314" i="1"/>
  <c r="U314" i="1"/>
  <c r="V314" i="1"/>
  <c r="W314" i="1"/>
  <c r="X314" i="1"/>
  <c r="Y314" i="1"/>
  <c r="O315" i="1"/>
  <c r="P315" i="1"/>
  <c r="Q315" i="1"/>
  <c r="R315" i="1"/>
  <c r="S315" i="1"/>
  <c r="T315" i="1"/>
  <c r="U315" i="1"/>
  <c r="V315" i="1"/>
  <c r="W315" i="1"/>
  <c r="X315" i="1"/>
  <c r="Y315" i="1"/>
  <c r="O316" i="1"/>
  <c r="P316" i="1"/>
  <c r="Q316" i="1"/>
  <c r="R316" i="1"/>
  <c r="S316" i="1"/>
  <c r="T316" i="1"/>
  <c r="U316" i="1"/>
  <c r="V316" i="1"/>
  <c r="W316" i="1"/>
  <c r="X316" i="1"/>
  <c r="Y316" i="1"/>
  <c r="O317" i="1"/>
  <c r="P317" i="1"/>
  <c r="Q317" i="1"/>
  <c r="R317" i="1"/>
  <c r="S317" i="1"/>
  <c r="T317" i="1"/>
  <c r="U317" i="1"/>
  <c r="V317" i="1"/>
  <c r="W317" i="1"/>
  <c r="X317" i="1"/>
  <c r="Y317" i="1"/>
  <c r="O318" i="1"/>
  <c r="P318" i="1"/>
  <c r="Q318" i="1"/>
  <c r="R318" i="1"/>
  <c r="S318" i="1"/>
  <c r="T318" i="1"/>
  <c r="U318" i="1"/>
  <c r="V318" i="1"/>
  <c r="W318" i="1"/>
  <c r="X318" i="1"/>
  <c r="Y318" i="1"/>
  <c r="O319" i="1"/>
  <c r="P319" i="1"/>
  <c r="Q319" i="1"/>
  <c r="R319" i="1"/>
  <c r="S319" i="1"/>
  <c r="T319" i="1"/>
  <c r="U319" i="1"/>
  <c r="V319" i="1"/>
  <c r="W319" i="1"/>
  <c r="X319" i="1"/>
  <c r="Y319" i="1"/>
  <c r="O320" i="1"/>
  <c r="P320" i="1"/>
  <c r="Q320" i="1"/>
  <c r="R320" i="1"/>
  <c r="S320" i="1"/>
  <c r="T320" i="1"/>
  <c r="U320" i="1"/>
  <c r="V320" i="1"/>
  <c r="W320" i="1"/>
  <c r="X320" i="1"/>
  <c r="Y320" i="1"/>
  <c r="O321" i="1"/>
  <c r="P321" i="1"/>
  <c r="Q321" i="1"/>
  <c r="R321" i="1"/>
  <c r="S321" i="1"/>
  <c r="T321" i="1"/>
  <c r="U321" i="1"/>
  <c r="V321" i="1"/>
  <c r="W321" i="1"/>
  <c r="X321" i="1"/>
  <c r="Y321" i="1"/>
  <c r="O322" i="1"/>
  <c r="P322" i="1"/>
  <c r="Q322" i="1"/>
  <c r="R322" i="1"/>
  <c r="S322" i="1"/>
  <c r="T322" i="1"/>
  <c r="U322" i="1"/>
  <c r="V322" i="1"/>
  <c r="W322" i="1"/>
  <c r="X322" i="1"/>
  <c r="Y322" i="1"/>
  <c r="O323" i="1"/>
  <c r="P323" i="1"/>
  <c r="Q323" i="1"/>
  <c r="R323" i="1"/>
  <c r="S323" i="1"/>
  <c r="T323" i="1"/>
  <c r="U323" i="1"/>
  <c r="V323" i="1"/>
  <c r="W323" i="1"/>
  <c r="X323" i="1"/>
  <c r="Y323" i="1"/>
  <c r="O324" i="1"/>
  <c r="P324" i="1"/>
  <c r="Q324" i="1"/>
  <c r="R324" i="1"/>
  <c r="S324" i="1"/>
  <c r="T324" i="1"/>
  <c r="U324" i="1"/>
  <c r="V324" i="1"/>
  <c r="W324" i="1"/>
  <c r="X324" i="1"/>
  <c r="Y324" i="1"/>
  <c r="O325" i="1"/>
  <c r="P325" i="1"/>
  <c r="Q325" i="1"/>
  <c r="R325" i="1"/>
  <c r="S325" i="1"/>
  <c r="T325" i="1"/>
  <c r="U325" i="1"/>
  <c r="V325" i="1"/>
  <c r="W325" i="1"/>
  <c r="X325" i="1"/>
  <c r="Y325" i="1"/>
  <c r="O326" i="1"/>
  <c r="P326" i="1"/>
  <c r="Q326" i="1"/>
  <c r="R326" i="1"/>
  <c r="S326" i="1"/>
  <c r="T326" i="1"/>
  <c r="U326" i="1"/>
  <c r="V326" i="1"/>
  <c r="W326" i="1"/>
  <c r="X326" i="1"/>
  <c r="Y326" i="1"/>
  <c r="O327" i="1"/>
  <c r="P327" i="1"/>
  <c r="Q327" i="1"/>
  <c r="R327" i="1"/>
  <c r="S327" i="1"/>
  <c r="T327" i="1"/>
  <c r="U327" i="1"/>
  <c r="V327" i="1"/>
  <c r="W327" i="1"/>
  <c r="X327" i="1"/>
  <c r="Y327" i="1"/>
  <c r="O328" i="1"/>
  <c r="P328" i="1"/>
  <c r="Q328" i="1"/>
  <c r="R328" i="1"/>
  <c r="S328" i="1"/>
  <c r="T328" i="1"/>
  <c r="U328" i="1"/>
  <c r="V328" i="1"/>
  <c r="W328" i="1"/>
  <c r="X328" i="1"/>
  <c r="Y328" i="1"/>
  <c r="O329" i="1"/>
  <c r="P329" i="1"/>
  <c r="Q329" i="1"/>
  <c r="R329" i="1"/>
  <c r="S329" i="1"/>
  <c r="T329" i="1"/>
  <c r="U329" i="1"/>
  <c r="V329" i="1"/>
  <c r="W329" i="1"/>
  <c r="X329" i="1"/>
  <c r="Y329" i="1"/>
  <c r="O330" i="1"/>
  <c r="P330" i="1"/>
  <c r="Q330" i="1"/>
  <c r="R330" i="1"/>
  <c r="S330" i="1"/>
  <c r="T330" i="1"/>
  <c r="U330" i="1"/>
  <c r="V330" i="1"/>
  <c r="W330" i="1"/>
  <c r="X330" i="1"/>
  <c r="Y330" i="1"/>
  <c r="O331" i="1"/>
  <c r="P331" i="1"/>
  <c r="Q331" i="1"/>
  <c r="R331" i="1"/>
  <c r="S331" i="1"/>
  <c r="T331" i="1"/>
  <c r="U331" i="1"/>
  <c r="V331" i="1"/>
  <c r="W331" i="1"/>
  <c r="X331" i="1"/>
  <c r="Y331" i="1"/>
  <c r="O332" i="1"/>
  <c r="P332" i="1"/>
  <c r="Q332" i="1"/>
  <c r="R332" i="1"/>
  <c r="S332" i="1"/>
  <c r="T332" i="1"/>
  <c r="U332" i="1"/>
  <c r="V332" i="1"/>
  <c r="W332" i="1"/>
  <c r="X332" i="1"/>
  <c r="Y332" i="1"/>
  <c r="O333" i="1"/>
  <c r="P333" i="1"/>
  <c r="Q333" i="1"/>
  <c r="R333" i="1"/>
  <c r="S333" i="1"/>
  <c r="T333" i="1"/>
  <c r="U333" i="1"/>
  <c r="V333" i="1"/>
  <c r="W333" i="1"/>
  <c r="X333" i="1"/>
  <c r="Y333" i="1"/>
  <c r="O334" i="1"/>
  <c r="P334" i="1"/>
  <c r="Q334" i="1"/>
  <c r="R334" i="1"/>
  <c r="S334" i="1"/>
  <c r="T334" i="1"/>
  <c r="U334" i="1"/>
  <c r="V334" i="1"/>
  <c r="W334" i="1"/>
  <c r="X334" i="1"/>
  <c r="Y334" i="1"/>
  <c r="O335" i="1"/>
  <c r="P335" i="1"/>
  <c r="Q335" i="1"/>
  <c r="R335" i="1"/>
  <c r="S335" i="1"/>
  <c r="T335" i="1"/>
  <c r="U335" i="1"/>
  <c r="V335" i="1"/>
  <c r="W335" i="1"/>
  <c r="X335" i="1"/>
  <c r="Y335" i="1"/>
  <c r="O336" i="1"/>
  <c r="P336" i="1"/>
  <c r="Q336" i="1"/>
  <c r="R336" i="1"/>
  <c r="S336" i="1"/>
  <c r="T336" i="1"/>
  <c r="U336" i="1"/>
  <c r="V336" i="1"/>
  <c r="W336" i="1"/>
  <c r="X336" i="1"/>
  <c r="Y336" i="1"/>
  <c r="O337" i="1"/>
  <c r="P337" i="1"/>
  <c r="Q337" i="1"/>
  <c r="R337" i="1"/>
  <c r="S337" i="1"/>
  <c r="T337" i="1"/>
  <c r="U337" i="1"/>
  <c r="V337" i="1"/>
  <c r="W337" i="1"/>
  <c r="X337" i="1"/>
  <c r="Y337" i="1"/>
  <c r="O338" i="1"/>
  <c r="P338" i="1"/>
  <c r="Q338" i="1"/>
  <c r="R338" i="1"/>
  <c r="S338" i="1"/>
  <c r="T338" i="1"/>
  <c r="U338" i="1"/>
  <c r="V338" i="1"/>
  <c r="W338" i="1"/>
  <c r="X338" i="1"/>
  <c r="Y338" i="1"/>
  <c r="O339" i="1"/>
  <c r="P339" i="1"/>
  <c r="Q339" i="1"/>
  <c r="R339" i="1"/>
  <c r="S339" i="1"/>
  <c r="T339" i="1"/>
  <c r="U339" i="1"/>
  <c r="V339" i="1"/>
  <c r="W339" i="1"/>
  <c r="X339" i="1"/>
  <c r="Y339" i="1"/>
  <c r="O340" i="1"/>
  <c r="P340" i="1"/>
  <c r="Q340" i="1"/>
  <c r="R340" i="1"/>
  <c r="S340" i="1"/>
  <c r="T340" i="1"/>
  <c r="U340" i="1"/>
  <c r="V340" i="1"/>
  <c r="W340" i="1"/>
  <c r="X340" i="1"/>
  <c r="Y340" i="1"/>
  <c r="O341" i="1"/>
  <c r="P341" i="1"/>
  <c r="Q341" i="1"/>
  <c r="R341" i="1"/>
  <c r="S341" i="1"/>
  <c r="T341" i="1"/>
  <c r="U341" i="1"/>
  <c r="V341" i="1"/>
  <c r="W341" i="1"/>
  <c r="X341" i="1"/>
  <c r="Y341" i="1"/>
  <c r="O342" i="1"/>
  <c r="P342" i="1"/>
  <c r="Q342" i="1"/>
  <c r="R342" i="1"/>
  <c r="S342" i="1"/>
  <c r="T342" i="1"/>
  <c r="U342" i="1"/>
  <c r="V342" i="1"/>
  <c r="W342" i="1"/>
  <c r="X342" i="1"/>
  <c r="Y342" i="1"/>
  <c r="O343" i="1"/>
  <c r="P343" i="1"/>
  <c r="Q343" i="1"/>
  <c r="R343" i="1"/>
  <c r="S343" i="1"/>
  <c r="T343" i="1"/>
  <c r="U343" i="1"/>
  <c r="V343" i="1"/>
  <c r="W343" i="1"/>
  <c r="X343" i="1"/>
  <c r="Y343" i="1"/>
  <c r="O344" i="1"/>
  <c r="P344" i="1"/>
  <c r="Q344" i="1"/>
  <c r="R344" i="1"/>
  <c r="S344" i="1"/>
  <c r="T344" i="1"/>
  <c r="U344" i="1"/>
  <c r="V344" i="1"/>
  <c r="W344" i="1"/>
  <c r="X344" i="1"/>
  <c r="Y344" i="1"/>
  <c r="O345" i="1"/>
  <c r="P345" i="1"/>
  <c r="Q345" i="1"/>
  <c r="R345" i="1"/>
  <c r="S345" i="1"/>
  <c r="T345" i="1"/>
  <c r="U345" i="1"/>
  <c r="V345" i="1"/>
  <c r="W345" i="1"/>
  <c r="X345" i="1"/>
  <c r="Y345" i="1"/>
  <c r="O346" i="1"/>
  <c r="P346" i="1"/>
  <c r="Q346" i="1"/>
  <c r="R346" i="1"/>
  <c r="S346" i="1"/>
  <c r="T346" i="1"/>
  <c r="U346" i="1"/>
  <c r="V346" i="1"/>
  <c r="W346" i="1"/>
  <c r="X346" i="1"/>
  <c r="Y346" i="1"/>
  <c r="O347" i="1"/>
  <c r="P347" i="1"/>
  <c r="Q347" i="1"/>
  <c r="R347" i="1"/>
  <c r="S347" i="1"/>
  <c r="T347" i="1"/>
  <c r="U347" i="1"/>
  <c r="V347" i="1"/>
  <c r="W347" i="1"/>
  <c r="X347" i="1"/>
  <c r="Y347" i="1"/>
  <c r="O348" i="1"/>
  <c r="P348" i="1"/>
  <c r="Q348" i="1"/>
  <c r="R348" i="1"/>
  <c r="S348" i="1"/>
  <c r="T348" i="1"/>
  <c r="U348" i="1"/>
  <c r="V348" i="1"/>
  <c r="W348" i="1"/>
  <c r="X348" i="1"/>
  <c r="Y348" i="1"/>
  <c r="O349" i="1"/>
  <c r="P349" i="1"/>
  <c r="Q349" i="1"/>
  <c r="R349" i="1"/>
  <c r="S349" i="1"/>
  <c r="T349" i="1"/>
  <c r="U349" i="1"/>
  <c r="V349" i="1"/>
  <c r="W349" i="1"/>
  <c r="X349" i="1"/>
  <c r="Y349" i="1"/>
  <c r="O350" i="1"/>
  <c r="P350" i="1"/>
  <c r="Q350" i="1"/>
  <c r="R350" i="1"/>
  <c r="S350" i="1"/>
  <c r="T350" i="1"/>
  <c r="U350" i="1"/>
  <c r="V350" i="1"/>
  <c r="W350" i="1"/>
  <c r="X350" i="1"/>
  <c r="Y350" i="1"/>
  <c r="O351" i="1"/>
  <c r="P351" i="1"/>
  <c r="Q351" i="1"/>
  <c r="R351" i="1"/>
  <c r="S351" i="1"/>
  <c r="T351" i="1"/>
  <c r="U351" i="1"/>
  <c r="V351" i="1"/>
  <c r="W351" i="1"/>
  <c r="X351" i="1"/>
  <c r="Y351" i="1"/>
  <c r="O352" i="1"/>
  <c r="P352" i="1"/>
  <c r="Q352" i="1"/>
  <c r="R352" i="1"/>
  <c r="S352" i="1"/>
  <c r="T352" i="1"/>
  <c r="U352" i="1"/>
  <c r="V352" i="1"/>
  <c r="W352" i="1"/>
  <c r="X352" i="1"/>
  <c r="Y352" i="1"/>
  <c r="O353" i="1"/>
  <c r="P353" i="1"/>
  <c r="Q353" i="1"/>
  <c r="R353" i="1"/>
  <c r="S353" i="1"/>
  <c r="T353" i="1"/>
  <c r="U353" i="1"/>
  <c r="V353" i="1"/>
  <c r="W353" i="1"/>
  <c r="X353" i="1"/>
  <c r="Y353" i="1"/>
  <c r="O354" i="1"/>
  <c r="P354" i="1"/>
  <c r="Q354" i="1"/>
  <c r="R354" i="1"/>
  <c r="S354" i="1"/>
  <c r="T354" i="1"/>
  <c r="U354" i="1"/>
  <c r="V354" i="1"/>
  <c r="W354" i="1"/>
  <c r="X354" i="1"/>
  <c r="Y354" i="1"/>
  <c r="O355" i="1"/>
  <c r="P355" i="1"/>
  <c r="Q355" i="1"/>
  <c r="R355" i="1"/>
  <c r="S355" i="1"/>
  <c r="T355" i="1"/>
  <c r="U355" i="1"/>
  <c r="V355" i="1"/>
  <c r="W355" i="1"/>
  <c r="X355" i="1"/>
  <c r="Y355" i="1"/>
  <c r="O356" i="1"/>
  <c r="P356" i="1"/>
  <c r="Q356" i="1"/>
  <c r="R356" i="1"/>
  <c r="S356" i="1"/>
  <c r="T356" i="1"/>
  <c r="U356" i="1"/>
  <c r="V356" i="1"/>
  <c r="W356" i="1"/>
  <c r="X356" i="1"/>
  <c r="Y356" i="1"/>
  <c r="O357" i="1"/>
  <c r="P357" i="1"/>
  <c r="Q357" i="1"/>
  <c r="R357" i="1"/>
  <c r="S357" i="1"/>
  <c r="T357" i="1"/>
  <c r="U357" i="1"/>
  <c r="V357" i="1"/>
  <c r="W357" i="1"/>
  <c r="X357" i="1"/>
  <c r="Y357" i="1"/>
  <c r="O358" i="1"/>
  <c r="P358" i="1"/>
  <c r="Q358" i="1"/>
  <c r="R358" i="1"/>
  <c r="S358" i="1"/>
  <c r="T358" i="1"/>
  <c r="U358" i="1"/>
  <c r="V358" i="1"/>
  <c r="W358" i="1"/>
  <c r="X358" i="1"/>
  <c r="Y358" i="1"/>
  <c r="O359" i="1"/>
  <c r="P359" i="1"/>
  <c r="Q359" i="1"/>
  <c r="R359" i="1"/>
  <c r="S359" i="1"/>
  <c r="T359" i="1"/>
  <c r="U359" i="1"/>
  <c r="V359" i="1"/>
  <c r="W359" i="1"/>
  <c r="X359" i="1"/>
  <c r="Y359" i="1"/>
  <c r="O360" i="1"/>
  <c r="P360" i="1"/>
  <c r="Q360" i="1"/>
  <c r="R360" i="1"/>
  <c r="S360" i="1"/>
  <c r="T360" i="1"/>
  <c r="U360" i="1"/>
  <c r="V360" i="1"/>
  <c r="W360" i="1"/>
  <c r="X360" i="1"/>
  <c r="Y360" i="1"/>
  <c r="O361" i="1"/>
  <c r="P361" i="1"/>
  <c r="Q361" i="1"/>
  <c r="R361" i="1"/>
  <c r="S361" i="1"/>
  <c r="T361" i="1"/>
  <c r="U361" i="1"/>
  <c r="V361" i="1"/>
  <c r="W361" i="1"/>
  <c r="X361" i="1"/>
  <c r="Y361" i="1"/>
  <c r="O362" i="1"/>
  <c r="P362" i="1"/>
  <c r="Q362" i="1"/>
  <c r="R362" i="1"/>
  <c r="S362" i="1"/>
  <c r="T362" i="1"/>
  <c r="U362" i="1"/>
  <c r="V362" i="1"/>
  <c r="W362" i="1"/>
  <c r="X362" i="1"/>
  <c r="Y362" i="1"/>
  <c r="O363" i="1"/>
  <c r="P363" i="1"/>
  <c r="Q363" i="1"/>
  <c r="R363" i="1"/>
  <c r="S363" i="1"/>
  <c r="T363" i="1"/>
  <c r="U363" i="1"/>
  <c r="V363" i="1"/>
  <c r="W363" i="1"/>
  <c r="X363" i="1"/>
  <c r="Y363" i="1"/>
  <c r="O364" i="1"/>
  <c r="P364" i="1"/>
  <c r="Q364" i="1"/>
  <c r="R364" i="1"/>
  <c r="S364" i="1"/>
  <c r="T364" i="1"/>
  <c r="U364" i="1"/>
  <c r="V364" i="1"/>
  <c r="W364" i="1"/>
  <c r="X364" i="1"/>
  <c r="Y364" i="1"/>
  <c r="O365" i="1"/>
  <c r="P365" i="1"/>
  <c r="Q365" i="1"/>
  <c r="R365" i="1"/>
  <c r="S365" i="1"/>
  <c r="T365" i="1"/>
  <c r="U365" i="1"/>
  <c r="V365" i="1"/>
  <c r="W365" i="1"/>
  <c r="X365" i="1"/>
  <c r="Y365" i="1"/>
  <c r="O366" i="1"/>
  <c r="P366" i="1"/>
  <c r="Q366" i="1"/>
  <c r="R366" i="1"/>
  <c r="S366" i="1"/>
  <c r="T366" i="1"/>
  <c r="U366" i="1"/>
  <c r="V366" i="1"/>
  <c r="W366" i="1"/>
  <c r="X366" i="1"/>
  <c r="Y366" i="1"/>
  <c r="O367" i="1"/>
  <c r="P367" i="1"/>
  <c r="Q367" i="1"/>
  <c r="R367" i="1"/>
  <c r="S367" i="1"/>
  <c r="T367" i="1"/>
  <c r="U367" i="1"/>
  <c r="V367" i="1"/>
  <c r="W367" i="1"/>
  <c r="X367" i="1"/>
  <c r="Y367" i="1"/>
  <c r="O368" i="1"/>
  <c r="P368" i="1"/>
  <c r="Q368" i="1"/>
  <c r="R368" i="1"/>
  <c r="S368" i="1"/>
  <c r="T368" i="1"/>
  <c r="U368" i="1"/>
  <c r="V368" i="1"/>
  <c r="W368" i="1"/>
  <c r="X368" i="1"/>
  <c r="Y368" i="1"/>
  <c r="O369" i="1"/>
  <c r="P369" i="1"/>
  <c r="Q369" i="1"/>
  <c r="R369" i="1"/>
  <c r="S369" i="1"/>
  <c r="T369" i="1"/>
  <c r="U369" i="1"/>
  <c r="V369" i="1"/>
  <c r="W369" i="1"/>
  <c r="X369" i="1"/>
  <c r="Y369" i="1"/>
  <c r="O370" i="1"/>
  <c r="P370" i="1"/>
  <c r="Q370" i="1"/>
  <c r="R370" i="1"/>
  <c r="S370" i="1"/>
  <c r="T370" i="1"/>
  <c r="U370" i="1"/>
  <c r="V370" i="1"/>
  <c r="W370" i="1"/>
  <c r="X370" i="1"/>
  <c r="Y370" i="1"/>
  <c r="O371" i="1"/>
  <c r="P371" i="1"/>
  <c r="Q371" i="1"/>
  <c r="R371" i="1"/>
  <c r="S371" i="1"/>
  <c r="T371" i="1"/>
  <c r="U371" i="1"/>
  <c r="V371" i="1"/>
  <c r="W371" i="1"/>
  <c r="X371" i="1"/>
  <c r="Y371" i="1"/>
  <c r="O372" i="1"/>
  <c r="P372" i="1"/>
  <c r="Q372" i="1"/>
  <c r="R372" i="1"/>
  <c r="S372" i="1"/>
  <c r="T372" i="1"/>
  <c r="U372" i="1"/>
  <c r="V372" i="1"/>
  <c r="W372" i="1"/>
  <c r="X372" i="1"/>
  <c r="Y372" i="1"/>
  <c r="O373" i="1"/>
  <c r="P373" i="1"/>
  <c r="Q373" i="1"/>
  <c r="R373" i="1"/>
  <c r="S373" i="1"/>
  <c r="T373" i="1"/>
  <c r="U373" i="1"/>
  <c r="V373" i="1"/>
  <c r="W373" i="1"/>
  <c r="X373" i="1"/>
  <c r="Y373" i="1"/>
  <c r="O374" i="1"/>
  <c r="P374" i="1"/>
  <c r="Q374" i="1"/>
  <c r="R374" i="1"/>
  <c r="S374" i="1"/>
  <c r="T374" i="1"/>
  <c r="U374" i="1"/>
  <c r="V374" i="1"/>
  <c r="W374" i="1"/>
  <c r="X374" i="1"/>
  <c r="Y374" i="1"/>
  <c r="O375" i="1"/>
  <c r="P375" i="1"/>
  <c r="Q375" i="1"/>
  <c r="R375" i="1"/>
  <c r="S375" i="1"/>
  <c r="T375" i="1"/>
  <c r="U375" i="1"/>
  <c r="V375" i="1"/>
  <c r="W375" i="1"/>
  <c r="X375" i="1"/>
  <c r="Y375" i="1"/>
  <c r="O376" i="1"/>
  <c r="P376" i="1"/>
  <c r="Q376" i="1"/>
  <c r="R376" i="1"/>
  <c r="S376" i="1"/>
  <c r="T376" i="1"/>
  <c r="U376" i="1"/>
  <c r="V376" i="1"/>
  <c r="W376" i="1"/>
  <c r="X376" i="1"/>
  <c r="Y376" i="1"/>
  <c r="O377" i="1"/>
  <c r="P377" i="1"/>
  <c r="Q377" i="1"/>
  <c r="R377" i="1"/>
  <c r="S377" i="1"/>
  <c r="T377" i="1"/>
  <c r="U377" i="1"/>
  <c r="V377" i="1"/>
  <c r="W377" i="1"/>
  <c r="X377" i="1"/>
  <c r="Y377" i="1"/>
  <c r="O378" i="1"/>
  <c r="P378" i="1"/>
  <c r="Q378" i="1"/>
  <c r="R378" i="1"/>
  <c r="S378" i="1"/>
  <c r="T378" i="1"/>
  <c r="U378" i="1"/>
  <c r="V378" i="1"/>
  <c r="W378" i="1"/>
  <c r="X378" i="1"/>
  <c r="Y378" i="1"/>
  <c r="O379" i="1"/>
  <c r="P379" i="1"/>
  <c r="Q379" i="1"/>
  <c r="R379" i="1"/>
  <c r="S379" i="1"/>
  <c r="T379" i="1"/>
  <c r="U379" i="1"/>
  <c r="V379" i="1"/>
  <c r="W379" i="1"/>
  <c r="X379" i="1"/>
  <c r="Y379" i="1"/>
  <c r="O380" i="1"/>
  <c r="P380" i="1"/>
  <c r="Q380" i="1"/>
  <c r="R380" i="1"/>
  <c r="S380" i="1"/>
  <c r="T380" i="1"/>
  <c r="U380" i="1"/>
  <c r="V380" i="1"/>
  <c r="W380" i="1"/>
  <c r="X380" i="1"/>
  <c r="Y380" i="1"/>
  <c r="O381" i="1"/>
  <c r="P381" i="1"/>
  <c r="Q381" i="1"/>
  <c r="R381" i="1"/>
  <c r="S381" i="1"/>
  <c r="T381" i="1"/>
  <c r="U381" i="1"/>
  <c r="V381" i="1"/>
  <c r="W381" i="1"/>
  <c r="X381" i="1"/>
  <c r="Y381" i="1"/>
  <c r="O382" i="1"/>
  <c r="P382" i="1"/>
  <c r="Q382" i="1"/>
  <c r="R382" i="1"/>
  <c r="S382" i="1"/>
  <c r="T382" i="1"/>
  <c r="U382" i="1"/>
  <c r="V382" i="1"/>
  <c r="W382" i="1"/>
  <c r="X382" i="1"/>
  <c r="Y382" i="1"/>
  <c r="O383" i="1"/>
  <c r="P383" i="1"/>
  <c r="Q383" i="1"/>
  <c r="R383" i="1"/>
  <c r="S383" i="1"/>
  <c r="T383" i="1"/>
  <c r="U383" i="1"/>
  <c r="V383" i="1"/>
  <c r="W383" i="1"/>
  <c r="X383" i="1"/>
  <c r="Y383" i="1"/>
  <c r="O384" i="1"/>
  <c r="P384" i="1"/>
  <c r="Q384" i="1"/>
  <c r="R384" i="1"/>
  <c r="S384" i="1"/>
  <c r="T384" i="1"/>
  <c r="U384" i="1"/>
  <c r="V384" i="1"/>
  <c r="W384" i="1"/>
  <c r="X384" i="1"/>
  <c r="Y384" i="1"/>
  <c r="O385" i="1"/>
  <c r="P385" i="1"/>
  <c r="Q385" i="1"/>
  <c r="R385" i="1"/>
  <c r="S385" i="1"/>
  <c r="T385" i="1"/>
  <c r="U385" i="1"/>
  <c r="V385" i="1"/>
  <c r="W385" i="1"/>
  <c r="X385" i="1"/>
  <c r="Y385" i="1"/>
  <c r="O386" i="1"/>
  <c r="P386" i="1"/>
  <c r="Q386" i="1"/>
  <c r="R386" i="1"/>
  <c r="S386" i="1"/>
  <c r="T386" i="1"/>
  <c r="U386" i="1"/>
  <c r="V386" i="1"/>
  <c r="W386" i="1"/>
  <c r="X386" i="1"/>
  <c r="Y386" i="1"/>
  <c r="O387" i="1"/>
  <c r="P387" i="1"/>
  <c r="Q387" i="1"/>
  <c r="R387" i="1"/>
  <c r="S387" i="1"/>
  <c r="T387" i="1"/>
  <c r="U387" i="1"/>
  <c r="V387" i="1"/>
  <c r="W387" i="1"/>
  <c r="X387" i="1"/>
  <c r="Y387" i="1"/>
  <c r="O388" i="1"/>
  <c r="P388" i="1"/>
  <c r="Q388" i="1"/>
  <c r="R388" i="1"/>
  <c r="S388" i="1"/>
  <c r="T388" i="1"/>
  <c r="U388" i="1"/>
  <c r="V388" i="1"/>
  <c r="W388" i="1"/>
  <c r="X388" i="1"/>
  <c r="Y388" i="1"/>
  <c r="O389" i="1"/>
  <c r="P389" i="1"/>
  <c r="Q389" i="1"/>
  <c r="R389" i="1"/>
  <c r="S389" i="1"/>
  <c r="T389" i="1"/>
  <c r="U389" i="1"/>
  <c r="V389" i="1"/>
  <c r="W389" i="1"/>
  <c r="X389" i="1"/>
  <c r="Y389" i="1"/>
  <c r="O390" i="1"/>
  <c r="P390" i="1"/>
  <c r="Q390" i="1"/>
  <c r="R390" i="1"/>
  <c r="S390" i="1"/>
  <c r="T390" i="1"/>
  <c r="U390" i="1"/>
  <c r="V390" i="1"/>
  <c r="W390" i="1"/>
  <c r="X390" i="1"/>
  <c r="Y390" i="1"/>
  <c r="O391" i="1"/>
  <c r="P391" i="1"/>
  <c r="Q391" i="1"/>
  <c r="R391" i="1"/>
  <c r="S391" i="1"/>
  <c r="T391" i="1"/>
  <c r="U391" i="1"/>
  <c r="V391" i="1"/>
  <c r="W391" i="1"/>
  <c r="X391" i="1"/>
  <c r="Y391" i="1"/>
  <c r="O392" i="1"/>
  <c r="P392" i="1"/>
  <c r="Q392" i="1"/>
  <c r="R392" i="1"/>
  <c r="S392" i="1"/>
  <c r="T392" i="1"/>
  <c r="U392" i="1"/>
  <c r="V392" i="1"/>
  <c r="W392" i="1"/>
  <c r="X392" i="1"/>
  <c r="Y392" i="1"/>
  <c r="O393" i="1"/>
  <c r="P393" i="1"/>
  <c r="Q393" i="1"/>
  <c r="R393" i="1"/>
  <c r="S393" i="1"/>
  <c r="T393" i="1"/>
  <c r="U393" i="1"/>
  <c r="V393" i="1"/>
  <c r="W393" i="1"/>
  <c r="X393" i="1"/>
  <c r="Y393" i="1"/>
  <c r="O394" i="1"/>
  <c r="P394" i="1"/>
  <c r="Q394" i="1"/>
  <c r="R394" i="1"/>
  <c r="S394" i="1"/>
  <c r="T394" i="1"/>
  <c r="U394" i="1"/>
  <c r="V394" i="1"/>
  <c r="W394" i="1"/>
  <c r="X394" i="1"/>
  <c r="Y394" i="1"/>
  <c r="O395" i="1"/>
  <c r="P395" i="1"/>
  <c r="Q395" i="1"/>
  <c r="R395" i="1"/>
  <c r="S395" i="1"/>
  <c r="T395" i="1"/>
  <c r="U395" i="1"/>
  <c r="V395" i="1"/>
  <c r="W395" i="1"/>
  <c r="X395" i="1"/>
  <c r="Y395" i="1"/>
  <c r="O396" i="1"/>
  <c r="P396" i="1"/>
  <c r="Q396" i="1"/>
  <c r="R396" i="1"/>
  <c r="S396" i="1"/>
  <c r="T396" i="1"/>
  <c r="U396" i="1"/>
  <c r="V396" i="1"/>
  <c r="W396" i="1"/>
  <c r="X396" i="1"/>
  <c r="Y396" i="1"/>
  <c r="O397" i="1"/>
  <c r="P397" i="1"/>
  <c r="Q397" i="1"/>
  <c r="R397" i="1"/>
  <c r="S397" i="1"/>
  <c r="T397" i="1"/>
  <c r="U397" i="1"/>
  <c r="V397" i="1"/>
  <c r="W397" i="1"/>
  <c r="X397" i="1"/>
  <c r="Y397" i="1"/>
  <c r="O398" i="1"/>
  <c r="P398" i="1"/>
  <c r="Q398" i="1"/>
  <c r="R398" i="1"/>
  <c r="S398" i="1"/>
  <c r="T398" i="1"/>
  <c r="U398" i="1"/>
  <c r="V398" i="1"/>
  <c r="W398" i="1"/>
  <c r="X398" i="1"/>
  <c r="Y398" i="1"/>
  <c r="O399" i="1"/>
  <c r="P399" i="1"/>
  <c r="Q399" i="1"/>
  <c r="R399" i="1"/>
  <c r="S399" i="1"/>
  <c r="T399" i="1"/>
  <c r="U399" i="1"/>
  <c r="V399" i="1"/>
  <c r="W399" i="1"/>
  <c r="X399" i="1"/>
  <c r="Y399" i="1"/>
  <c r="O400" i="1"/>
  <c r="P400" i="1"/>
  <c r="Q400" i="1"/>
  <c r="R400" i="1"/>
  <c r="S400" i="1"/>
  <c r="T400" i="1"/>
  <c r="U400" i="1"/>
  <c r="V400" i="1"/>
  <c r="W400" i="1"/>
  <c r="X400" i="1"/>
  <c r="Y400" i="1"/>
  <c r="O401" i="1"/>
  <c r="P401" i="1"/>
  <c r="Q401" i="1"/>
  <c r="R401" i="1"/>
  <c r="S401" i="1"/>
  <c r="T401" i="1"/>
  <c r="U401" i="1"/>
  <c r="V401" i="1"/>
  <c r="W401" i="1"/>
  <c r="X401" i="1"/>
  <c r="Y401" i="1"/>
  <c r="O402" i="1"/>
  <c r="P402" i="1"/>
  <c r="Q402" i="1"/>
  <c r="R402" i="1"/>
  <c r="S402" i="1"/>
  <c r="T402" i="1"/>
  <c r="U402" i="1"/>
  <c r="V402" i="1"/>
  <c r="W402" i="1"/>
  <c r="X402" i="1"/>
  <c r="Y402" i="1"/>
  <c r="O403" i="1"/>
  <c r="P403" i="1"/>
  <c r="Q403" i="1"/>
  <c r="R403" i="1"/>
  <c r="S403" i="1"/>
  <c r="T403" i="1"/>
  <c r="U403" i="1"/>
  <c r="V403" i="1"/>
  <c r="W403" i="1"/>
  <c r="X403" i="1"/>
  <c r="Y403" i="1"/>
  <c r="O404" i="1"/>
  <c r="P404" i="1"/>
  <c r="Q404" i="1"/>
  <c r="R404" i="1"/>
  <c r="S404" i="1"/>
  <c r="T404" i="1"/>
  <c r="U404" i="1"/>
  <c r="V404" i="1"/>
  <c r="W404" i="1"/>
  <c r="X404" i="1"/>
  <c r="Y404" i="1"/>
  <c r="O405" i="1"/>
  <c r="P405" i="1"/>
  <c r="Q405" i="1"/>
  <c r="R405" i="1"/>
  <c r="S405" i="1"/>
  <c r="T405" i="1"/>
  <c r="U405" i="1"/>
  <c r="V405" i="1"/>
  <c r="W405" i="1"/>
  <c r="X405" i="1"/>
  <c r="Y405" i="1"/>
  <c r="O406" i="1"/>
  <c r="P406" i="1"/>
  <c r="Q406" i="1"/>
  <c r="R406" i="1"/>
  <c r="S406" i="1"/>
  <c r="T406" i="1"/>
  <c r="U406" i="1"/>
  <c r="V406" i="1"/>
  <c r="W406" i="1"/>
  <c r="X406" i="1"/>
  <c r="Y406" i="1"/>
  <c r="O407" i="1"/>
  <c r="P407" i="1"/>
  <c r="Q407" i="1"/>
  <c r="R407" i="1"/>
  <c r="S407" i="1"/>
  <c r="T407" i="1"/>
  <c r="U407" i="1"/>
  <c r="V407" i="1"/>
  <c r="W407" i="1"/>
  <c r="X407" i="1"/>
  <c r="Y407" i="1"/>
  <c r="O408" i="1"/>
  <c r="P408" i="1"/>
  <c r="Q408" i="1"/>
  <c r="R408" i="1"/>
  <c r="S408" i="1"/>
  <c r="T408" i="1"/>
  <c r="U408" i="1"/>
  <c r="V408" i="1"/>
  <c r="W408" i="1"/>
  <c r="X408" i="1"/>
  <c r="Y408" i="1"/>
  <c r="O409" i="1"/>
  <c r="P409" i="1"/>
  <c r="Q409" i="1"/>
  <c r="R409" i="1"/>
  <c r="S409" i="1"/>
  <c r="T409" i="1"/>
  <c r="U409" i="1"/>
  <c r="V409" i="1"/>
  <c r="W409" i="1"/>
  <c r="X409" i="1"/>
  <c r="Y409" i="1"/>
  <c r="O410" i="1"/>
  <c r="P410" i="1"/>
  <c r="Q410" i="1"/>
  <c r="R410" i="1"/>
  <c r="S410" i="1"/>
  <c r="T410" i="1"/>
  <c r="U410" i="1"/>
  <c r="V410" i="1"/>
  <c r="W410" i="1"/>
  <c r="X410" i="1"/>
  <c r="Y410" i="1"/>
  <c r="O411" i="1"/>
  <c r="P411" i="1"/>
  <c r="Q411" i="1"/>
  <c r="R411" i="1"/>
  <c r="S411" i="1"/>
  <c r="T411" i="1"/>
  <c r="U411" i="1"/>
  <c r="V411" i="1"/>
  <c r="W411" i="1"/>
  <c r="X411" i="1"/>
  <c r="Y411" i="1"/>
  <c r="O412" i="1"/>
  <c r="P412" i="1"/>
  <c r="Q412" i="1"/>
  <c r="R412" i="1"/>
  <c r="S412" i="1"/>
  <c r="T412" i="1"/>
  <c r="U412" i="1"/>
  <c r="V412" i="1"/>
  <c r="W412" i="1"/>
  <c r="X412" i="1"/>
  <c r="Y412" i="1"/>
  <c r="O413" i="1"/>
  <c r="P413" i="1"/>
  <c r="Q413" i="1"/>
  <c r="R413" i="1"/>
  <c r="S413" i="1"/>
  <c r="T413" i="1"/>
  <c r="U413" i="1"/>
  <c r="V413" i="1"/>
  <c r="W413" i="1"/>
  <c r="X413" i="1"/>
  <c r="Y413" i="1"/>
  <c r="O414" i="1"/>
  <c r="P414" i="1"/>
  <c r="Q414" i="1"/>
  <c r="R414" i="1"/>
  <c r="S414" i="1"/>
  <c r="T414" i="1"/>
  <c r="U414" i="1"/>
  <c r="V414" i="1"/>
  <c r="W414" i="1"/>
  <c r="X414" i="1"/>
  <c r="Y414" i="1"/>
  <c r="O415" i="1"/>
  <c r="P415" i="1"/>
  <c r="Q415" i="1"/>
  <c r="R415" i="1"/>
  <c r="S415" i="1"/>
  <c r="T415" i="1"/>
  <c r="U415" i="1"/>
  <c r="V415" i="1"/>
  <c r="W415" i="1"/>
  <c r="X415" i="1"/>
  <c r="Y415" i="1"/>
  <c r="O416" i="1"/>
  <c r="P416" i="1"/>
  <c r="Q416" i="1"/>
  <c r="R416" i="1"/>
  <c r="S416" i="1"/>
  <c r="T416" i="1"/>
  <c r="U416" i="1"/>
  <c r="V416" i="1"/>
  <c r="W416" i="1"/>
  <c r="X416" i="1"/>
  <c r="Y416" i="1"/>
  <c r="O417" i="1"/>
  <c r="P417" i="1"/>
  <c r="Q417" i="1"/>
  <c r="R417" i="1"/>
  <c r="S417" i="1"/>
  <c r="T417" i="1"/>
  <c r="U417" i="1"/>
  <c r="V417" i="1"/>
  <c r="W417" i="1"/>
  <c r="X417" i="1"/>
  <c r="Y417" i="1"/>
  <c r="O418" i="1"/>
  <c r="P418" i="1"/>
  <c r="Q418" i="1"/>
  <c r="R418" i="1"/>
  <c r="S418" i="1"/>
  <c r="T418" i="1"/>
  <c r="U418" i="1"/>
  <c r="V418" i="1"/>
  <c r="W418" i="1"/>
  <c r="X418" i="1"/>
  <c r="Y418" i="1"/>
  <c r="O419" i="1"/>
  <c r="P419" i="1"/>
  <c r="Q419" i="1"/>
  <c r="R419" i="1"/>
  <c r="S419" i="1"/>
  <c r="T419" i="1"/>
  <c r="U419" i="1"/>
  <c r="V419" i="1"/>
  <c r="W419" i="1"/>
  <c r="X419" i="1"/>
  <c r="Y419" i="1"/>
  <c r="O420" i="1"/>
  <c r="P420" i="1"/>
  <c r="Q420" i="1"/>
  <c r="R420" i="1"/>
  <c r="S420" i="1"/>
  <c r="T420" i="1"/>
  <c r="U420" i="1"/>
  <c r="V420" i="1"/>
  <c r="W420" i="1"/>
  <c r="X420" i="1"/>
  <c r="Y420" i="1"/>
  <c r="O421" i="1"/>
  <c r="P421" i="1"/>
  <c r="Q421" i="1"/>
  <c r="R421" i="1"/>
  <c r="S421" i="1"/>
  <c r="T421" i="1"/>
  <c r="U421" i="1"/>
  <c r="V421" i="1"/>
  <c r="W421" i="1"/>
  <c r="X421" i="1"/>
  <c r="Y421" i="1"/>
  <c r="O422" i="1"/>
  <c r="P422" i="1"/>
  <c r="Q422" i="1"/>
  <c r="R422" i="1"/>
  <c r="S422" i="1"/>
  <c r="T422" i="1"/>
  <c r="U422" i="1"/>
  <c r="V422" i="1"/>
  <c r="W422" i="1"/>
  <c r="X422" i="1"/>
  <c r="Y422" i="1"/>
  <c r="O423" i="1"/>
  <c r="P423" i="1"/>
  <c r="Q423" i="1"/>
  <c r="R423" i="1"/>
  <c r="S423" i="1"/>
  <c r="T423" i="1"/>
  <c r="U423" i="1"/>
  <c r="V423" i="1"/>
  <c r="W423" i="1"/>
  <c r="X423" i="1"/>
  <c r="Y423" i="1"/>
  <c r="O424" i="1"/>
  <c r="P424" i="1"/>
  <c r="Q424" i="1"/>
  <c r="R424" i="1"/>
  <c r="S424" i="1"/>
  <c r="T424" i="1"/>
  <c r="U424" i="1"/>
  <c r="V424" i="1"/>
  <c r="W424" i="1"/>
  <c r="X424" i="1"/>
  <c r="Y424" i="1"/>
  <c r="O425" i="1"/>
  <c r="P425" i="1"/>
  <c r="Q425" i="1"/>
  <c r="R425" i="1"/>
  <c r="S425" i="1"/>
  <c r="T425" i="1"/>
  <c r="U425" i="1"/>
  <c r="V425" i="1"/>
  <c r="W425" i="1"/>
  <c r="X425" i="1"/>
  <c r="Y425" i="1"/>
  <c r="O426" i="1"/>
  <c r="P426" i="1"/>
  <c r="Q426" i="1"/>
  <c r="R426" i="1"/>
  <c r="S426" i="1"/>
  <c r="T426" i="1"/>
  <c r="U426" i="1"/>
  <c r="V426" i="1"/>
  <c r="W426" i="1"/>
  <c r="X426" i="1"/>
  <c r="Y426" i="1"/>
  <c r="O427" i="1"/>
  <c r="P427" i="1"/>
  <c r="Q427" i="1"/>
  <c r="R427" i="1"/>
  <c r="S427" i="1"/>
  <c r="T427" i="1"/>
  <c r="U427" i="1"/>
  <c r="V427" i="1"/>
  <c r="W427" i="1"/>
  <c r="X427" i="1"/>
  <c r="Y427" i="1"/>
  <c r="O428" i="1"/>
  <c r="P428" i="1"/>
  <c r="Q428" i="1"/>
  <c r="R428" i="1"/>
  <c r="S428" i="1"/>
  <c r="T428" i="1"/>
  <c r="U428" i="1"/>
  <c r="V428" i="1"/>
  <c r="W428" i="1"/>
  <c r="X428" i="1"/>
  <c r="Y428" i="1"/>
  <c r="O429" i="1"/>
  <c r="P429" i="1"/>
  <c r="Q429" i="1"/>
  <c r="R429" i="1"/>
  <c r="S429" i="1"/>
  <c r="T429" i="1"/>
  <c r="U429" i="1"/>
  <c r="V429" i="1"/>
  <c r="W429" i="1"/>
  <c r="X429" i="1"/>
  <c r="Y429" i="1"/>
  <c r="O430" i="1"/>
  <c r="P430" i="1"/>
  <c r="Q430" i="1"/>
  <c r="R430" i="1"/>
  <c r="S430" i="1"/>
  <c r="T430" i="1"/>
  <c r="U430" i="1"/>
  <c r="V430" i="1"/>
  <c r="W430" i="1"/>
  <c r="X430" i="1"/>
  <c r="Y430" i="1"/>
  <c r="O431" i="1"/>
  <c r="P431" i="1"/>
  <c r="Q431" i="1"/>
  <c r="R431" i="1"/>
  <c r="S431" i="1"/>
  <c r="T431" i="1"/>
  <c r="U431" i="1"/>
  <c r="V431" i="1"/>
  <c r="W431" i="1"/>
  <c r="X431" i="1"/>
  <c r="Y431" i="1"/>
  <c r="O432" i="1"/>
  <c r="P432" i="1"/>
  <c r="Q432" i="1"/>
  <c r="R432" i="1"/>
  <c r="S432" i="1"/>
  <c r="T432" i="1"/>
  <c r="U432" i="1"/>
  <c r="V432" i="1"/>
  <c r="W432" i="1"/>
  <c r="X432" i="1"/>
  <c r="Y432" i="1"/>
  <c r="O433" i="1"/>
  <c r="P433" i="1"/>
  <c r="Q433" i="1"/>
  <c r="R433" i="1"/>
  <c r="S433" i="1"/>
  <c r="T433" i="1"/>
  <c r="U433" i="1"/>
  <c r="V433" i="1"/>
  <c r="W433" i="1"/>
  <c r="X433" i="1"/>
  <c r="Y433" i="1"/>
  <c r="O434" i="1"/>
  <c r="P434" i="1"/>
  <c r="Q434" i="1"/>
  <c r="R434" i="1"/>
  <c r="S434" i="1"/>
  <c r="T434" i="1"/>
  <c r="U434" i="1"/>
  <c r="V434" i="1"/>
  <c r="W434" i="1"/>
  <c r="X434" i="1"/>
  <c r="Y434" i="1"/>
  <c r="O435" i="1"/>
  <c r="P435" i="1"/>
  <c r="Q435" i="1"/>
  <c r="R435" i="1"/>
  <c r="S435" i="1"/>
  <c r="T435" i="1"/>
  <c r="U435" i="1"/>
  <c r="V435" i="1"/>
  <c r="W435" i="1"/>
  <c r="X435" i="1"/>
  <c r="Y435" i="1"/>
  <c r="O436" i="1"/>
  <c r="P436" i="1"/>
  <c r="Q436" i="1"/>
  <c r="R436" i="1"/>
  <c r="S436" i="1"/>
  <c r="T436" i="1"/>
  <c r="U436" i="1"/>
  <c r="V436" i="1"/>
  <c r="W436" i="1"/>
  <c r="X436" i="1"/>
  <c r="Y436" i="1"/>
  <c r="O437" i="1"/>
  <c r="P437" i="1"/>
  <c r="Q437" i="1"/>
  <c r="R437" i="1"/>
  <c r="S437" i="1"/>
  <c r="T437" i="1"/>
  <c r="U437" i="1"/>
  <c r="V437" i="1"/>
  <c r="W437" i="1"/>
  <c r="X437" i="1"/>
  <c r="Y437" i="1"/>
  <c r="O438" i="1"/>
  <c r="P438" i="1"/>
  <c r="Q438" i="1"/>
  <c r="R438" i="1"/>
  <c r="S438" i="1"/>
  <c r="T438" i="1"/>
  <c r="U438" i="1"/>
  <c r="V438" i="1"/>
  <c r="W438" i="1"/>
  <c r="X438" i="1"/>
  <c r="Y438" i="1"/>
  <c r="O439" i="1"/>
  <c r="P439" i="1"/>
  <c r="Q439" i="1"/>
  <c r="R439" i="1"/>
  <c r="S439" i="1"/>
  <c r="T439" i="1"/>
  <c r="U439" i="1"/>
  <c r="V439" i="1"/>
  <c r="W439" i="1"/>
  <c r="X439" i="1"/>
  <c r="Y439" i="1"/>
  <c r="O440" i="1"/>
  <c r="P440" i="1"/>
  <c r="Q440" i="1"/>
  <c r="R440" i="1"/>
  <c r="S440" i="1"/>
  <c r="T440" i="1"/>
  <c r="U440" i="1"/>
  <c r="V440" i="1"/>
  <c r="W440" i="1"/>
  <c r="X440" i="1"/>
  <c r="Y440" i="1"/>
  <c r="O441" i="1"/>
  <c r="P441" i="1"/>
  <c r="Q441" i="1"/>
  <c r="R441" i="1"/>
  <c r="S441" i="1"/>
  <c r="T441" i="1"/>
  <c r="U441" i="1"/>
  <c r="V441" i="1"/>
  <c r="W441" i="1"/>
  <c r="X441" i="1"/>
  <c r="Y441" i="1"/>
  <c r="O442" i="1"/>
  <c r="P442" i="1"/>
  <c r="Q442" i="1"/>
  <c r="R442" i="1"/>
  <c r="S442" i="1"/>
  <c r="T442" i="1"/>
  <c r="U442" i="1"/>
  <c r="V442" i="1"/>
  <c r="W442" i="1"/>
  <c r="X442" i="1"/>
  <c r="Y442" i="1"/>
  <c r="O443" i="1"/>
  <c r="P443" i="1"/>
  <c r="Q443" i="1"/>
  <c r="R443" i="1"/>
  <c r="S443" i="1"/>
  <c r="T443" i="1"/>
  <c r="U443" i="1"/>
  <c r="V443" i="1"/>
  <c r="W443" i="1"/>
  <c r="X443" i="1"/>
  <c r="Y443" i="1"/>
  <c r="O444" i="1"/>
  <c r="P444" i="1"/>
  <c r="Q444" i="1"/>
  <c r="R444" i="1"/>
  <c r="S444" i="1"/>
  <c r="T444" i="1"/>
  <c r="U444" i="1"/>
  <c r="V444" i="1"/>
  <c r="W444" i="1"/>
  <c r="X444" i="1"/>
  <c r="Y444" i="1"/>
  <c r="O445" i="1"/>
  <c r="P445" i="1"/>
  <c r="Q445" i="1"/>
  <c r="R445" i="1"/>
  <c r="S445" i="1"/>
  <c r="T445" i="1"/>
  <c r="U445" i="1"/>
  <c r="V445" i="1"/>
  <c r="W445" i="1"/>
  <c r="X445" i="1"/>
  <c r="Y445" i="1"/>
  <c r="O446" i="1"/>
  <c r="P446" i="1"/>
  <c r="Q446" i="1"/>
  <c r="R446" i="1"/>
  <c r="S446" i="1"/>
  <c r="T446" i="1"/>
  <c r="U446" i="1"/>
  <c r="V446" i="1"/>
  <c r="W446" i="1"/>
  <c r="X446" i="1"/>
  <c r="Y446" i="1"/>
  <c r="O447" i="1"/>
  <c r="P447" i="1"/>
  <c r="Q447" i="1"/>
  <c r="R447" i="1"/>
  <c r="S447" i="1"/>
  <c r="T447" i="1"/>
  <c r="U447" i="1"/>
  <c r="V447" i="1"/>
  <c r="W447" i="1"/>
  <c r="X447" i="1"/>
  <c r="Y447" i="1"/>
  <c r="O448" i="1"/>
  <c r="P448" i="1"/>
  <c r="Q448" i="1"/>
  <c r="R448" i="1"/>
  <c r="S448" i="1"/>
  <c r="T448" i="1"/>
  <c r="U448" i="1"/>
  <c r="V448" i="1"/>
  <c r="W448" i="1"/>
  <c r="X448" i="1"/>
  <c r="Y448" i="1"/>
  <c r="O449" i="1"/>
  <c r="P449" i="1"/>
  <c r="Q449" i="1"/>
  <c r="R449" i="1"/>
  <c r="S449" i="1"/>
  <c r="T449" i="1"/>
  <c r="U449" i="1"/>
  <c r="V449" i="1"/>
  <c r="W449" i="1"/>
  <c r="X449" i="1"/>
  <c r="Y449" i="1"/>
  <c r="O450" i="1"/>
  <c r="P450" i="1"/>
  <c r="Q450" i="1"/>
  <c r="R450" i="1"/>
  <c r="S450" i="1"/>
  <c r="T450" i="1"/>
  <c r="U450" i="1"/>
  <c r="V450" i="1"/>
  <c r="W450" i="1"/>
  <c r="X450" i="1"/>
  <c r="Y450" i="1"/>
  <c r="O451" i="1"/>
  <c r="P451" i="1"/>
  <c r="Q451" i="1"/>
  <c r="R451" i="1"/>
  <c r="S451" i="1"/>
  <c r="T451" i="1"/>
  <c r="U451" i="1"/>
  <c r="V451" i="1"/>
  <c r="W451" i="1"/>
  <c r="X451" i="1"/>
  <c r="Y451" i="1"/>
  <c r="O452" i="1"/>
  <c r="P452" i="1"/>
  <c r="Q452" i="1"/>
  <c r="R452" i="1"/>
  <c r="S452" i="1"/>
  <c r="T452" i="1"/>
  <c r="U452" i="1"/>
  <c r="V452" i="1"/>
  <c r="W452" i="1"/>
  <c r="X452" i="1"/>
  <c r="Y452" i="1"/>
  <c r="O453" i="1"/>
  <c r="P453" i="1"/>
  <c r="Q453" i="1"/>
  <c r="R453" i="1"/>
  <c r="S453" i="1"/>
  <c r="T453" i="1"/>
  <c r="U453" i="1"/>
  <c r="V453" i="1"/>
  <c r="W453" i="1"/>
  <c r="X453" i="1"/>
  <c r="Y453" i="1"/>
  <c r="O454" i="1"/>
  <c r="P454" i="1"/>
  <c r="Q454" i="1"/>
  <c r="R454" i="1"/>
  <c r="S454" i="1"/>
  <c r="T454" i="1"/>
  <c r="U454" i="1"/>
  <c r="V454" i="1"/>
  <c r="W454" i="1"/>
  <c r="X454" i="1"/>
  <c r="Y454" i="1"/>
  <c r="O455" i="1"/>
  <c r="P455" i="1"/>
  <c r="Q455" i="1"/>
  <c r="R455" i="1"/>
  <c r="S455" i="1"/>
  <c r="T455" i="1"/>
  <c r="U455" i="1"/>
  <c r="V455" i="1"/>
  <c r="W455" i="1"/>
  <c r="X455" i="1"/>
  <c r="Y455" i="1"/>
  <c r="O456" i="1"/>
  <c r="P456" i="1"/>
  <c r="Q456" i="1"/>
  <c r="R456" i="1"/>
  <c r="S456" i="1"/>
  <c r="T456" i="1"/>
  <c r="U456" i="1"/>
  <c r="V456" i="1"/>
  <c r="W456" i="1"/>
  <c r="X456" i="1"/>
  <c r="Y456" i="1"/>
  <c r="O457" i="1"/>
  <c r="P457" i="1"/>
  <c r="Q457" i="1"/>
  <c r="R457" i="1"/>
  <c r="S457" i="1"/>
  <c r="T457" i="1"/>
  <c r="U457" i="1"/>
  <c r="V457" i="1"/>
  <c r="W457" i="1"/>
  <c r="X457" i="1"/>
  <c r="Y457" i="1"/>
  <c r="O458" i="1"/>
  <c r="P458" i="1"/>
  <c r="Q458" i="1"/>
  <c r="R458" i="1"/>
  <c r="S458" i="1"/>
  <c r="T458" i="1"/>
  <c r="U458" i="1"/>
  <c r="V458" i="1"/>
  <c r="W458" i="1"/>
  <c r="X458" i="1"/>
  <c r="Y458" i="1"/>
  <c r="O459" i="1"/>
  <c r="P459" i="1"/>
  <c r="Q459" i="1"/>
  <c r="R459" i="1"/>
  <c r="S459" i="1"/>
  <c r="T459" i="1"/>
  <c r="U459" i="1"/>
  <c r="V459" i="1"/>
  <c r="W459" i="1"/>
  <c r="X459" i="1"/>
  <c r="Y459" i="1"/>
  <c r="O460" i="1"/>
  <c r="P460" i="1"/>
  <c r="Q460" i="1"/>
  <c r="R460" i="1"/>
  <c r="S460" i="1"/>
  <c r="T460" i="1"/>
  <c r="U460" i="1"/>
  <c r="V460" i="1"/>
  <c r="W460" i="1"/>
  <c r="X460" i="1"/>
  <c r="Y460" i="1"/>
  <c r="O461" i="1"/>
  <c r="P461" i="1"/>
  <c r="Q461" i="1"/>
  <c r="R461" i="1"/>
  <c r="S461" i="1"/>
  <c r="T461" i="1"/>
  <c r="U461" i="1"/>
  <c r="V461" i="1"/>
  <c r="W461" i="1"/>
  <c r="X461" i="1"/>
  <c r="Y461" i="1"/>
  <c r="O462" i="1"/>
  <c r="P462" i="1"/>
  <c r="Q462" i="1"/>
  <c r="R462" i="1"/>
  <c r="S462" i="1"/>
  <c r="T462" i="1"/>
  <c r="U462" i="1"/>
  <c r="V462" i="1"/>
  <c r="W462" i="1"/>
  <c r="X462" i="1"/>
  <c r="Y462" i="1"/>
  <c r="O463" i="1"/>
  <c r="P463" i="1"/>
  <c r="Q463" i="1"/>
  <c r="R463" i="1"/>
  <c r="S463" i="1"/>
  <c r="T463" i="1"/>
  <c r="U463" i="1"/>
  <c r="V463" i="1"/>
  <c r="W463" i="1"/>
  <c r="X463" i="1"/>
  <c r="Y463" i="1"/>
  <c r="O464" i="1"/>
  <c r="P464" i="1"/>
  <c r="Q464" i="1"/>
  <c r="R464" i="1"/>
  <c r="S464" i="1"/>
  <c r="T464" i="1"/>
  <c r="U464" i="1"/>
  <c r="V464" i="1"/>
  <c r="W464" i="1"/>
  <c r="X464" i="1"/>
  <c r="Y464" i="1"/>
  <c r="O465" i="1"/>
  <c r="P465" i="1"/>
  <c r="Q465" i="1"/>
  <c r="R465" i="1"/>
  <c r="S465" i="1"/>
  <c r="T465" i="1"/>
  <c r="U465" i="1"/>
  <c r="V465" i="1"/>
  <c r="W465" i="1"/>
  <c r="X465" i="1"/>
  <c r="Y465" i="1"/>
  <c r="O466" i="1"/>
  <c r="P466" i="1"/>
  <c r="Q466" i="1"/>
  <c r="R466" i="1"/>
  <c r="S466" i="1"/>
  <c r="T466" i="1"/>
  <c r="U466" i="1"/>
  <c r="V466" i="1"/>
  <c r="W466" i="1"/>
  <c r="X466" i="1"/>
  <c r="Y466" i="1"/>
  <c r="O467" i="1"/>
  <c r="P467" i="1"/>
  <c r="Q467" i="1"/>
  <c r="R467" i="1"/>
  <c r="S467" i="1"/>
  <c r="T467" i="1"/>
  <c r="U467" i="1"/>
  <c r="V467" i="1"/>
  <c r="W467" i="1"/>
  <c r="X467" i="1"/>
  <c r="Y467" i="1"/>
  <c r="O468" i="1"/>
  <c r="P468" i="1"/>
  <c r="Q468" i="1"/>
  <c r="R468" i="1"/>
  <c r="S468" i="1"/>
  <c r="T468" i="1"/>
  <c r="U468" i="1"/>
  <c r="V468" i="1"/>
  <c r="W468" i="1"/>
  <c r="X468" i="1"/>
  <c r="Y468" i="1"/>
  <c r="O469" i="1"/>
  <c r="P469" i="1"/>
  <c r="Q469" i="1"/>
  <c r="R469" i="1"/>
  <c r="S469" i="1"/>
  <c r="T469" i="1"/>
  <c r="U469" i="1"/>
  <c r="V469" i="1"/>
  <c r="W469" i="1"/>
  <c r="X469" i="1"/>
  <c r="Y469" i="1"/>
  <c r="O470" i="1"/>
  <c r="P470" i="1"/>
  <c r="Q470" i="1"/>
  <c r="R470" i="1"/>
  <c r="S470" i="1"/>
  <c r="T470" i="1"/>
  <c r="U470" i="1"/>
  <c r="V470" i="1"/>
  <c r="W470" i="1"/>
  <c r="X470" i="1"/>
  <c r="Y470" i="1"/>
  <c r="O471" i="1"/>
  <c r="P471" i="1"/>
  <c r="Q471" i="1"/>
  <c r="R471" i="1"/>
  <c r="S471" i="1"/>
  <c r="T471" i="1"/>
  <c r="U471" i="1"/>
  <c r="V471" i="1"/>
  <c r="W471" i="1"/>
  <c r="X471" i="1"/>
  <c r="Y471" i="1"/>
  <c r="O472" i="1"/>
  <c r="P472" i="1"/>
  <c r="Q472" i="1"/>
  <c r="R472" i="1"/>
  <c r="S472" i="1"/>
  <c r="T472" i="1"/>
  <c r="U472" i="1"/>
  <c r="V472" i="1"/>
  <c r="W472" i="1"/>
  <c r="X472" i="1"/>
  <c r="Y472" i="1"/>
  <c r="O473" i="1"/>
  <c r="P473" i="1"/>
  <c r="Q473" i="1"/>
  <c r="R473" i="1"/>
  <c r="S473" i="1"/>
  <c r="T473" i="1"/>
  <c r="U473" i="1"/>
  <c r="V473" i="1"/>
  <c r="W473" i="1"/>
  <c r="X473" i="1"/>
  <c r="Y473" i="1"/>
  <c r="O474" i="1"/>
  <c r="P474" i="1"/>
  <c r="Q474" i="1"/>
  <c r="R474" i="1"/>
  <c r="S474" i="1"/>
  <c r="T474" i="1"/>
  <c r="U474" i="1"/>
  <c r="V474" i="1"/>
  <c r="W474" i="1"/>
  <c r="X474" i="1"/>
  <c r="Y474" i="1"/>
  <c r="O475" i="1"/>
  <c r="P475" i="1"/>
  <c r="Q475" i="1"/>
  <c r="R475" i="1"/>
  <c r="S475" i="1"/>
  <c r="T475" i="1"/>
  <c r="U475" i="1"/>
  <c r="V475" i="1"/>
  <c r="W475" i="1"/>
  <c r="X475" i="1"/>
  <c r="Y475" i="1"/>
  <c r="O476" i="1"/>
  <c r="P476" i="1"/>
  <c r="Q476" i="1"/>
  <c r="R476" i="1"/>
  <c r="S476" i="1"/>
  <c r="T476" i="1"/>
  <c r="U476" i="1"/>
  <c r="V476" i="1"/>
  <c r="W476" i="1"/>
  <c r="X476" i="1"/>
  <c r="Y476" i="1"/>
  <c r="O477" i="1"/>
  <c r="P477" i="1"/>
  <c r="Q477" i="1"/>
  <c r="R477" i="1"/>
  <c r="S477" i="1"/>
  <c r="T477" i="1"/>
  <c r="U477" i="1"/>
  <c r="V477" i="1"/>
  <c r="W477" i="1"/>
  <c r="X477" i="1"/>
  <c r="Y477" i="1"/>
  <c r="O478" i="1"/>
  <c r="P478" i="1"/>
  <c r="Q478" i="1"/>
  <c r="R478" i="1"/>
  <c r="S478" i="1"/>
  <c r="T478" i="1"/>
  <c r="U478" i="1"/>
  <c r="V478" i="1"/>
  <c r="W478" i="1"/>
  <c r="X478" i="1"/>
  <c r="Y478" i="1"/>
  <c r="O479" i="1"/>
  <c r="P479" i="1"/>
  <c r="Q479" i="1"/>
  <c r="R479" i="1"/>
  <c r="S479" i="1"/>
  <c r="T479" i="1"/>
  <c r="U479" i="1"/>
  <c r="V479" i="1"/>
  <c r="W479" i="1"/>
  <c r="X479" i="1"/>
  <c r="Y479" i="1"/>
  <c r="O480" i="1"/>
  <c r="P480" i="1"/>
  <c r="Q480" i="1"/>
  <c r="R480" i="1"/>
  <c r="S480" i="1"/>
  <c r="T480" i="1"/>
  <c r="U480" i="1"/>
  <c r="V480" i="1"/>
  <c r="W480" i="1"/>
  <c r="X480" i="1"/>
  <c r="Y480" i="1"/>
  <c r="O481" i="1"/>
  <c r="P481" i="1"/>
  <c r="Q481" i="1"/>
  <c r="R481" i="1"/>
  <c r="S481" i="1"/>
  <c r="T481" i="1"/>
  <c r="U481" i="1"/>
  <c r="V481" i="1"/>
  <c r="W481" i="1"/>
  <c r="X481" i="1"/>
  <c r="Y481" i="1"/>
  <c r="O482" i="1"/>
  <c r="P482" i="1"/>
  <c r="Q482" i="1"/>
  <c r="R482" i="1"/>
  <c r="S482" i="1"/>
  <c r="T482" i="1"/>
  <c r="U482" i="1"/>
  <c r="V482" i="1"/>
  <c r="W482" i="1"/>
  <c r="X482" i="1"/>
  <c r="Y482" i="1"/>
  <c r="O483" i="1"/>
  <c r="P483" i="1"/>
  <c r="Q483" i="1"/>
  <c r="R483" i="1"/>
  <c r="S483" i="1"/>
  <c r="T483" i="1"/>
  <c r="U483" i="1"/>
  <c r="V483" i="1"/>
  <c r="W483" i="1"/>
  <c r="X483" i="1"/>
  <c r="Y483" i="1"/>
  <c r="O484" i="1"/>
  <c r="P484" i="1"/>
  <c r="Q484" i="1"/>
  <c r="R484" i="1"/>
  <c r="S484" i="1"/>
  <c r="T484" i="1"/>
  <c r="U484" i="1"/>
  <c r="V484" i="1"/>
  <c r="W484" i="1"/>
  <c r="X484" i="1"/>
  <c r="Y484" i="1"/>
  <c r="O485" i="1"/>
  <c r="P485" i="1"/>
  <c r="Q485" i="1"/>
  <c r="R485" i="1"/>
  <c r="S485" i="1"/>
  <c r="T485" i="1"/>
  <c r="U485" i="1"/>
  <c r="V485" i="1"/>
  <c r="W485" i="1"/>
  <c r="X485" i="1"/>
  <c r="Y485" i="1"/>
  <c r="O486" i="1"/>
  <c r="P486" i="1"/>
  <c r="Q486" i="1"/>
  <c r="R486" i="1"/>
  <c r="S486" i="1"/>
  <c r="T486" i="1"/>
  <c r="U486" i="1"/>
  <c r="V486" i="1"/>
  <c r="W486" i="1"/>
  <c r="X486" i="1"/>
  <c r="Y486" i="1"/>
  <c r="O487" i="1"/>
  <c r="P487" i="1"/>
  <c r="Q487" i="1"/>
  <c r="R487" i="1"/>
  <c r="S487" i="1"/>
  <c r="T487" i="1"/>
  <c r="U487" i="1"/>
  <c r="V487" i="1"/>
  <c r="W487" i="1"/>
  <c r="X487" i="1"/>
  <c r="Y487" i="1"/>
  <c r="O488" i="1"/>
  <c r="P488" i="1"/>
  <c r="Q488" i="1"/>
  <c r="R488" i="1"/>
  <c r="S488" i="1"/>
  <c r="T488" i="1"/>
  <c r="U488" i="1"/>
  <c r="V488" i="1"/>
  <c r="W488" i="1"/>
  <c r="X488" i="1"/>
  <c r="Y488" i="1"/>
  <c r="O489" i="1"/>
  <c r="P489" i="1"/>
  <c r="Q489" i="1"/>
  <c r="R489" i="1"/>
  <c r="S489" i="1"/>
  <c r="T489" i="1"/>
  <c r="U489" i="1"/>
  <c r="V489" i="1"/>
  <c r="W489" i="1"/>
  <c r="X489" i="1"/>
  <c r="Y489" i="1"/>
  <c r="O490" i="1"/>
  <c r="P490" i="1"/>
  <c r="Q490" i="1"/>
  <c r="R490" i="1"/>
  <c r="S490" i="1"/>
  <c r="T490" i="1"/>
  <c r="U490" i="1"/>
  <c r="V490" i="1"/>
  <c r="W490" i="1"/>
  <c r="X490" i="1"/>
  <c r="Y490" i="1"/>
  <c r="O491" i="1"/>
  <c r="P491" i="1"/>
  <c r="Q491" i="1"/>
  <c r="R491" i="1"/>
  <c r="S491" i="1"/>
  <c r="T491" i="1"/>
  <c r="U491" i="1"/>
  <c r="V491" i="1"/>
  <c r="W491" i="1"/>
  <c r="X491" i="1"/>
  <c r="Y491" i="1"/>
  <c r="O492" i="1"/>
  <c r="P492" i="1"/>
  <c r="Q492" i="1"/>
  <c r="R492" i="1"/>
  <c r="S492" i="1"/>
  <c r="T492" i="1"/>
  <c r="U492" i="1"/>
  <c r="V492" i="1"/>
  <c r="W492" i="1"/>
  <c r="X492" i="1"/>
  <c r="Y492" i="1"/>
  <c r="O493" i="1"/>
  <c r="P493" i="1"/>
  <c r="Q493" i="1"/>
  <c r="R493" i="1"/>
  <c r="S493" i="1"/>
  <c r="T493" i="1"/>
  <c r="U493" i="1"/>
  <c r="V493" i="1"/>
  <c r="W493" i="1"/>
  <c r="X493" i="1"/>
  <c r="Y493" i="1"/>
  <c r="O494" i="1"/>
  <c r="P494" i="1"/>
  <c r="Q494" i="1"/>
  <c r="R494" i="1"/>
  <c r="S494" i="1"/>
  <c r="T494" i="1"/>
  <c r="U494" i="1"/>
  <c r="V494" i="1"/>
  <c r="W494" i="1"/>
  <c r="X494" i="1"/>
  <c r="Y494" i="1"/>
  <c r="O495" i="1"/>
  <c r="P495" i="1"/>
  <c r="Q495" i="1"/>
  <c r="R495" i="1"/>
  <c r="S495" i="1"/>
  <c r="T495" i="1"/>
  <c r="U495" i="1"/>
  <c r="V495" i="1"/>
  <c r="W495" i="1"/>
  <c r="X495" i="1"/>
  <c r="Y495" i="1"/>
  <c r="O496" i="1"/>
  <c r="P496" i="1"/>
  <c r="Q496" i="1"/>
  <c r="R496" i="1"/>
  <c r="S496" i="1"/>
  <c r="T496" i="1"/>
  <c r="U496" i="1"/>
  <c r="V496" i="1"/>
  <c r="W496" i="1"/>
  <c r="X496" i="1"/>
  <c r="Y496" i="1"/>
  <c r="O497" i="1"/>
  <c r="P497" i="1"/>
  <c r="Q497" i="1"/>
  <c r="R497" i="1"/>
  <c r="S497" i="1"/>
  <c r="T497" i="1"/>
  <c r="U497" i="1"/>
  <c r="V497" i="1"/>
  <c r="W497" i="1"/>
  <c r="X497" i="1"/>
  <c r="Y497" i="1"/>
  <c r="O498" i="1"/>
  <c r="P498" i="1"/>
  <c r="Q498" i="1"/>
  <c r="R498" i="1"/>
  <c r="S498" i="1"/>
  <c r="T498" i="1"/>
  <c r="U498" i="1"/>
  <c r="V498" i="1"/>
  <c r="W498" i="1"/>
  <c r="X498" i="1"/>
  <c r="Y498" i="1"/>
  <c r="O499" i="1"/>
  <c r="P499" i="1"/>
  <c r="Q499" i="1"/>
  <c r="R499" i="1"/>
  <c r="S499" i="1"/>
  <c r="T499" i="1"/>
  <c r="U499" i="1"/>
  <c r="V499" i="1"/>
  <c r="W499" i="1"/>
  <c r="X499" i="1"/>
  <c r="Y499" i="1"/>
  <c r="O500" i="1"/>
  <c r="P500" i="1"/>
  <c r="Q500" i="1"/>
  <c r="R500" i="1"/>
  <c r="S500" i="1"/>
  <c r="T500" i="1"/>
  <c r="U500" i="1"/>
  <c r="V500" i="1"/>
  <c r="W500" i="1"/>
  <c r="X500" i="1"/>
  <c r="Y500" i="1"/>
  <c r="O501" i="1"/>
  <c r="P501" i="1"/>
  <c r="Q501" i="1"/>
  <c r="R501" i="1"/>
  <c r="S501" i="1"/>
  <c r="T501" i="1"/>
  <c r="U501" i="1"/>
  <c r="V501" i="1"/>
  <c r="W501" i="1"/>
  <c r="X501" i="1"/>
  <c r="Y501" i="1"/>
  <c r="O502" i="1"/>
  <c r="P502" i="1"/>
  <c r="Q502" i="1"/>
  <c r="R502" i="1"/>
  <c r="S502" i="1"/>
  <c r="T502" i="1"/>
  <c r="U502" i="1"/>
  <c r="V502" i="1"/>
  <c r="W502" i="1"/>
  <c r="X502" i="1"/>
  <c r="Y502" i="1"/>
  <c r="O503" i="1"/>
  <c r="P503" i="1"/>
  <c r="Q503" i="1"/>
  <c r="R503" i="1"/>
  <c r="S503" i="1"/>
  <c r="T503" i="1"/>
  <c r="U503" i="1"/>
  <c r="V503" i="1"/>
  <c r="W503" i="1"/>
  <c r="X503" i="1"/>
  <c r="Y503" i="1"/>
  <c r="O504" i="1"/>
  <c r="P504" i="1"/>
  <c r="Q504" i="1"/>
  <c r="R504" i="1"/>
  <c r="S504" i="1"/>
  <c r="T504" i="1"/>
  <c r="U504" i="1"/>
  <c r="V504" i="1"/>
  <c r="W504" i="1"/>
  <c r="X504" i="1"/>
  <c r="Y504" i="1"/>
  <c r="O505" i="1"/>
  <c r="P505" i="1"/>
  <c r="Q505" i="1"/>
  <c r="R505" i="1"/>
  <c r="S505" i="1"/>
  <c r="T505" i="1"/>
  <c r="U505" i="1"/>
  <c r="V505" i="1"/>
  <c r="W505" i="1"/>
  <c r="X505" i="1"/>
  <c r="Y505" i="1"/>
  <c r="O506" i="1"/>
  <c r="P506" i="1"/>
  <c r="Q506" i="1"/>
  <c r="R506" i="1"/>
  <c r="S506" i="1"/>
  <c r="T506" i="1"/>
  <c r="U506" i="1"/>
  <c r="V506" i="1"/>
  <c r="W506" i="1"/>
  <c r="X506" i="1"/>
  <c r="Y506" i="1"/>
  <c r="O507" i="1"/>
  <c r="P507" i="1"/>
  <c r="Q507" i="1"/>
  <c r="R507" i="1"/>
  <c r="S507" i="1"/>
  <c r="T507" i="1"/>
  <c r="U507" i="1"/>
  <c r="V507" i="1"/>
  <c r="W507" i="1"/>
  <c r="X507" i="1"/>
  <c r="Y507" i="1"/>
  <c r="O508" i="1"/>
  <c r="P508" i="1"/>
  <c r="Q508" i="1"/>
  <c r="R508" i="1"/>
  <c r="S508" i="1"/>
  <c r="T508" i="1"/>
  <c r="U508" i="1"/>
  <c r="V508" i="1"/>
  <c r="W508" i="1"/>
  <c r="X508" i="1"/>
  <c r="Y508" i="1"/>
  <c r="O509" i="1"/>
  <c r="P509" i="1"/>
  <c r="Q509" i="1"/>
  <c r="R509" i="1"/>
  <c r="S509" i="1"/>
  <c r="T509" i="1"/>
  <c r="U509" i="1"/>
  <c r="V509" i="1"/>
  <c r="W509" i="1"/>
  <c r="X509" i="1"/>
  <c r="Y509" i="1"/>
  <c r="O510" i="1"/>
  <c r="P510" i="1"/>
  <c r="Q510" i="1"/>
  <c r="R510" i="1"/>
  <c r="S510" i="1"/>
  <c r="T510" i="1"/>
  <c r="U510" i="1"/>
  <c r="V510" i="1"/>
  <c r="W510" i="1"/>
  <c r="X510" i="1"/>
  <c r="Y510" i="1"/>
  <c r="O511" i="1"/>
  <c r="P511" i="1"/>
  <c r="Q511" i="1"/>
  <c r="R511" i="1"/>
  <c r="S511" i="1"/>
  <c r="T511" i="1"/>
  <c r="U511" i="1"/>
  <c r="V511" i="1"/>
  <c r="W511" i="1"/>
  <c r="X511" i="1"/>
  <c r="Y511" i="1"/>
  <c r="O512" i="1"/>
  <c r="P512" i="1"/>
  <c r="Q512" i="1"/>
  <c r="R512" i="1"/>
  <c r="S512" i="1"/>
  <c r="T512" i="1"/>
  <c r="U512" i="1"/>
  <c r="V512" i="1"/>
  <c r="W512" i="1"/>
  <c r="X512" i="1"/>
  <c r="Y512" i="1"/>
  <c r="O513" i="1"/>
  <c r="P513" i="1"/>
  <c r="Q513" i="1"/>
  <c r="R513" i="1"/>
  <c r="S513" i="1"/>
  <c r="T513" i="1"/>
  <c r="U513" i="1"/>
  <c r="V513" i="1"/>
  <c r="W513" i="1"/>
  <c r="X513" i="1"/>
  <c r="Y513" i="1"/>
  <c r="O514" i="1"/>
  <c r="P514" i="1"/>
  <c r="Q514" i="1"/>
  <c r="R514" i="1"/>
  <c r="S514" i="1"/>
  <c r="T514" i="1"/>
  <c r="U514" i="1"/>
  <c r="V514" i="1"/>
  <c r="W514" i="1"/>
  <c r="X514" i="1"/>
  <c r="Y514" i="1"/>
  <c r="O515" i="1"/>
  <c r="P515" i="1"/>
  <c r="Q515" i="1"/>
  <c r="R515" i="1"/>
  <c r="S515" i="1"/>
  <c r="T515" i="1"/>
  <c r="U515" i="1"/>
  <c r="V515" i="1"/>
  <c r="W515" i="1"/>
  <c r="X515" i="1"/>
  <c r="Y515" i="1"/>
  <c r="O516" i="1"/>
  <c r="P516" i="1"/>
  <c r="Q516" i="1"/>
  <c r="R516" i="1"/>
  <c r="S516" i="1"/>
  <c r="T516" i="1"/>
  <c r="U516" i="1"/>
  <c r="V516" i="1"/>
  <c r="W516" i="1"/>
  <c r="X516" i="1"/>
  <c r="Y516" i="1"/>
  <c r="O517" i="1"/>
  <c r="P517" i="1"/>
  <c r="Q517" i="1"/>
  <c r="R517" i="1"/>
  <c r="S517" i="1"/>
  <c r="T517" i="1"/>
  <c r="U517" i="1"/>
  <c r="V517" i="1"/>
  <c r="W517" i="1"/>
  <c r="X517" i="1"/>
  <c r="Y517" i="1"/>
  <c r="O518" i="1"/>
  <c r="P518" i="1"/>
  <c r="Q518" i="1"/>
  <c r="R518" i="1"/>
  <c r="S518" i="1"/>
  <c r="T518" i="1"/>
  <c r="U518" i="1"/>
  <c r="V518" i="1"/>
  <c r="W518" i="1"/>
  <c r="X518" i="1"/>
  <c r="Y518" i="1"/>
  <c r="O519" i="1"/>
  <c r="P519" i="1"/>
  <c r="Q519" i="1"/>
  <c r="R519" i="1"/>
  <c r="S519" i="1"/>
  <c r="T519" i="1"/>
  <c r="U519" i="1"/>
  <c r="V519" i="1"/>
  <c r="W519" i="1"/>
  <c r="X519" i="1"/>
  <c r="Y519" i="1"/>
  <c r="O520" i="1"/>
  <c r="P520" i="1"/>
  <c r="Q520" i="1"/>
  <c r="R520" i="1"/>
  <c r="S520" i="1"/>
  <c r="T520" i="1"/>
  <c r="U520" i="1"/>
  <c r="V520" i="1"/>
  <c r="W520" i="1"/>
  <c r="X520" i="1"/>
  <c r="Y520" i="1"/>
  <c r="O521" i="1"/>
  <c r="P521" i="1"/>
  <c r="Q521" i="1"/>
  <c r="R521" i="1"/>
  <c r="S521" i="1"/>
  <c r="T521" i="1"/>
  <c r="U521" i="1"/>
  <c r="V521" i="1"/>
  <c r="W521" i="1"/>
  <c r="X521" i="1"/>
  <c r="Y521" i="1"/>
  <c r="O522" i="1"/>
  <c r="P522" i="1"/>
  <c r="Q522" i="1"/>
  <c r="R522" i="1"/>
  <c r="S522" i="1"/>
  <c r="T522" i="1"/>
  <c r="U522" i="1"/>
  <c r="V522" i="1"/>
  <c r="W522" i="1"/>
  <c r="X522" i="1"/>
  <c r="Y522" i="1"/>
  <c r="O523" i="1"/>
  <c r="P523" i="1"/>
  <c r="Q523" i="1"/>
  <c r="R523" i="1"/>
  <c r="S523" i="1"/>
  <c r="T523" i="1"/>
  <c r="U523" i="1"/>
  <c r="V523" i="1"/>
  <c r="W523" i="1"/>
  <c r="X523" i="1"/>
  <c r="Y523" i="1"/>
  <c r="O524" i="1"/>
  <c r="P524" i="1"/>
  <c r="Q524" i="1"/>
  <c r="R524" i="1"/>
  <c r="S524" i="1"/>
  <c r="T524" i="1"/>
  <c r="U524" i="1"/>
  <c r="V524" i="1"/>
  <c r="W524" i="1"/>
  <c r="X524" i="1"/>
  <c r="Y524" i="1"/>
  <c r="O525" i="1"/>
  <c r="P525" i="1"/>
  <c r="Q525" i="1"/>
  <c r="R525" i="1"/>
  <c r="S525" i="1"/>
  <c r="T525" i="1"/>
  <c r="U525" i="1"/>
  <c r="V525" i="1"/>
  <c r="W525" i="1"/>
  <c r="X525" i="1"/>
  <c r="Y525" i="1"/>
  <c r="O526" i="1"/>
  <c r="P526" i="1"/>
  <c r="Q526" i="1"/>
  <c r="R526" i="1"/>
  <c r="S526" i="1"/>
  <c r="T526" i="1"/>
  <c r="U526" i="1"/>
  <c r="V526" i="1"/>
  <c r="W526" i="1"/>
  <c r="X526" i="1"/>
  <c r="Y526" i="1"/>
  <c r="O527" i="1"/>
  <c r="P527" i="1"/>
  <c r="Q527" i="1"/>
  <c r="R527" i="1"/>
  <c r="S527" i="1"/>
  <c r="T527" i="1"/>
  <c r="U527" i="1"/>
  <c r="V527" i="1"/>
  <c r="W527" i="1"/>
  <c r="X527" i="1"/>
  <c r="Y527" i="1"/>
  <c r="O528" i="1"/>
  <c r="P528" i="1"/>
  <c r="Q528" i="1"/>
  <c r="R528" i="1"/>
  <c r="S528" i="1"/>
  <c r="T528" i="1"/>
  <c r="U528" i="1"/>
  <c r="V528" i="1"/>
  <c r="W528" i="1"/>
  <c r="X528" i="1"/>
  <c r="Y528" i="1"/>
  <c r="O529" i="1"/>
  <c r="P529" i="1"/>
  <c r="Q529" i="1"/>
  <c r="R529" i="1"/>
  <c r="S529" i="1"/>
  <c r="T529" i="1"/>
  <c r="U529" i="1"/>
  <c r="V529" i="1"/>
  <c r="W529" i="1"/>
  <c r="X529" i="1"/>
  <c r="Y529" i="1"/>
  <c r="O530" i="1"/>
  <c r="P530" i="1"/>
  <c r="Q530" i="1"/>
  <c r="R530" i="1"/>
  <c r="S530" i="1"/>
  <c r="T530" i="1"/>
  <c r="U530" i="1"/>
  <c r="V530" i="1"/>
  <c r="W530" i="1"/>
  <c r="X530" i="1"/>
  <c r="Y530" i="1"/>
  <c r="O531" i="1"/>
  <c r="P531" i="1"/>
  <c r="Q531" i="1"/>
  <c r="R531" i="1"/>
  <c r="S531" i="1"/>
  <c r="T531" i="1"/>
  <c r="U531" i="1"/>
  <c r="V531" i="1"/>
  <c r="W531" i="1"/>
  <c r="X531" i="1"/>
  <c r="Y531" i="1"/>
  <c r="O532" i="1"/>
  <c r="P532" i="1"/>
  <c r="Q532" i="1"/>
  <c r="R532" i="1"/>
  <c r="S532" i="1"/>
  <c r="T532" i="1"/>
  <c r="U532" i="1"/>
  <c r="V532" i="1"/>
  <c r="W532" i="1"/>
  <c r="X532" i="1"/>
  <c r="Y532" i="1"/>
  <c r="O533" i="1"/>
  <c r="P533" i="1"/>
  <c r="Q533" i="1"/>
  <c r="R533" i="1"/>
  <c r="S533" i="1"/>
  <c r="T533" i="1"/>
  <c r="U533" i="1"/>
  <c r="V533" i="1"/>
  <c r="W533" i="1"/>
  <c r="X533" i="1"/>
  <c r="Y533" i="1"/>
  <c r="O534" i="1"/>
  <c r="P534" i="1"/>
  <c r="Q534" i="1"/>
  <c r="R534" i="1"/>
  <c r="S534" i="1"/>
  <c r="T534" i="1"/>
  <c r="U534" i="1"/>
  <c r="V534" i="1"/>
  <c r="W534" i="1"/>
  <c r="X534" i="1"/>
  <c r="Y534" i="1"/>
  <c r="O535" i="1"/>
  <c r="P535" i="1"/>
  <c r="Q535" i="1"/>
  <c r="R535" i="1"/>
  <c r="S535" i="1"/>
  <c r="T535" i="1"/>
  <c r="U535" i="1"/>
  <c r="V535" i="1"/>
  <c r="W535" i="1"/>
  <c r="X535" i="1"/>
  <c r="Y535" i="1"/>
  <c r="O536" i="1"/>
  <c r="P536" i="1"/>
  <c r="Q536" i="1"/>
  <c r="R536" i="1"/>
  <c r="S536" i="1"/>
  <c r="T536" i="1"/>
  <c r="U536" i="1"/>
  <c r="V536" i="1"/>
  <c r="W536" i="1"/>
  <c r="X536" i="1"/>
  <c r="Y536" i="1"/>
  <c r="O537" i="1"/>
  <c r="P537" i="1"/>
  <c r="Q537" i="1"/>
  <c r="R537" i="1"/>
  <c r="S537" i="1"/>
  <c r="T537" i="1"/>
  <c r="U537" i="1"/>
  <c r="V537" i="1"/>
  <c r="W537" i="1"/>
  <c r="X537" i="1"/>
  <c r="Y537" i="1"/>
  <c r="O538" i="1"/>
  <c r="P538" i="1"/>
  <c r="Q538" i="1"/>
  <c r="R538" i="1"/>
  <c r="S538" i="1"/>
  <c r="T538" i="1"/>
  <c r="U538" i="1"/>
  <c r="V538" i="1"/>
  <c r="W538" i="1"/>
  <c r="X538" i="1"/>
  <c r="Y538" i="1"/>
  <c r="O539" i="1"/>
  <c r="P539" i="1"/>
  <c r="Q539" i="1"/>
  <c r="R539" i="1"/>
  <c r="S539" i="1"/>
  <c r="T539" i="1"/>
  <c r="U539" i="1"/>
  <c r="V539" i="1"/>
  <c r="W539" i="1"/>
  <c r="X539" i="1"/>
  <c r="Y539" i="1"/>
  <c r="O540" i="1"/>
  <c r="P540" i="1"/>
  <c r="Q540" i="1"/>
  <c r="R540" i="1"/>
  <c r="S540" i="1"/>
  <c r="T540" i="1"/>
  <c r="U540" i="1"/>
  <c r="V540" i="1"/>
  <c r="W540" i="1"/>
  <c r="X540" i="1"/>
  <c r="Y540" i="1"/>
  <c r="O541" i="1"/>
  <c r="P541" i="1"/>
  <c r="Q541" i="1"/>
  <c r="R541" i="1"/>
  <c r="S541" i="1"/>
  <c r="T541" i="1"/>
  <c r="U541" i="1"/>
  <c r="V541" i="1"/>
  <c r="W541" i="1"/>
  <c r="X541" i="1"/>
  <c r="Y541" i="1"/>
  <c r="O542" i="1"/>
  <c r="P542" i="1"/>
  <c r="Q542" i="1"/>
  <c r="R542" i="1"/>
  <c r="S542" i="1"/>
  <c r="T542" i="1"/>
  <c r="U542" i="1"/>
  <c r="V542" i="1"/>
  <c r="W542" i="1"/>
  <c r="X542" i="1"/>
  <c r="Y542" i="1"/>
  <c r="O543" i="1"/>
  <c r="P543" i="1"/>
  <c r="Q543" i="1"/>
  <c r="R543" i="1"/>
  <c r="S543" i="1"/>
  <c r="T543" i="1"/>
  <c r="U543" i="1"/>
  <c r="V543" i="1"/>
  <c r="W543" i="1"/>
  <c r="X543" i="1"/>
  <c r="Y543" i="1"/>
  <c r="O544" i="1"/>
  <c r="P544" i="1"/>
  <c r="Q544" i="1"/>
  <c r="R544" i="1"/>
  <c r="S544" i="1"/>
  <c r="T544" i="1"/>
  <c r="U544" i="1"/>
  <c r="V544" i="1"/>
  <c r="W544" i="1"/>
  <c r="X544" i="1"/>
  <c r="Y544" i="1"/>
  <c r="O545" i="1"/>
  <c r="P545" i="1"/>
  <c r="Q545" i="1"/>
  <c r="R545" i="1"/>
  <c r="S545" i="1"/>
  <c r="T545" i="1"/>
  <c r="U545" i="1"/>
  <c r="V545" i="1"/>
  <c r="W545" i="1"/>
  <c r="X545" i="1"/>
  <c r="Y545" i="1"/>
  <c r="O546" i="1"/>
  <c r="P546" i="1"/>
  <c r="Q546" i="1"/>
  <c r="R546" i="1"/>
  <c r="S546" i="1"/>
  <c r="T546" i="1"/>
  <c r="U546" i="1"/>
  <c r="V546" i="1"/>
  <c r="W546" i="1"/>
  <c r="X546" i="1"/>
  <c r="Y546" i="1"/>
  <c r="O547" i="1"/>
  <c r="P547" i="1"/>
  <c r="Q547" i="1"/>
  <c r="R547" i="1"/>
  <c r="S547" i="1"/>
  <c r="T547" i="1"/>
  <c r="U547" i="1"/>
  <c r="V547" i="1"/>
  <c r="W547" i="1"/>
  <c r="X547" i="1"/>
  <c r="Y547" i="1"/>
  <c r="O548" i="1"/>
  <c r="P548" i="1"/>
  <c r="Q548" i="1"/>
  <c r="R548" i="1"/>
  <c r="S548" i="1"/>
  <c r="T548" i="1"/>
  <c r="U548" i="1"/>
  <c r="V548" i="1"/>
  <c r="W548" i="1"/>
  <c r="X548" i="1"/>
  <c r="Y548" i="1"/>
  <c r="O549" i="1"/>
  <c r="P549" i="1"/>
  <c r="Q549" i="1"/>
  <c r="R549" i="1"/>
  <c r="S549" i="1"/>
  <c r="T549" i="1"/>
  <c r="U549" i="1"/>
  <c r="V549" i="1"/>
  <c r="W549" i="1"/>
  <c r="X549" i="1"/>
  <c r="Y549" i="1"/>
  <c r="O550" i="1"/>
  <c r="P550" i="1"/>
  <c r="Q550" i="1"/>
  <c r="R550" i="1"/>
  <c r="S550" i="1"/>
  <c r="T550" i="1"/>
  <c r="U550" i="1"/>
  <c r="V550" i="1"/>
  <c r="W550" i="1"/>
  <c r="X550" i="1"/>
  <c r="Y550" i="1"/>
  <c r="O551" i="1"/>
  <c r="P551" i="1"/>
  <c r="Q551" i="1"/>
  <c r="R551" i="1"/>
  <c r="S551" i="1"/>
  <c r="T551" i="1"/>
  <c r="U551" i="1"/>
  <c r="V551" i="1"/>
  <c r="W551" i="1"/>
  <c r="X551" i="1"/>
  <c r="Y551" i="1"/>
  <c r="O552" i="1"/>
  <c r="P552" i="1"/>
  <c r="Q552" i="1"/>
  <c r="R552" i="1"/>
  <c r="S552" i="1"/>
  <c r="T552" i="1"/>
  <c r="U552" i="1"/>
  <c r="V552" i="1"/>
  <c r="W552" i="1"/>
  <c r="X552" i="1"/>
  <c r="Y552" i="1"/>
  <c r="O553" i="1"/>
  <c r="P553" i="1"/>
  <c r="Q553" i="1"/>
  <c r="R553" i="1"/>
  <c r="S553" i="1"/>
  <c r="T553" i="1"/>
  <c r="U553" i="1"/>
  <c r="V553" i="1"/>
  <c r="W553" i="1"/>
  <c r="X553" i="1"/>
  <c r="Y553" i="1"/>
  <c r="O554" i="1"/>
  <c r="P554" i="1"/>
  <c r="Q554" i="1"/>
  <c r="R554" i="1"/>
  <c r="S554" i="1"/>
  <c r="T554" i="1"/>
  <c r="U554" i="1"/>
  <c r="V554" i="1"/>
  <c r="W554" i="1"/>
  <c r="X554" i="1"/>
  <c r="Y554" i="1"/>
  <c r="O555" i="1"/>
  <c r="P555" i="1"/>
  <c r="Q555" i="1"/>
  <c r="R555" i="1"/>
  <c r="S555" i="1"/>
  <c r="T555" i="1"/>
  <c r="U555" i="1"/>
  <c r="V555" i="1"/>
  <c r="W555" i="1"/>
  <c r="X555" i="1"/>
  <c r="Y555" i="1"/>
  <c r="O556" i="1"/>
  <c r="P556" i="1"/>
  <c r="Q556" i="1"/>
  <c r="R556" i="1"/>
  <c r="S556" i="1"/>
  <c r="T556" i="1"/>
  <c r="U556" i="1"/>
  <c r="V556" i="1"/>
  <c r="W556" i="1"/>
  <c r="X556" i="1"/>
  <c r="Y556" i="1"/>
  <c r="O557" i="1"/>
  <c r="P557" i="1"/>
  <c r="Q557" i="1"/>
  <c r="R557" i="1"/>
  <c r="S557" i="1"/>
  <c r="T557" i="1"/>
  <c r="U557" i="1"/>
  <c r="V557" i="1"/>
  <c r="W557" i="1"/>
  <c r="X557" i="1"/>
  <c r="Y557" i="1"/>
  <c r="O558" i="1"/>
  <c r="P558" i="1"/>
  <c r="Q558" i="1"/>
  <c r="R558" i="1"/>
  <c r="S558" i="1"/>
  <c r="T558" i="1"/>
  <c r="U558" i="1"/>
  <c r="V558" i="1"/>
  <c r="W558" i="1"/>
  <c r="X558" i="1"/>
  <c r="Y558" i="1"/>
  <c r="O559" i="1"/>
  <c r="P559" i="1"/>
  <c r="Q559" i="1"/>
  <c r="R559" i="1"/>
  <c r="S559" i="1"/>
  <c r="T559" i="1"/>
  <c r="U559" i="1"/>
  <c r="V559" i="1"/>
  <c r="W559" i="1"/>
  <c r="X559" i="1"/>
  <c r="Y559" i="1"/>
  <c r="O560" i="1"/>
  <c r="P560" i="1"/>
  <c r="Q560" i="1"/>
  <c r="R560" i="1"/>
  <c r="S560" i="1"/>
  <c r="T560" i="1"/>
  <c r="U560" i="1"/>
  <c r="V560" i="1"/>
  <c r="W560" i="1"/>
  <c r="X560" i="1"/>
  <c r="Y560" i="1"/>
  <c r="O561" i="1"/>
  <c r="P561" i="1"/>
  <c r="Q561" i="1"/>
  <c r="R561" i="1"/>
  <c r="S561" i="1"/>
  <c r="T561" i="1"/>
  <c r="U561" i="1"/>
  <c r="V561" i="1"/>
  <c r="W561" i="1"/>
  <c r="X561" i="1"/>
  <c r="Y561" i="1"/>
  <c r="O562" i="1"/>
  <c r="P562" i="1"/>
  <c r="Q562" i="1"/>
  <c r="R562" i="1"/>
  <c r="S562" i="1"/>
  <c r="T562" i="1"/>
  <c r="U562" i="1"/>
  <c r="V562" i="1"/>
  <c r="W562" i="1"/>
  <c r="X562" i="1"/>
  <c r="Y562" i="1"/>
  <c r="O563" i="1"/>
  <c r="P563" i="1"/>
  <c r="Q563" i="1"/>
  <c r="R563" i="1"/>
  <c r="S563" i="1"/>
  <c r="T563" i="1"/>
  <c r="U563" i="1"/>
  <c r="V563" i="1"/>
  <c r="W563" i="1"/>
  <c r="X563" i="1"/>
  <c r="Y563" i="1"/>
  <c r="O564" i="1"/>
  <c r="P564" i="1"/>
  <c r="Q564" i="1"/>
  <c r="R564" i="1"/>
  <c r="S564" i="1"/>
  <c r="T564" i="1"/>
  <c r="U564" i="1"/>
  <c r="V564" i="1"/>
  <c r="W564" i="1"/>
  <c r="X564" i="1"/>
  <c r="Y564" i="1"/>
  <c r="O565" i="1"/>
  <c r="P565" i="1"/>
  <c r="Q565" i="1"/>
  <c r="R565" i="1"/>
  <c r="S565" i="1"/>
  <c r="T565" i="1"/>
  <c r="U565" i="1"/>
  <c r="V565" i="1"/>
  <c r="W565" i="1"/>
  <c r="X565" i="1"/>
  <c r="Y565" i="1"/>
  <c r="O566" i="1"/>
  <c r="P566" i="1"/>
  <c r="Q566" i="1"/>
  <c r="R566" i="1"/>
  <c r="S566" i="1"/>
  <c r="T566" i="1"/>
  <c r="U566" i="1"/>
  <c r="V566" i="1"/>
  <c r="W566" i="1"/>
  <c r="X566" i="1"/>
  <c r="Y566" i="1"/>
  <c r="O567" i="1"/>
  <c r="P567" i="1"/>
  <c r="Q567" i="1"/>
  <c r="R567" i="1"/>
  <c r="S567" i="1"/>
  <c r="T567" i="1"/>
  <c r="U567" i="1"/>
  <c r="V567" i="1"/>
  <c r="W567" i="1"/>
  <c r="X567" i="1"/>
  <c r="Y567" i="1"/>
  <c r="O568" i="1"/>
  <c r="P568" i="1"/>
  <c r="Q568" i="1"/>
  <c r="R568" i="1"/>
  <c r="S568" i="1"/>
  <c r="T568" i="1"/>
  <c r="U568" i="1"/>
  <c r="V568" i="1"/>
  <c r="W568" i="1"/>
  <c r="X568" i="1"/>
  <c r="Y568" i="1"/>
  <c r="O569" i="1"/>
  <c r="P569" i="1"/>
  <c r="Q569" i="1"/>
  <c r="R569" i="1"/>
  <c r="S569" i="1"/>
  <c r="T569" i="1"/>
  <c r="U569" i="1"/>
  <c r="V569" i="1"/>
  <c r="W569" i="1"/>
  <c r="X569" i="1"/>
  <c r="Y569" i="1"/>
  <c r="O570" i="1"/>
  <c r="P570" i="1"/>
  <c r="Q570" i="1"/>
  <c r="R570" i="1"/>
  <c r="S570" i="1"/>
  <c r="T570" i="1"/>
  <c r="U570" i="1"/>
  <c r="V570" i="1"/>
  <c r="W570" i="1"/>
  <c r="X570" i="1"/>
  <c r="Y570" i="1"/>
  <c r="O571" i="1"/>
  <c r="P571" i="1"/>
  <c r="Q571" i="1"/>
  <c r="R571" i="1"/>
  <c r="S571" i="1"/>
  <c r="T571" i="1"/>
  <c r="U571" i="1"/>
  <c r="V571" i="1"/>
  <c r="W571" i="1"/>
  <c r="X571" i="1"/>
  <c r="Y571" i="1"/>
  <c r="O572" i="1"/>
  <c r="P572" i="1"/>
  <c r="Q572" i="1"/>
  <c r="R572" i="1"/>
  <c r="S572" i="1"/>
  <c r="T572" i="1"/>
  <c r="U572" i="1"/>
  <c r="V572" i="1"/>
  <c r="W572" i="1"/>
  <c r="X572" i="1"/>
  <c r="Y572" i="1"/>
  <c r="O573" i="1"/>
  <c r="P573" i="1"/>
  <c r="Q573" i="1"/>
  <c r="R573" i="1"/>
  <c r="S573" i="1"/>
  <c r="T573" i="1"/>
  <c r="U573" i="1"/>
  <c r="V573" i="1"/>
  <c r="W573" i="1"/>
  <c r="X573" i="1"/>
  <c r="Y573" i="1"/>
  <c r="O574" i="1"/>
  <c r="P574" i="1"/>
  <c r="Q574" i="1"/>
  <c r="R574" i="1"/>
  <c r="S574" i="1"/>
  <c r="T574" i="1"/>
  <c r="U574" i="1"/>
  <c r="V574" i="1"/>
  <c r="W574" i="1"/>
  <c r="X574" i="1"/>
  <c r="Y574" i="1"/>
  <c r="O575" i="1"/>
  <c r="P575" i="1"/>
  <c r="Q575" i="1"/>
  <c r="R575" i="1"/>
  <c r="S575" i="1"/>
  <c r="T575" i="1"/>
  <c r="U575" i="1"/>
  <c r="V575" i="1"/>
  <c r="W575" i="1"/>
  <c r="X575" i="1"/>
  <c r="Y575" i="1"/>
  <c r="O576" i="1"/>
  <c r="P576" i="1"/>
  <c r="Q576" i="1"/>
  <c r="R576" i="1"/>
  <c r="S576" i="1"/>
  <c r="T576" i="1"/>
  <c r="U576" i="1"/>
  <c r="V576" i="1"/>
  <c r="W576" i="1"/>
  <c r="X576" i="1"/>
  <c r="Y576" i="1"/>
  <c r="O577" i="1"/>
  <c r="P577" i="1"/>
  <c r="Q577" i="1"/>
  <c r="R577" i="1"/>
  <c r="S577" i="1"/>
  <c r="T577" i="1"/>
  <c r="U577" i="1"/>
  <c r="V577" i="1"/>
  <c r="W577" i="1"/>
  <c r="X577" i="1"/>
  <c r="Y577" i="1"/>
  <c r="O578" i="1"/>
  <c r="P578" i="1"/>
  <c r="Q578" i="1"/>
  <c r="R578" i="1"/>
  <c r="S578" i="1"/>
  <c r="T578" i="1"/>
  <c r="U578" i="1"/>
  <c r="V578" i="1"/>
  <c r="W578" i="1"/>
  <c r="X578" i="1"/>
  <c r="Y578" i="1"/>
  <c r="O4" i="1"/>
  <c r="P4" i="1"/>
  <c r="Q4" i="1"/>
  <c r="R4" i="1"/>
  <c r="S4" i="1"/>
  <c r="T4" i="1"/>
  <c r="U4" i="1"/>
  <c r="V4" i="1"/>
  <c r="W4" i="1"/>
  <c r="X4" i="1"/>
  <c r="Y4" i="1"/>
  <c r="O5" i="1"/>
  <c r="P5" i="1"/>
  <c r="Q5" i="1"/>
  <c r="R5" i="1"/>
  <c r="S5" i="1"/>
  <c r="T5" i="1"/>
  <c r="U5" i="1"/>
  <c r="V5" i="1"/>
  <c r="W5" i="1"/>
  <c r="X5" i="1"/>
  <c r="Y5" i="1"/>
  <c r="O6" i="1"/>
  <c r="P6" i="1"/>
  <c r="Q6" i="1"/>
  <c r="R6" i="1"/>
  <c r="S6" i="1"/>
  <c r="T6" i="1"/>
  <c r="U6" i="1"/>
  <c r="V6" i="1"/>
  <c r="W6" i="1"/>
  <c r="X6" i="1"/>
  <c r="Y6" i="1"/>
  <c r="O7" i="1"/>
  <c r="P7" i="1"/>
  <c r="Q7" i="1"/>
  <c r="R7" i="1"/>
  <c r="S7" i="1"/>
  <c r="T7" i="1"/>
  <c r="U7" i="1"/>
  <c r="V7" i="1"/>
  <c r="W7" i="1"/>
  <c r="X7" i="1"/>
  <c r="Y7" i="1"/>
  <c r="O8" i="1"/>
  <c r="P8" i="1"/>
  <c r="Q8" i="1"/>
  <c r="R8" i="1"/>
  <c r="S8" i="1"/>
  <c r="T8" i="1"/>
  <c r="U8" i="1"/>
  <c r="V8" i="1"/>
  <c r="W8" i="1"/>
  <c r="X8" i="1"/>
  <c r="Y8" i="1"/>
  <c r="O9" i="1"/>
  <c r="P9" i="1"/>
  <c r="Q9" i="1"/>
  <c r="R9" i="1"/>
  <c r="S9" i="1"/>
  <c r="T9" i="1"/>
  <c r="U9" i="1"/>
  <c r="V9" i="1"/>
  <c r="W9" i="1"/>
  <c r="X9" i="1"/>
  <c r="Y9" i="1"/>
  <c r="O10" i="1"/>
  <c r="P10" i="1"/>
  <c r="Q10" i="1"/>
  <c r="R10" i="1"/>
  <c r="S10" i="1"/>
  <c r="T10" i="1"/>
  <c r="U10" i="1"/>
  <c r="V10" i="1"/>
  <c r="W10" i="1"/>
  <c r="X10" i="1"/>
  <c r="Y10" i="1"/>
  <c r="O11" i="1"/>
  <c r="P11" i="1"/>
  <c r="Q11" i="1"/>
  <c r="R11" i="1"/>
  <c r="S11" i="1"/>
  <c r="T11" i="1"/>
  <c r="U11" i="1"/>
  <c r="V11" i="1"/>
  <c r="W11" i="1"/>
  <c r="X11" i="1"/>
  <c r="Y11" i="1"/>
  <c r="O12" i="1"/>
  <c r="P12" i="1"/>
  <c r="Q12" i="1"/>
  <c r="R12" i="1"/>
  <c r="S12" i="1"/>
  <c r="T12" i="1"/>
  <c r="U12" i="1"/>
  <c r="V12" i="1"/>
  <c r="W12" i="1"/>
  <c r="X12" i="1"/>
  <c r="Y12" i="1"/>
  <c r="O13" i="1"/>
  <c r="P13" i="1"/>
  <c r="Q13" i="1"/>
  <c r="R13" i="1"/>
  <c r="S13" i="1"/>
  <c r="T13" i="1"/>
  <c r="U13" i="1"/>
  <c r="V13" i="1"/>
  <c r="W13" i="1"/>
  <c r="X13" i="1"/>
  <c r="Y13" i="1"/>
  <c r="O14" i="1"/>
  <c r="P14" i="1"/>
  <c r="Q14" i="1"/>
  <c r="R14" i="1"/>
  <c r="S14" i="1"/>
  <c r="T14" i="1"/>
  <c r="U14" i="1"/>
  <c r="V14" i="1"/>
  <c r="W14" i="1"/>
  <c r="X14" i="1"/>
  <c r="Y14" i="1"/>
  <c r="O15" i="1"/>
  <c r="P15" i="1"/>
  <c r="Q15" i="1"/>
  <c r="R15" i="1"/>
  <c r="S15" i="1"/>
  <c r="T15" i="1"/>
  <c r="U15" i="1"/>
  <c r="V15" i="1"/>
  <c r="W15" i="1"/>
  <c r="X15" i="1"/>
  <c r="Y15" i="1"/>
  <c r="O16" i="1"/>
  <c r="P16" i="1"/>
  <c r="Q16" i="1"/>
  <c r="R16" i="1"/>
  <c r="S16" i="1"/>
  <c r="T16" i="1"/>
  <c r="U16" i="1"/>
  <c r="V16" i="1"/>
  <c r="W16" i="1"/>
  <c r="X16" i="1"/>
  <c r="Y16" i="1"/>
  <c r="O17" i="1"/>
  <c r="P17" i="1"/>
  <c r="Q17" i="1"/>
  <c r="R17" i="1"/>
  <c r="S17" i="1"/>
  <c r="T17" i="1"/>
  <c r="U17" i="1"/>
  <c r="V17" i="1"/>
  <c r="W17" i="1"/>
  <c r="X17" i="1"/>
  <c r="Y17" i="1"/>
  <c r="O18" i="1"/>
  <c r="P18" i="1"/>
  <c r="Q18" i="1"/>
  <c r="R18" i="1"/>
  <c r="S18" i="1"/>
  <c r="T18" i="1"/>
  <c r="U18" i="1"/>
  <c r="V18" i="1"/>
  <c r="W18" i="1"/>
  <c r="X18" i="1"/>
  <c r="Y18" i="1"/>
  <c r="O19" i="1"/>
  <c r="P19" i="1"/>
  <c r="Q19" i="1"/>
  <c r="R19" i="1"/>
  <c r="S19" i="1"/>
  <c r="T19" i="1"/>
  <c r="U19" i="1"/>
  <c r="V19" i="1"/>
  <c r="W19" i="1"/>
  <c r="X19" i="1"/>
  <c r="Y19" i="1"/>
  <c r="O20" i="1"/>
  <c r="P20" i="1"/>
  <c r="Q20" i="1"/>
  <c r="R20" i="1"/>
  <c r="S20" i="1"/>
  <c r="T20" i="1"/>
  <c r="U20" i="1"/>
  <c r="V20" i="1"/>
  <c r="W20" i="1"/>
  <c r="X20" i="1"/>
  <c r="Y20" i="1"/>
  <c r="O21" i="1"/>
  <c r="P21" i="1"/>
  <c r="Q21" i="1"/>
  <c r="R21" i="1"/>
  <c r="S21" i="1"/>
  <c r="T21" i="1"/>
  <c r="U21" i="1"/>
  <c r="V21" i="1"/>
  <c r="W21" i="1"/>
  <c r="X21" i="1"/>
  <c r="Y21" i="1"/>
  <c r="O22" i="1"/>
  <c r="P22" i="1"/>
  <c r="Q22" i="1"/>
  <c r="R22" i="1"/>
  <c r="S22" i="1"/>
  <c r="T22" i="1"/>
  <c r="U22" i="1"/>
  <c r="V22" i="1"/>
  <c r="W22" i="1"/>
  <c r="X22" i="1"/>
  <c r="Y22" i="1"/>
  <c r="O23" i="1"/>
  <c r="P23" i="1"/>
  <c r="Q23" i="1"/>
  <c r="R23" i="1"/>
  <c r="S23" i="1"/>
  <c r="T23" i="1"/>
  <c r="U23" i="1"/>
  <c r="V23" i="1"/>
  <c r="W23" i="1"/>
  <c r="X23" i="1"/>
  <c r="Y23" i="1"/>
  <c r="O24" i="1"/>
  <c r="P24" i="1"/>
  <c r="Q24" i="1"/>
  <c r="R24" i="1"/>
  <c r="S24" i="1"/>
  <c r="T24" i="1"/>
  <c r="U24" i="1"/>
  <c r="V24" i="1"/>
  <c r="W24" i="1"/>
  <c r="X24" i="1"/>
  <c r="Y24" i="1"/>
  <c r="O25" i="1"/>
  <c r="P25" i="1"/>
  <c r="Q25" i="1"/>
  <c r="R25" i="1"/>
  <c r="S25" i="1"/>
  <c r="T25" i="1"/>
  <c r="U25" i="1"/>
  <c r="V25" i="1"/>
  <c r="W25" i="1"/>
  <c r="X25" i="1"/>
  <c r="Y25" i="1"/>
  <c r="O26" i="1"/>
  <c r="P26" i="1"/>
  <c r="Q26" i="1"/>
  <c r="R26" i="1"/>
  <c r="S26" i="1"/>
  <c r="T26" i="1"/>
  <c r="U26" i="1"/>
  <c r="V26" i="1"/>
  <c r="W26" i="1"/>
  <c r="X26" i="1"/>
  <c r="Y26" i="1"/>
  <c r="O27" i="1"/>
  <c r="P27" i="1"/>
  <c r="Q27" i="1"/>
  <c r="R27" i="1"/>
  <c r="S27" i="1"/>
  <c r="T27" i="1"/>
  <c r="U27" i="1"/>
  <c r="V27" i="1"/>
  <c r="W27" i="1"/>
  <c r="X27" i="1"/>
  <c r="Y27" i="1"/>
  <c r="O28" i="1"/>
  <c r="P28" i="1"/>
  <c r="Q28" i="1"/>
  <c r="R28" i="1"/>
  <c r="S28" i="1"/>
  <c r="T28" i="1"/>
  <c r="U28" i="1"/>
  <c r="V28" i="1"/>
  <c r="W28" i="1"/>
  <c r="X28" i="1"/>
  <c r="Y28" i="1"/>
  <c r="O29" i="1"/>
  <c r="P29" i="1"/>
  <c r="Q29" i="1"/>
  <c r="R29" i="1"/>
  <c r="S29" i="1"/>
  <c r="T29" i="1"/>
  <c r="U29" i="1"/>
  <c r="V29" i="1"/>
  <c r="W29" i="1"/>
  <c r="X29" i="1"/>
  <c r="Y29" i="1"/>
  <c r="O30" i="1"/>
  <c r="P30" i="1"/>
  <c r="Q30" i="1"/>
  <c r="R30" i="1"/>
  <c r="S30" i="1"/>
  <c r="T30" i="1"/>
  <c r="U30" i="1"/>
  <c r="V30" i="1"/>
  <c r="W30" i="1"/>
  <c r="X30" i="1"/>
  <c r="Y30" i="1"/>
  <c r="O31" i="1"/>
  <c r="P31" i="1"/>
  <c r="Q31" i="1"/>
  <c r="R31" i="1"/>
  <c r="S31" i="1"/>
  <c r="T31" i="1"/>
  <c r="U31" i="1"/>
  <c r="V31" i="1"/>
  <c r="W31" i="1"/>
  <c r="X31" i="1"/>
  <c r="Y31" i="1"/>
  <c r="O32" i="1"/>
  <c r="P32" i="1"/>
  <c r="Q32" i="1"/>
  <c r="R32" i="1"/>
  <c r="S32" i="1"/>
  <c r="T32" i="1"/>
  <c r="U32" i="1"/>
  <c r="V32" i="1"/>
  <c r="W32" i="1"/>
  <c r="X32" i="1"/>
  <c r="Y32" i="1"/>
  <c r="O33" i="1"/>
  <c r="P33" i="1"/>
  <c r="Q33" i="1"/>
  <c r="R33" i="1"/>
  <c r="S33" i="1"/>
  <c r="T33" i="1"/>
  <c r="U33" i="1"/>
  <c r="V33" i="1"/>
  <c r="W33" i="1"/>
  <c r="X33" i="1"/>
  <c r="Y33" i="1"/>
  <c r="O34" i="1"/>
  <c r="P34" i="1"/>
  <c r="Q34" i="1"/>
  <c r="R34" i="1"/>
  <c r="S34" i="1"/>
  <c r="T34" i="1"/>
  <c r="U34" i="1"/>
  <c r="V34" i="1"/>
  <c r="W34" i="1"/>
  <c r="X34" i="1"/>
  <c r="Y34" i="1"/>
  <c r="O35" i="1"/>
  <c r="P35" i="1"/>
  <c r="Q35" i="1"/>
  <c r="R35" i="1"/>
  <c r="S35" i="1"/>
  <c r="T35" i="1"/>
  <c r="U35" i="1"/>
  <c r="V35" i="1"/>
  <c r="W35" i="1"/>
  <c r="X35" i="1"/>
  <c r="Y35" i="1"/>
  <c r="O36" i="1"/>
  <c r="P36" i="1"/>
  <c r="Q36" i="1"/>
  <c r="R36" i="1"/>
  <c r="S36" i="1"/>
  <c r="T36" i="1"/>
  <c r="U36" i="1"/>
  <c r="V36" i="1"/>
  <c r="W36" i="1"/>
  <c r="X36" i="1"/>
  <c r="Y36" i="1"/>
  <c r="O37" i="1"/>
  <c r="P37" i="1"/>
  <c r="Q37" i="1"/>
  <c r="R37" i="1"/>
  <c r="S37" i="1"/>
  <c r="T37" i="1"/>
  <c r="U37" i="1"/>
  <c r="V37" i="1"/>
  <c r="W37" i="1"/>
  <c r="X37" i="1"/>
  <c r="Y37" i="1"/>
  <c r="O38" i="1"/>
  <c r="P38" i="1"/>
  <c r="Q38" i="1"/>
  <c r="R38" i="1"/>
  <c r="S38" i="1"/>
  <c r="T38" i="1"/>
  <c r="U38" i="1"/>
  <c r="V38" i="1"/>
  <c r="W38" i="1"/>
  <c r="X38" i="1"/>
  <c r="Y38" i="1"/>
  <c r="O39" i="1"/>
  <c r="P39" i="1"/>
  <c r="Q39" i="1"/>
  <c r="R39" i="1"/>
  <c r="S39" i="1"/>
  <c r="T39" i="1"/>
  <c r="U39" i="1"/>
  <c r="V39" i="1"/>
  <c r="W39" i="1"/>
  <c r="X39" i="1"/>
  <c r="Y39" i="1"/>
  <c r="O40" i="1"/>
  <c r="P40" i="1"/>
  <c r="Q40" i="1"/>
  <c r="R40" i="1"/>
  <c r="S40" i="1"/>
  <c r="T40" i="1"/>
  <c r="U40" i="1"/>
  <c r="V40" i="1"/>
  <c r="W40" i="1"/>
  <c r="X40" i="1"/>
  <c r="Y40" i="1"/>
  <c r="O41" i="1"/>
  <c r="P41" i="1"/>
  <c r="Q41" i="1"/>
  <c r="R41" i="1"/>
  <c r="S41" i="1"/>
  <c r="T41" i="1"/>
  <c r="U41" i="1"/>
  <c r="V41" i="1"/>
  <c r="W41" i="1"/>
  <c r="X41" i="1"/>
  <c r="Y41" i="1"/>
  <c r="O42" i="1"/>
  <c r="P42" i="1"/>
  <c r="Q42" i="1"/>
  <c r="R42" i="1"/>
  <c r="S42" i="1"/>
  <c r="T42" i="1"/>
  <c r="U42" i="1"/>
  <c r="V42" i="1"/>
  <c r="W42" i="1"/>
  <c r="X42" i="1"/>
  <c r="Y42" i="1"/>
  <c r="O43" i="1"/>
  <c r="P43" i="1"/>
  <c r="Q43" i="1"/>
  <c r="R43" i="1"/>
  <c r="S43" i="1"/>
  <c r="T43" i="1"/>
  <c r="U43" i="1"/>
  <c r="V43" i="1"/>
  <c r="W43" i="1"/>
  <c r="X43" i="1"/>
  <c r="Y43" i="1"/>
  <c r="P3" i="1"/>
  <c r="Q3" i="1"/>
  <c r="R3" i="1"/>
  <c r="S3" i="1"/>
  <c r="T3" i="1"/>
  <c r="U3" i="1"/>
  <c r="V3" i="1"/>
  <c r="W3" i="1"/>
  <c r="X3" i="1"/>
  <c r="Y3" i="1"/>
  <c r="O3" i="1"/>
  <c r="Z389" i="1" l="1"/>
  <c r="Z208" i="1"/>
  <c r="Z15" i="1"/>
  <c r="Z5" i="1"/>
  <c r="Z570" i="1"/>
  <c r="Z550" i="1"/>
  <c r="Z530" i="1"/>
  <c r="Z520" i="1"/>
  <c r="Z490" i="1"/>
  <c r="Z450" i="1"/>
  <c r="Z360" i="1"/>
  <c r="Z331" i="1"/>
  <c r="Z322" i="1"/>
  <c r="Z312" i="1"/>
  <c r="Z458" i="1"/>
  <c r="Z409" i="1"/>
  <c r="Z560" i="1"/>
  <c r="Z540" i="1"/>
  <c r="Z510" i="1"/>
  <c r="Z500" i="1"/>
  <c r="Z480" i="1"/>
  <c r="Z470" i="1"/>
  <c r="Z460" i="1"/>
  <c r="Z440" i="1"/>
  <c r="Z430" i="1"/>
  <c r="Z420" i="1"/>
  <c r="Z411" i="1"/>
  <c r="Z401" i="1"/>
  <c r="Z391" i="1"/>
  <c r="Z382" i="1"/>
  <c r="Z372" i="1"/>
  <c r="Z362" i="1"/>
  <c r="Z353" i="1"/>
  <c r="Z343" i="1"/>
  <c r="Z323" i="1"/>
  <c r="Z314" i="1"/>
  <c r="Z304" i="1"/>
  <c r="Z294" i="1"/>
  <c r="Z286" i="1"/>
  <c r="Z276" i="1"/>
  <c r="Z257" i="1"/>
  <c r="Z237" i="1"/>
  <c r="Z227" i="1"/>
  <c r="Z218" i="1"/>
  <c r="Z198" i="1"/>
  <c r="Z189" i="1"/>
  <c r="Z179" i="1"/>
  <c r="Z169" i="1"/>
  <c r="Z160" i="1"/>
  <c r="Z150" i="1"/>
  <c r="Z140" i="1"/>
  <c r="Z121" i="1"/>
  <c r="Z111" i="1"/>
  <c r="Z101" i="1"/>
  <c r="Z92" i="1"/>
  <c r="Z82" i="1"/>
  <c r="Z72" i="1"/>
  <c r="Z63" i="1"/>
  <c r="Z333" i="1"/>
  <c r="Z266" i="1"/>
  <c r="Z247" i="1"/>
  <c r="Z488" i="1"/>
  <c r="Z23" i="1"/>
  <c r="Z568" i="1"/>
  <c r="Z567" i="1"/>
  <c r="Z557" i="1"/>
  <c r="Z547" i="1"/>
  <c r="Z537" i="1"/>
  <c r="Z527" i="1"/>
  <c r="Z517" i="1"/>
  <c r="Z507" i="1"/>
  <c r="Z497" i="1"/>
  <c r="Z487" i="1"/>
  <c r="Z477" i="1"/>
  <c r="Z467" i="1"/>
  <c r="Z457" i="1"/>
  <c r="Z447" i="1"/>
  <c r="Z437" i="1"/>
  <c r="Z427" i="1"/>
  <c r="Z418" i="1"/>
  <c r="Z408" i="1"/>
  <c r="Z398" i="1"/>
  <c r="Z388" i="1"/>
  <c r="Z379" i="1"/>
  <c r="Z369" i="1"/>
  <c r="Z359" i="1"/>
  <c r="Z13" i="1"/>
  <c r="Z548" i="1"/>
  <c r="Z518" i="1"/>
  <c r="Z508" i="1"/>
  <c r="Z448" i="1"/>
  <c r="Z399" i="1"/>
  <c r="Z41" i="1"/>
  <c r="Z11" i="1"/>
  <c r="Z546" i="1"/>
  <c r="Z516" i="1"/>
  <c r="Z496" i="1"/>
  <c r="Z486" i="1"/>
  <c r="Z476" i="1"/>
  <c r="Z466" i="1"/>
  <c r="Z456" i="1"/>
  <c r="Z446" i="1"/>
  <c r="Z436" i="1"/>
  <c r="Z426" i="1"/>
  <c r="Z417" i="1"/>
  <c r="Z407" i="1"/>
  <c r="Z397" i="1"/>
  <c r="Z387" i="1"/>
  <c r="Z378" i="1"/>
  <c r="Z368" i="1"/>
  <c r="Z358" i="1"/>
  <c r="Z351" i="1"/>
  <c r="Z22" i="1"/>
  <c r="Z566" i="1"/>
  <c r="Z20" i="1"/>
  <c r="Z495" i="1"/>
  <c r="Z485" i="1"/>
  <c r="Z465" i="1"/>
  <c r="Z455" i="1"/>
  <c r="Z445" i="1"/>
  <c r="Z435" i="1"/>
  <c r="Z425" i="1"/>
  <c r="Z416" i="1"/>
  <c r="Z406" i="1"/>
  <c r="Z396" i="1"/>
  <c r="Z377" i="1"/>
  <c r="Z367" i="1"/>
  <c r="Z357" i="1"/>
  <c r="Z468" i="1"/>
  <c r="Z370" i="1"/>
  <c r="Z576" i="1"/>
  <c r="Z535" i="1"/>
  <c r="Z544" i="1"/>
  <c r="Z464" i="1"/>
  <c r="Z454" i="1"/>
  <c r="Z42" i="1"/>
  <c r="Z33" i="1"/>
  <c r="Z528" i="1"/>
  <c r="Z380" i="1"/>
  <c r="Z32" i="1"/>
  <c r="Z21" i="1"/>
  <c r="Z536" i="1"/>
  <c r="Z30" i="1"/>
  <c r="Z575" i="1"/>
  <c r="Z565" i="1"/>
  <c r="Z525" i="1"/>
  <c r="Z475" i="1"/>
  <c r="Z29" i="1"/>
  <c r="Z574" i="1"/>
  <c r="Z514" i="1"/>
  <c r="Z494" i="1"/>
  <c r="Z395" i="1"/>
  <c r="Z3" i="1"/>
  <c r="Z578" i="1"/>
  <c r="Z538" i="1"/>
  <c r="Z498" i="1"/>
  <c r="Z478" i="1"/>
  <c r="Z438" i="1"/>
  <c r="Z428" i="1"/>
  <c r="Z341" i="1"/>
  <c r="Z12" i="1"/>
  <c r="Z40" i="1"/>
  <c r="Z31" i="1"/>
  <c r="Z526" i="1"/>
  <c r="Z506" i="1"/>
  <c r="Z39" i="1"/>
  <c r="Z10" i="1"/>
  <c r="Z555" i="1"/>
  <c r="Z545" i="1"/>
  <c r="Z515" i="1"/>
  <c r="Z38" i="1"/>
  <c r="Z9" i="1"/>
  <c r="Z554" i="1"/>
  <c r="Z524" i="1"/>
  <c r="Z484" i="1"/>
  <c r="Z474" i="1"/>
  <c r="Z444" i="1"/>
  <c r="Z424" i="1"/>
  <c r="Z25" i="1"/>
  <c r="Z558" i="1"/>
  <c r="Z577" i="1"/>
  <c r="Z556" i="1"/>
  <c r="Z505" i="1"/>
  <c r="Z19" i="1"/>
  <c r="Z564" i="1"/>
  <c r="Z534" i="1"/>
  <c r="Z504" i="1"/>
  <c r="Z434" i="1"/>
  <c r="Z415" i="1"/>
  <c r="Z405" i="1"/>
  <c r="Z53" i="1"/>
  <c r="Z43" i="1"/>
  <c r="Z34" i="1"/>
  <c r="Z24" i="1"/>
  <c r="Z14" i="1"/>
  <c r="Z4" i="1"/>
  <c r="Z569" i="1"/>
  <c r="Z559" i="1"/>
  <c r="Z549" i="1"/>
  <c r="Z539" i="1"/>
  <c r="Z529" i="1"/>
  <c r="Z519" i="1"/>
  <c r="Z509" i="1"/>
  <c r="Z499" i="1"/>
  <c r="Z489" i="1"/>
  <c r="Z479" i="1"/>
  <c r="Z469" i="1"/>
  <c r="Z459" i="1"/>
  <c r="Z449" i="1"/>
  <c r="Z439" i="1"/>
  <c r="Z429" i="1"/>
  <c r="Z419" i="1"/>
  <c r="Z410" i="1"/>
  <c r="Z400" i="1"/>
  <c r="Z390" i="1"/>
  <c r="Z381" i="1"/>
  <c r="Z371" i="1"/>
  <c r="Z361" i="1"/>
  <c r="Z352" i="1"/>
  <c r="Z342" i="1"/>
  <c r="Z332" i="1"/>
  <c r="Z313" i="1"/>
  <c r="Z303" i="1"/>
  <c r="Z302" i="1"/>
  <c r="Z293" i="1"/>
  <c r="Z292" i="1"/>
  <c r="Z285" i="1"/>
  <c r="Z284" i="1"/>
  <c r="Z275" i="1"/>
  <c r="Z274" i="1"/>
  <c r="Z265" i="1"/>
  <c r="Z264" i="1"/>
  <c r="Z256" i="1"/>
  <c r="Z255" i="1"/>
  <c r="Z246" i="1"/>
  <c r="Z245" i="1"/>
  <c r="Z236" i="1"/>
  <c r="Z235" i="1"/>
  <c r="Z226" i="1"/>
  <c r="Z217" i="1"/>
  <c r="Z216" i="1"/>
  <c r="Z207" i="1"/>
  <c r="Z206" i="1"/>
  <c r="Z197" i="1"/>
  <c r="Z196" i="1"/>
  <c r="Z188" i="1"/>
  <c r="Z187" i="1"/>
  <c r="Z178" i="1"/>
  <c r="Z177" i="1"/>
  <c r="Z168" i="1"/>
  <c r="Z167" i="1"/>
  <c r="Z159" i="1"/>
  <c r="Z158" i="1"/>
  <c r="Z149" i="1"/>
  <c r="Z148" i="1"/>
  <c r="Z139" i="1"/>
  <c r="Z138" i="1"/>
  <c r="Z130" i="1"/>
  <c r="Z129" i="1"/>
  <c r="Z120" i="1"/>
  <c r="Z119" i="1"/>
  <c r="Z110" i="1"/>
  <c r="Z109" i="1"/>
  <c r="Z100" i="1"/>
  <c r="Z99" i="1"/>
  <c r="Z91" i="1"/>
  <c r="Z90" i="1"/>
  <c r="Z81" i="1"/>
  <c r="Z80" i="1"/>
  <c r="Z71" i="1"/>
  <c r="Z70" i="1"/>
  <c r="Z62" i="1"/>
  <c r="Z61" i="1"/>
  <c r="Z52" i="1"/>
  <c r="Z51" i="1"/>
  <c r="Z350" i="1"/>
  <c r="Z340" i="1"/>
  <c r="Z330" i="1"/>
  <c r="Z321" i="1"/>
  <c r="Z311" i="1"/>
  <c r="Z301" i="1"/>
  <c r="Z291" i="1"/>
  <c r="Z283" i="1"/>
  <c r="Z273" i="1"/>
  <c r="Z263" i="1"/>
  <c r="Z254" i="1"/>
  <c r="Z244" i="1"/>
  <c r="Z234" i="1"/>
  <c r="Z225" i="1"/>
  <c r="Z215" i="1"/>
  <c r="Z205" i="1"/>
  <c r="Z195" i="1"/>
  <c r="Z186" i="1"/>
  <c r="Z176" i="1"/>
  <c r="Z166" i="1"/>
  <c r="Z157" i="1"/>
  <c r="Z147" i="1"/>
  <c r="Z137" i="1"/>
  <c r="Z128" i="1"/>
  <c r="Z118" i="1"/>
  <c r="Z108" i="1"/>
  <c r="Z89" i="1"/>
  <c r="Z79" i="1"/>
  <c r="Z69" i="1"/>
  <c r="Z60" i="1"/>
  <c r="Z50" i="1"/>
  <c r="Z349" i="1"/>
  <c r="Z339" i="1"/>
  <c r="Z329" i="1"/>
  <c r="Z320" i="1"/>
  <c r="Z310" i="1"/>
  <c r="Z300" i="1"/>
  <c r="Z282" i="1"/>
  <c r="Z272" i="1"/>
  <c r="Z262" i="1"/>
  <c r="Z253" i="1"/>
  <c r="Z243" i="1"/>
  <c r="Z233" i="1"/>
  <c r="Z224" i="1"/>
  <c r="Z214" i="1"/>
  <c r="Z204" i="1"/>
  <c r="Z185" i="1"/>
  <c r="Z175" i="1"/>
  <c r="Z165" i="1"/>
  <c r="Z156" i="1"/>
  <c r="Z146" i="1"/>
  <c r="Z136" i="1"/>
  <c r="Z127" i="1"/>
  <c r="Z117" i="1"/>
  <c r="Z107" i="1"/>
  <c r="Z98" i="1"/>
  <c r="Z88" i="1"/>
  <c r="Z78" i="1"/>
  <c r="Z68" i="1"/>
  <c r="Z59" i="1"/>
  <c r="Z49" i="1"/>
  <c r="Z348" i="1"/>
  <c r="Z338" i="1"/>
  <c r="Z328" i="1"/>
  <c r="Z319" i="1"/>
  <c r="Z309" i="1"/>
  <c r="Z299" i="1"/>
  <c r="Z281" i="1"/>
  <c r="Z271" i="1"/>
  <c r="Z261" i="1"/>
  <c r="Z252" i="1"/>
  <c r="Z242" i="1"/>
  <c r="Z232" i="1"/>
  <c r="Z223" i="1"/>
  <c r="Z213" i="1"/>
  <c r="Z203" i="1"/>
  <c r="Z194" i="1"/>
  <c r="Z184" i="1"/>
  <c r="Z174" i="1"/>
  <c r="Z164" i="1"/>
  <c r="Z155" i="1"/>
  <c r="Z145" i="1"/>
  <c r="Z135" i="1"/>
  <c r="Z126" i="1"/>
  <c r="Z116" i="1"/>
  <c r="Z106" i="1"/>
  <c r="Z97" i="1"/>
  <c r="Z87" i="1"/>
  <c r="Z77" i="1"/>
  <c r="Z67" i="1"/>
  <c r="Z58" i="1"/>
  <c r="Z48" i="1"/>
  <c r="Z347" i="1"/>
  <c r="Z337" i="1"/>
  <c r="Z327" i="1"/>
  <c r="Z308" i="1"/>
  <c r="Z298" i="1"/>
  <c r="Z290" i="1"/>
  <c r="Z280" i="1"/>
  <c r="Z270" i="1"/>
  <c r="Z260" i="1"/>
  <c r="Z251" i="1"/>
  <c r="Z241" i="1"/>
  <c r="Z231" i="1"/>
  <c r="Z222" i="1"/>
  <c r="Z212" i="1"/>
  <c r="Z202" i="1"/>
  <c r="Z193" i="1"/>
  <c r="Z183" i="1"/>
  <c r="Z173" i="1"/>
  <c r="Z163" i="1"/>
  <c r="Z154" i="1"/>
  <c r="Z144" i="1"/>
  <c r="Z134" i="1"/>
  <c r="Z125" i="1"/>
  <c r="Z115" i="1"/>
  <c r="Z105" i="1"/>
  <c r="Z96" i="1"/>
  <c r="Z86" i="1"/>
  <c r="Z76" i="1"/>
  <c r="Z57" i="1"/>
  <c r="Z47" i="1"/>
  <c r="Z386" i="1"/>
  <c r="Z37" i="1"/>
  <c r="Z28" i="1"/>
  <c r="Z18" i="1"/>
  <c r="Z8" i="1"/>
  <c r="Z573" i="1"/>
  <c r="Z563" i="1"/>
  <c r="Z553" i="1"/>
  <c r="Z543" i="1"/>
  <c r="Z533" i="1"/>
  <c r="Z523" i="1"/>
  <c r="Z513" i="1"/>
  <c r="Z503" i="1"/>
  <c r="Z493" i="1"/>
  <c r="Z483" i="1"/>
  <c r="Z473" i="1"/>
  <c r="Z463" i="1"/>
  <c r="Z453" i="1"/>
  <c r="Z443" i="1"/>
  <c r="Z433" i="1"/>
  <c r="Z423" i="1"/>
  <c r="Z414" i="1"/>
  <c r="Z404" i="1"/>
  <c r="Z394" i="1"/>
  <c r="Z385" i="1"/>
  <c r="Z375" i="1"/>
  <c r="Z365" i="1"/>
  <c r="Z355" i="1"/>
  <c r="Z346" i="1"/>
  <c r="Z336" i="1"/>
  <c r="Z326" i="1"/>
  <c r="Z317" i="1"/>
  <c r="Z307" i="1"/>
  <c r="Z297" i="1"/>
  <c r="Z289" i="1"/>
  <c r="Z279" i="1"/>
  <c r="Z269" i="1"/>
  <c r="Z259" i="1"/>
  <c r="Z250" i="1"/>
  <c r="Z240" i="1"/>
  <c r="Z230" i="1"/>
  <c r="Z221" i="1"/>
  <c r="Z211" i="1"/>
  <c r="Z201" i="1"/>
  <c r="Z192" i="1"/>
  <c r="Z182" i="1"/>
  <c r="Z172" i="1"/>
  <c r="Z153" i="1"/>
  <c r="Z143" i="1"/>
  <c r="Z133" i="1"/>
  <c r="Z124" i="1"/>
  <c r="Z114" i="1"/>
  <c r="Z104" i="1"/>
  <c r="Z95" i="1"/>
  <c r="Z85" i="1"/>
  <c r="Z75" i="1"/>
  <c r="Z66" i="1"/>
  <c r="Z56" i="1"/>
  <c r="Z46" i="1"/>
  <c r="Z376" i="1"/>
  <c r="Z318" i="1"/>
  <c r="Z36" i="1"/>
  <c r="Z27" i="1"/>
  <c r="Z17" i="1"/>
  <c r="Z7" i="1"/>
  <c r="Z572" i="1"/>
  <c r="Z562" i="1"/>
  <c r="Z552" i="1"/>
  <c r="Z542" i="1"/>
  <c r="Z532" i="1"/>
  <c r="Z522" i="1"/>
  <c r="Z512" i="1"/>
  <c r="Z502" i="1"/>
  <c r="Z492" i="1"/>
  <c r="Z482" i="1"/>
  <c r="Z472" i="1"/>
  <c r="Z462" i="1"/>
  <c r="Z452" i="1"/>
  <c r="Z442" i="1"/>
  <c r="Z432" i="1"/>
  <c r="Z422" i="1"/>
  <c r="Z413" i="1"/>
  <c r="Z403" i="1"/>
  <c r="Z393" i="1"/>
  <c r="Z384" i="1"/>
  <c r="Z374" i="1"/>
  <c r="Z364" i="1"/>
  <c r="Z345" i="1"/>
  <c r="Z335" i="1"/>
  <c r="Z325" i="1"/>
  <c r="Z316" i="1"/>
  <c r="Z306" i="1"/>
  <c r="Z296" i="1"/>
  <c r="Z288" i="1"/>
  <c r="Z278" i="1"/>
  <c r="Z268" i="1"/>
  <c r="Z249" i="1"/>
  <c r="Z239" i="1"/>
  <c r="Z229" i="1"/>
  <c r="Z220" i="1"/>
  <c r="Z210" i="1"/>
  <c r="Z200" i="1"/>
  <c r="Z191" i="1"/>
  <c r="Z181" i="1"/>
  <c r="Z171" i="1"/>
  <c r="Z162" i="1"/>
  <c r="Z152" i="1"/>
  <c r="Z142" i="1"/>
  <c r="Z132" i="1"/>
  <c r="Z123" i="1"/>
  <c r="Z122" i="1"/>
  <c r="Z113" i="1"/>
  <c r="Z112" i="1"/>
  <c r="Z103" i="1"/>
  <c r="Z102" i="1"/>
  <c r="Z94" i="1"/>
  <c r="Z93" i="1"/>
  <c r="Z84" i="1"/>
  <c r="Z83" i="1"/>
  <c r="Z74" i="1"/>
  <c r="Z73" i="1"/>
  <c r="Z65" i="1"/>
  <c r="Z64" i="1"/>
  <c r="Z55" i="1"/>
  <c r="Z54" i="1"/>
  <c r="Z45" i="1"/>
  <c r="Z44" i="1"/>
  <c r="Z366" i="1"/>
  <c r="Z356" i="1"/>
  <c r="Z35" i="1"/>
  <c r="Z26" i="1"/>
  <c r="Z16" i="1"/>
  <c r="Z6" i="1"/>
  <c r="Z571" i="1"/>
  <c r="Z561" i="1"/>
  <c r="Z551" i="1"/>
  <c r="Z541" i="1"/>
  <c r="Z531" i="1"/>
  <c r="Z521" i="1"/>
  <c r="Z511" i="1"/>
  <c r="Z501" i="1"/>
  <c r="Z491" i="1"/>
  <c r="Z481" i="1"/>
  <c r="Z471" i="1"/>
  <c r="Z461" i="1"/>
  <c r="Z451" i="1"/>
  <c r="Z441" i="1"/>
  <c r="Z431" i="1"/>
  <c r="Z421" i="1"/>
  <c r="Z412" i="1"/>
  <c r="Z402" i="1"/>
  <c r="Z392" i="1"/>
  <c r="Z383" i="1"/>
  <c r="Z373" i="1"/>
  <c r="Z363" i="1"/>
  <c r="Z354" i="1"/>
  <c r="Z344" i="1"/>
  <c r="Z334" i="1"/>
  <c r="Z324" i="1"/>
  <c r="Z315" i="1"/>
  <c r="Z305" i="1"/>
  <c r="Z295" i="1"/>
  <c r="Z287" i="1"/>
  <c r="Z277" i="1"/>
  <c r="Z267" i="1"/>
  <c r="Z258" i="1"/>
  <c r="Z248" i="1"/>
  <c r="Z238" i="1"/>
  <c r="Z228" i="1"/>
  <c r="Z219" i="1"/>
  <c r="Z209" i="1"/>
  <c r="Z199" i="1"/>
  <c r="Z190" i="1"/>
  <c r="Z180" i="1"/>
  <c r="Z170" i="1"/>
  <c r="Z161" i="1"/>
  <c r="Z151" i="1"/>
  <c r="Z141" i="1"/>
  <c r="Z1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7CA925-463C-4470-9F49-A86406D5B7BB}" name="Connection253" type="1" refreshedVersion="8">
    <dbPr connection="DefaultDir=\\Nemsfs\k\output\aeo2026\cb2026\d021826b\p1;Driver={Microsoft Access Text Driver (*.txt, *.csv)};DriverId=27;Extensions=txt,csv,tab,asc;FIL=text;MaxBufferSize=2048;MaxScanRows=25;PageTimeout=5;SafeTransactions=0;Threads=3;UserCommitSync=Yes;" command="SELECT * FROM CDM_DBOUT.txt"/>
  </connection>
</connections>
</file>

<file path=xl/sharedStrings.xml><?xml version="1.0" encoding="utf-8"?>
<sst xmlns="http://schemas.openxmlformats.org/spreadsheetml/2006/main" count="3525" uniqueCount="68">
  <si>
    <t>Average of Amount</t>
  </si>
  <si>
    <t>Label</t>
  </si>
  <si>
    <t>Division</t>
  </si>
  <si>
    <t>Year</t>
  </si>
  <si>
    <t>1 New England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</si>
  <si>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</si>
  <si>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</si>
  <si>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</si>
  <si>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</si>
  <si>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</si>
  <si>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</si>
  <si>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</si>
  <si>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</si>
  <si>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</si>
  <si>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</si>
  <si>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</si>
  <si>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</si>
  <si>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</si>
  <si>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</si>
  <si>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</si>
  <si>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</si>
  <si>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</si>
  <si>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</si>
  <si>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</si>
  <si>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</si>
  <si>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</si>
  <si>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</si>
  <si>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</si>
  <si>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</si>
  <si>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</si>
  <si>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</si>
  <si>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</si>
  <si>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</si>
  <si>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</si>
  <si>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</si>
  <si>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</si>
  <si>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</si>
  <si>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 Middle Atlantic</t>
  </si>
  <si>
    <t>3 East North Central</t>
  </si>
  <si>
    <t>4 West North Central</t>
  </si>
  <si>
    <t>5 South Atlantic</t>
  </si>
  <si>
    <t>6 East South Central</t>
  </si>
  <si>
    <t>7 West South Central</t>
  </si>
  <si>
    <t>8 Mountain</t>
  </si>
  <si>
    <t>9 Pacific</t>
  </si>
  <si>
    <t>CoolingFacNew</t>
  </si>
  <si>
    <t>HeatingFacNew</t>
  </si>
  <si>
    <t>BldgType</t>
  </si>
  <si>
    <t>SurvFloorTotal</t>
  </si>
  <si>
    <t>SurvFloorTotal Total</t>
  </si>
  <si>
    <t>Grand Total</t>
  </si>
  <si>
    <t>1 Assembly</t>
  </si>
  <si>
    <t>2 Education</t>
  </si>
  <si>
    <t>3 Food Sales</t>
  </si>
  <si>
    <t>4 Food Service</t>
  </si>
  <si>
    <t>5 Health Care</t>
  </si>
  <si>
    <t>6 Lodging</t>
  </si>
  <si>
    <t>7 Office -Large</t>
  </si>
  <si>
    <t>8 Office -Small</t>
  </si>
  <si>
    <t>9 Merc/Service</t>
  </si>
  <si>
    <t>10 Warehouse</t>
  </si>
  <si>
    <t>11 Other</t>
  </si>
  <si>
    <t>2019 Total</t>
  </si>
  <si>
    <t>Combined</t>
  </si>
  <si>
    <t>Value (1=2018 stock)</t>
  </si>
  <si>
    <t>Cooling</t>
  </si>
  <si>
    <t>Heating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</si>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</sst>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1" fontId="0" fillId="0" borderId="0" xfId="0" applyNumberFormat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03B1-5599-BF4B-865B-6AF72288525F}">
  <dimension ref="A1:Z578"/>
  <sheetViews>
    <sheetView topLeftCell="G1" workbookViewId="0">
      <selection activeCell="Z3" sqref="Z3:Z578"/>
    </sheetView>
  </sheetViews>
  <sheetFormatPr baseColWidth="10" defaultRowHeight="16" x14ac:dyDescent="0.2"/>
  <cols>
    <col min="1" max="1" width="17.33203125" customWidth="1"/>
    <col min="2" max="2" width="18.33203125" customWidth="1"/>
  </cols>
  <sheetData>
    <row r="1" spans="1:26" x14ac:dyDescent="0.2">
      <c r="A1" s="1" t="s">
        <v>0</v>
      </c>
      <c r="B1" s="1"/>
      <c r="C1" s="1"/>
      <c r="D1" s="3" t="s">
        <v>47</v>
      </c>
    </row>
    <row r="2" spans="1:26" x14ac:dyDescent="0.2">
      <c r="A2" s="1" t="s">
        <v>1</v>
      </c>
      <c r="B2" s="1" t="s">
        <v>2</v>
      </c>
      <c r="C2" s="1" t="s">
        <v>3</v>
      </c>
      <c r="D2" s="4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  <c r="Y2">
        <v>11</v>
      </c>
      <c r="Z2" t="s">
        <v>63</v>
      </c>
    </row>
    <row r="3" spans="1:26" x14ac:dyDescent="0.2">
      <c r="A3" s="5" t="s">
        <v>45</v>
      </c>
      <c r="B3" s="5" t="s">
        <v>4</v>
      </c>
      <c r="C3" s="6" t="s">
        <v>5</v>
      </c>
      <c r="D3" s="7">
        <v>0.79914799999999997</v>
      </c>
      <c r="E3">
        <v>0.74714800000000003</v>
      </c>
      <c r="F3">
        <v>0.875668</v>
      </c>
      <c r="G3">
        <v>0.53235900000000003</v>
      </c>
      <c r="H3">
        <v>0.96375</v>
      </c>
      <c r="I3">
        <v>0.75524400000000003</v>
      </c>
      <c r="J3">
        <v>0.72814699999999999</v>
      </c>
      <c r="K3">
        <v>0.90792300000000004</v>
      </c>
      <c r="L3">
        <v>0.81877900000000003</v>
      </c>
      <c r="M3">
        <v>0.73208099999999998</v>
      </c>
      <c r="N3">
        <v>0.74950300000000003</v>
      </c>
      <c r="O3" s="8">
        <f>VLOOKUP($B3,floorspace!$B$4:$O$12,'shell factors calc'!O$2+1,FALSE)</f>
        <v>493.03372200000001</v>
      </c>
      <c r="P3" s="8">
        <f>VLOOKUP($B3,floorspace!$B$4:$O$12,'shell factors calc'!P$2+1,FALSE)</f>
        <v>613.36340299999995</v>
      </c>
      <c r="Q3" s="8">
        <f>VLOOKUP($B3,floorspace!$B$4:$O$12,'shell factors calc'!Q$2+1,FALSE)</f>
        <v>83.332572999999996</v>
      </c>
      <c r="R3" s="8">
        <f>VLOOKUP($B3,floorspace!$B$4:$O$12,'shell factors calc'!R$2+1,FALSE)</f>
        <v>59.808208</v>
      </c>
      <c r="S3" s="8">
        <f>VLOOKUP($B3,floorspace!$B$4:$O$12,'shell factors calc'!S$2+1,FALSE)</f>
        <v>89.040115</v>
      </c>
      <c r="T3" s="8">
        <f>VLOOKUP($B3,floorspace!$B$4:$O$12,'shell factors calc'!T$2+1,FALSE)</f>
        <v>316.81848100000002</v>
      </c>
      <c r="U3" s="8">
        <f>VLOOKUP($B3,floorspace!$B$4:$O$12,'shell factors calc'!U$2+1,FALSE)</f>
        <v>318.18734699999999</v>
      </c>
      <c r="V3" s="8">
        <f>VLOOKUP($B3,floorspace!$B$4:$O$12,'shell factors calc'!V$2+1,FALSE)</f>
        <v>237.53892500000001</v>
      </c>
      <c r="W3" s="8">
        <f>VLOOKUP($B3,floorspace!$B$4:$O$12,'shell factors calc'!W$2+1,FALSE)</f>
        <v>666.73236099999997</v>
      </c>
      <c r="X3" s="8">
        <f>VLOOKUP($B3,floorspace!$B$4:$O$12,'shell factors calc'!X$2+1,FALSE)</f>
        <v>461.64859000000001</v>
      </c>
      <c r="Y3" s="8">
        <f>VLOOKUP($B3,floorspace!$B$4:$O$12,'shell factors calc'!Y$2+1,FALSE)</f>
        <v>364.49435399999999</v>
      </c>
      <c r="Z3">
        <f>SUMPRODUCT(D3:N3,O3:Y3)/SUM(O3:Y3)</f>
        <v>0.77931826873212739</v>
      </c>
    </row>
    <row r="4" spans="1:26" x14ac:dyDescent="0.2">
      <c r="A4" s="5" t="s">
        <v>45</v>
      </c>
      <c r="B4" s="5" t="s">
        <v>4</v>
      </c>
      <c r="C4" s="6" t="s">
        <v>6</v>
      </c>
      <c r="D4" s="7">
        <v>0.79473000000000005</v>
      </c>
      <c r="E4">
        <v>0.74148999999999998</v>
      </c>
      <c r="F4">
        <v>0.86668999999999996</v>
      </c>
      <c r="G4">
        <v>0.52261999999999997</v>
      </c>
      <c r="H4">
        <v>0.96277999999999997</v>
      </c>
      <c r="I4">
        <v>0.74846999999999997</v>
      </c>
      <c r="J4">
        <v>0.72128000000000003</v>
      </c>
      <c r="K4">
        <v>0.90595999999999999</v>
      </c>
      <c r="L4">
        <v>0.81457000000000002</v>
      </c>
      <c r="M4">
        <v>0.74539999999999995</v>
      </c>
      <c r="N4">
        <v>0.74382999999999999</v>
      </c>
      <c r="O4" s="8">
        <f>VLOOKUP($B4,floorspace!$B$4:$O$12,'shell factors calc'!O$2+1,FALSE)</f>
        <v>493.03372200000001</v>
      </c>
      <c r="P4" s="8">
        <f>VLOOKUP($B4,floorspace!$B$4:$O$12,'shell factors calc'!P$2+1,FALSE)</f>
        <v>613.36340299999995</v>
      </c>
      <c r="Q4" s="8">
        <f>VLOOKUP($B4,floorspace!$B$4:$O$12,'shell factors calc'!Q$2+1,FALSE)</f>
        <v>83.332572999999996</v>
      </c>
      <c r="R4" s="8">
        <f>VLOOKUP($B4,floorspace!$B$4:$O$12,'shell factors calc'!R$2+1,FALSE)</f>
        <v>59.808208</v>
      </c>
      <c r="S4" s="8">
        <f>VLOOKUP($B4,floorspace!$B$4:$O$12,'shell factors calc'!S$2+1,FALSE)</f>
        <v>89.040115</v>
      </c>
      <c r="T4" s="8">
        <f>VLOOKUP($B4,floorspace!$B$4:$O$12,'shell factors calc'!T$2+1,FALSE)</f>
        <v>316.81848100000002</v>
      </c>
      <c r="U4" s="8">
        <f>VLOOKUP($B4,floorspace!$B$4:$O$12,'shell factors calc'!U$2+1,FALSE)</f>
        <v>318.18734699999999</v>
      </c>
      <c r="V4" s="8">
        <f>VLOOKUP($B4,floorspace!$B$4:$O$12,'shell factors calc'!V$2+1,FALSE)</f>
        <v>237.53892500000001</v>
      </c>
      <c r="W4" s="8">
        <f>VLOOKUP($B4,floorspace!$B$4:$O$12,'shell factors calc'!W$2+1,FALSE)</f>
        <v>666.73236099999997</v>
      </c>
      <c r="X4" s="8">
        <f>VLOOKUP($B4,floorspace!$B$4:$O$12,'shell factors calc'!X$2+1,FALSE)</f>
        <v>461.64859000000001</v>
      </c>
      <c r="Y4" s="8">
        <f>VLOOKUP($B4,floorspace!$B$4:$O$12,'shell factors calc'!Y$2+1,FALSE)</f>
        <v>364.49435399999999</v>
      </c>
      <c r="Z4">
        <f t="shared" ref="Z4:Z66" si="0">SUMPRODUCT(D4:N4,O4:Y4)/SUM(O4:Y4)</f>
        <v>0.77645962814938596</v>
      </c>
    </row>
    <row r="5" spans="1:26" x14ac:dyDescent="0.2">
      <c r="A5" s="5" t="s">
        <v>45</v>
      </c>
      <c r="B5" s="5" t="s">
        <v>4</v>
      </c>
      <c r="C5" s="6" t="s">
        <v>7</v>
      </c>
      <c r="D5" s="7">
        <v>0.79019600000000001</v>
      </c>
      <c r="E5">
        <v>0.73562000000000005</v>
      </c>
      <c r="F5">
        <v>0.85910299999999995</v>
      </c>
      <c r="G5">
        <v>0.511876</v>
      </c>
      <c r="H5">
        <v>0.961808</v>
      </c>
      <c r="I5">
        <v>0.74139299999999997</v>
      </c>
      <c r="J5">
        <v>0.71408700000000003</v>
      </c>
      <c r="K5">
        <v>0.90398199999999995</v>
      </c>
      <c r="L5">
        <v>0.81026399999999998</v>
      </c>
      <c r="M5">
        <v>0.75761599999999996</v>
      </c>
      <c r="N5">
        <v>0.73794499999999996</v>
      </c>
      <c r="O5" s="8">
        <f>VLOOKUP($B5,floorspace!$B$4:$O$12,'shell factors calc'!O$2+1,FALSE)</f>
        <v>493.03372200000001</v>
      </c>
      <c r="P5" s="8">
        <f>VLOOKUP($B5,floorspace!$B$4:$O$12,'shell factors calc'!P$2+1,FALSE)</f>
        <v>613.36340299999995</v>
      </c>
      <c r="Q5" s="8">
        <f>VLOOKUP($B5,floorspace!$B$4:$O$12,'shell factors calc'!Q$2+1,FALSE)</f>
        <v>83.332572999999996</v>
      </c>
      <c r="R5" s="8">
        <f>VLOOKUP($B5,floorspace!$B$4:$O$12,'shell factors calc'!R$2+1,FALSE)</f>
        <v>59.808208</v>
      </c>
      <c r="S5" s="8">
        <f>VLOOKUP($B5,floorspace!$B$4:$O$12,'shell factors calc'!S$2+1,FALSE)</f>
        <v>89.040115</v>
      </c>
      <c r="T5" s="8">
        <f>VLOOKUP($B5,floorspace!$B$4:$O$12,'shell factors calc'!T$2+1,FALSE)</f>
        <v>316.81848100000002</v>
      </c>
      <c r="U5" s="8">
        <f>VLOOKUP($B5,floorspace!$B$4:$O$12,'shell factors calc'!U$2+1,FALSE)</f>
        <v>318.18734699999999</v>
      </c>
      <c r="V5" s="8">
        <f>VLOOKUP($B5,floorspace!$B$4:$O$12,'shell factors calc'!V$2+1,FALSE)</f>
        <v>237.53892500000001</v>
      </c>
      <c r="W5" s="8">
        <f>VLOOKUP($B5,floorspace!$B$4:$O$12,'shell factors calc'!W$2+1,FALSE)</f>
        <v>666.73236099999997</v>
      </c>
      <c r="X5" s="8">
        <f>VLOOKUP($B5,floorspace!$B$4:$O$12,'shell factors calc'!X$2+1,FALSE)</f>
        <v>461.64859000000001</v>
      </c>
      <c r="Y5" s="8">
        <f>VLOOKUP($B5,floorspace!$B$4:$O$12,'shell factors calc'!Y$2+1,FALSE)</f>
        <v>364.49435399999999</v>
      </c>
      <c r="Z5">
        <f t="shared" si="0"/>
        <v>0.77333478141643652</v>
      </c>
    </row>
    <row r="6" spans="1:26" x14ac:dyDescent="0.2">
      <c r="A6" s="5" t="s">
        <v>45</v>
      </c>
      <c r="B6" s="5" t="s">
        <v>4</v>
      </c>
      <c r="C6" s="6" t="s">
        <v>8</v>
      </c>
      <c r="D6" s="7">
        <v>0.78568899999999997</v>
      </c>
      <c r="E6">
        <v>0.72979700000000003</v>
      </c>
      <c r="F6">
        <v>0.85158199999999995</v>
      </c>
      <c r="G6">
        <v>0.50135200000000002</v>
      </c>
      <c r="H6">
        <v>0.96083600000000002</v>
      </c>
      <c r="I6">
        <v>0.73438400000000004</v>
      </c>
      <c r="J6">
        <v>0.70696499999999995</v>
      </c>
      <c r="K6">
        <v>0.90200800000000003</v>
      </c>
      <c r="L6">
        <v>0.80598099999999995</v>
      </c>
      <c r="M6">
        <v>0.77003299999999997</v>
      </c>
      <c r="N6">
        <v>0.73210600000000003</v>
      </c>
      <c r="O6" s="8">
        <f>VLOOKUP($B6,floorspace!$B$4:$O$12,'shell factors calc'!O$2+1,FALSE)</f>
        <v>493.03372200000001</v>
      </c>
      <c r="P6" s="8">
        <f>VLOOKUP($B6,floorspace!$B$4:$O$12,'shell factors calc'!P$2+1,FALSE)</f>
        <v>613.36340299999995</v>
      </c>
      <c r="Q6" s="8">
        <f>VLOOKUP($B6,floorspace!$B$4:$O$12,'shell factors calc'!Q$2+1,FALSE)</f>
        <v>83.332572999999996</v>
      </c>
      <c r="R6" s="8">
        <f>VLOOKUP($B6,floorspace!$B$4:$O$12,'shell factors calc'!R$2+1,FALSE)</f>
        <v>59.808208</v>
      </c>
      <c r="S6" s="8">
        <f>VLOOKUP($B6,floorspace!$B$4:$O$12,'shell factors calc'!S$2+1,FALSE)</f>
        <v>89.040115</v>
      </c>
      <c r="T6" s="8">
        <f>VLOOKUP($B6,floorspace!$B$4:$O$12,'shell factors calc'!T$2+1,FALSE)</f>
        <v>316.81848100000002</v>
      </c>
      <c r="U6" s="8">
        <f>VLOOKUP($B6,floorspace!$B$4:$O$12,'shell factors calc'!U$2+1,FALSE)</f>
        <v>318.18734699999999</v>
      </c>
      <c r="V6" s="8">
        <f>VLOOKUP($B6,floorspace!$B$4:$O$12,'shell factors calc'!V$2+1,FALSE)</f>
        <v>237.53892500000001</v>
      </c>
      <c r="W6" s="8">
        <f>VLOOKUP($B6,floorspace!$B$4:$O$12,'shell factors calc'!W$2+1,FALSE)</f>
        <v>666.73236099999997</v>
      </c>
      <c r="X6" s="8">
        <f>VLOOKUP($B6,floorspace!$B$4:$O$12,'shell factors calc'!X$2+1,FALSE)</f>
        <v>461.64859000000001</v>
      </c>
      <c r="Y6" s="8">
        <f>VLOOKUP($B6,floorspace!$B$4:$O$12,'shell factors calc'!Y$2+1,FALSE)</f>
        <v>364.49435399999999</v>
      </c>
      <c r="Z6">
        <f t="shared" si="0"/>
        <v>0.77027223920047438</v>
      </c>
    </row>
    <row r="7" spans="1:26" x14ac:dyDescent="0.2">
      <c r="A7" s="5" t="s">
        <v>45</v>
      </c>
      <c r="B7" s="5" t="s">
        <v>4</v>
      </c>
      <c r="C7" s="6" t="s">
        <v>9</v>
      </c>
      <c r="D7" s="7">
        <v>0.78120599999999996</v>
      </c>
      <c r="E7">
        <v>0.72402</v>
      </c>
      <c r="F7">
        <v>0.84412799999999999</v>
      </c>
      <c r="G7">
        <v>0.49104500000000001</v>
      </c>
      <c r="H7">
        <v>0.959866</v>
      </c>
      <c r="I7">
        <v>0.72743999999999998</v>
      </c>
      <c r="J7">
        <v>0.69991400000000004</v>
      </c>
      <c r="K7">
        <v>0.900038</v>
      </c>
      <c r="L7">
        <v>0.80171999999999999</v>
      </c>
      <c r="M7">
        <v>0.78265300000000004</v>
      </c>
      <c r="N7">
        <v>0.72631400000000002</v>
      </c>
      <c r="O7" s="8">
        <f>VLOOKUP($B7,floorspace!$B$4:$O$12,'shell factors calc'!O$2+1,FALSE)</f>
        <v>493.03372200000001</v>
      </c>
      <c r="P7" s="8">
        <f>VLOOKUP($B7,floorspace!$B$4:$O$12,'shell factors calc'!P$2+1,FALSE)</f>
        <v>613.36340299999995</v>
      </c>
      <c r="Q7" s="8">
        <f>VLOOKUP($B7,floorspace!$B$4:$O$12,'shell factors calc'!Q$2+1,FALSE)</f>
        <v>83.332572999999996</v>
      </c>
      <c r="R7" s="8">
        <f>VLOOKUP($B7,floorspace!$B$4:$O$12,'shell factors calc'!R$2+1,FALSE)</f>
        <v>59.808208</v>
      </c>
      <c r="S7" s="8">
        <f>VLOOKUP($B7,floorspace!$B$4:$O$12,'shell factors calc'!S$2+1,FALSE)</f>
        <v>89.040115</v>
      </c>
      <c r="T7" s="8">
        <f>VLOOKUP($B7,floorspace!$B$4:$O$12,'shell factors calc'!T$2+1,FALSE)</f>
        <v>316.81848100000002</v>
      </c>
      <c r="U7" s="8">
        <f>VLOOKUP($B7,floorspace!$B$4:$O$12,'shell factors calc'!U$2+1,FALSE)</f>
        <v>318.18734699999999</v>
      </c>
      <c r="V7" s="8">
        <f>VLOOKUP($B7,floorspace!$B$4:$O$12,'shell factors calc'!V$2+1,FALSE)</f>
        <v>237.53892500000001</v>
      </c>
      <c r="W7" s="8">
        <f>VLOOKUP($B7,floorspace!$B$4:$O$12,'shell factors calc'!W$2+1,FALSE)</f>
        <v>666.73236099999997</v>
      </c>
      <c r="X7" s="8">
        <f>VLOOKUP($B7,floorspace!$B$4:$O$12,'shell factors calc'!X$2+1,FALSE)</f>
        <v>461.64859000000001</v>
      </c>
      <c r="Y7" s="8">
        <f>VLOOKUP($B7,floorspace!$B$4:$O$12,'shell factors calc'!Y$2+1,FALSE)</f>
        <v>364.49435399999999</v>
      </c>
      <c r="Z7">
        <f t="shared" si="0"/>
        <v>0.76727136978609112</v>
      </c>
    </row>
    <row r="8" spans="1:26" x14ac:dyDescent="0.2">
      <c r="A8" s="5" t="s">
        <v>45</v>
      </c>
      <c r="B8" s="5" t="s">
        <v>4</v>
      </c>
      <c r="C8" s="6" t="s">
        <v>10</v>
      </c>
      <c r="D8" s="7">
        <v>0.77675000000000005</v>
      </c>
      <c r="E8">
        <v>0.71828800000000004</v>
      </c>
      <c r="F8">
        <v>0.83673799999999998</v>
      </c>
      <c r="G8">
        <v>0.48094999999999999</v>
      </c>
      <c r="H8">
        <v>0.95889599999999997</v>
      </c>
      <c r="I8">
        <v>0.72056200000000004</v>
      </c>
      <c r="J8">
        <v>0.69293400000000005</v>
      </c>
      <c r="K8">
        <v>0.89807300000000001</v>
      </c>
      <c r="L8">
        <v>0.79748200000000002</v>
      </c>
      <c r="M8">
        <v>0.79547999999999996</v>
      </c>
      <c r="N8">
        <v>0.72056699999999996</v>
      </c>
      <c r="O8" s="8">
        <f>VLOOKUP($B8,floorspace!$B$4:$O$12,'shell factors calc'!O$2+1,FALSE)</f>
        <v>493.03372200000001</v>
      </c>
      <c r="P8" s="8">
        <f>VLOOKUP($B8,floorspace!$B$4:$O$12,'shell factors calc'!P$2+1,FALSE)</f>
        <v>613.36340299999995</v>
      </c>
      <c r="Q8" s="8">
        <f>VLOOKUP($B8,floorspace!$B$4:$O$12,'shell factors calc'!Q$2+1,FALSE)</f>
        <v>83.332572999999996</v>
      </c>
      <c r="R8" s="8">
        <f>VLOOKUP($B8,floorspace!$B$4:$O$12,'shell factors calc'!R$2+1,FALSE)</f>
        <v>59.808208</v>
      </c>
      <c r="S8" s="8">
        <f>VLOOKUP($B8,floorspace!$B$4:$O$12,'shell factors calc'!S$2+1,FALSE)</f>
        <v>89.040115</v>
      </c>
      <c r="T8" s="8">
        <f>VLOOKUP($B8,floorspace!$B$4:$O$12,'shell factors calc'!T$2+1,FALSE)</f>
        <v>316.81848100000002</v>
      </c>
      <c r="U8" s="8">
        <f>VLOOKUP($B8,floorspace!$B$4:$O$12,'shell factors calc'!U$2+1,FALSE)</f>
        <v>318.18734699999999</v>
      </c>
      <c r="V8" s="8">
        <f>VLOOKUP($B8,floorspace!$B$4:$O$12,'shell factors calc'!V$2+1,FALSE)</f>
        <v>237.53892500000001</v>
      </c>
      <c r="W8" s="8">
        <f>VLOOKUP($B8,floorspace!$B$4:$O$12,'shell factors calc'!W$2+1,FALSE)</f>
        <v>666.73236099999997</v>
      </c>
      <c r="X8" s="8">
        <f>VLOOKUP($B8,floorspace!$B$4:$O$12,'shell factors calc'!X$2+1,FALSE)</f>
        <v>461.64859000000001</v>
      </c>
      <c r="Y8" s="8">
        <f>VLOOKUP($B8,floorspace!$B$4:$O$12,'shell factors calc'!Y$2+1,FALSE)</f>
        <v>364.49435399999999</v>
      </c>
      <c r="Z8">
        <f t="shared" si="0"/>
        <v>0.7643328419949601</v>
      </c>
    </row>
    <row r="9" spans="1:26" x14ac:dyDescent="0.2">
      <c r="A9" s="5" t="s">
        <v>45</v>
      </c>
      <c r="B9" s="5" t="s">
        <v>4</v>
      </c>
      <c r="C9" s="6" t="s">
        <v>11</v>
      </c>
      <c r="D9" s="7">
        <v>0.77231899999999998</v>
      </c>
      <c r="E9">
        <v>0.71260199999999996</v>
      </c>
      <c r="F9">
        <v>0.82941299999999996</v>
      </c>
      <c r="G9">
        <v>0.47106199999999998</v>
      </c>
      <c r="H9">
        <v>0.957928</v>
      </c>
      <c r="I9">
        <v>0.71375</v>
      </c>
      <c r="J9">
        <v>0.68602300000000005</v>
      </c>
      <c r="K9">
        <v>0.89611099999999999</v>
      </c>
      <c r="L9">
        <v>0.79326600000000003</v>
      </c>
      <c r="M9">
        <v>0.80851799999999996</v>
      </c>
      <c r="N9">
        <v>0.714866</v>
      </c>
      <c r="O9" s="8">
        <f>VLOOKUP($B9,floorspace!$B$4:$O$12,'shell factors calc'!O$2+1,FALSE)</f>
        <v>493.03372200000001</v>
      </c>
      <c r="P9" s="8">
        <f>VLOOKUP($B9,floorspace!$B$4:$O$12,'shell factors calc'!P$2+1,FALSE)</f>
        <v>613.36340299999995</v>
      </c>
      <c r="Q9" s="8">
        <f>VLOOKUP($B9,floorspace!$B$4:$O$12,'shell factors calc'!Q$2+1,FALSE)</f>
        <v>83.332572999999996</v>
      </c>
      <c r="R9" s="8">
        <f>VLOOKUP($B9,floorspace!$B$4:$O$12,'shell factors calc'!R$2+1,FALSE)</f>
        <v>59.808208</v>
      </c>
      <c r="S9" s="8">
        <f>VLOOKUP($B9,floorspace!$B$4:$O$12,'shell factors calc'!S$2+1,FALSE)</f>
        <v>89.040115</v>
      </c>
      <c r="T9" s="8">
        <f>VLOOKUP($B9,floorspace!$B$4:$O$12,'shell factors calc'!T$2+1,FALSE)</f>
        <v>316.81848100000002</v>
      </c>
      <c r="U9" s="8">
        <f>VLOOKUP($B9,floorspace!$B$4:$O$12,'shell factors calc'!U$2+1,FALSE)</f>
        <v>318.18734699999999</v>
      </c>
      <c r="V9" s="8">
        <f>VLOOKUP($B9,floorspace!$B$4:$O$12,'shell factors calc'!V$2+1,FALSE)</f>
        <v>237.53892500000001</v>
      </c>
      <c r="W9" s="8">
        <f>VLOOKUP($B9,floorspace!$B$4:$O$12,'shell factors calc'!W$2+1,FALSE)</f>
        <v>666.73236099999997</v>
      </c>
      <c r="X9" s="8">
        <f>VLOOKUP($B9,floorspace!$B$4:$O$12,'shell factors calc'!X$2+1,FALSE)</f>
        <v>461.64859000000001</v>
      </c>
      <c r="Y9" s="8">
        <f>VLOOKUP($B9,floorspace!$B$4:$O$12,'shell factors calc'!Y$2+1,FALSE)</f>
        <v>364.49435399999999</v>
      </c>
      <c r="Z9">
        <f t="shared" si="0"/>
        <v>0.76145666192091066</v>
      </c>
    </row>
    <row r="10" spans="1:26" x14ac:dyDescent="0.2">
      <c r="A10" s="5" t="s">
        <v>45</v>
      </c>
      <c r="B10" s="5" t="s">
        <v>4</v>
      </c>
      <c r="C10" s="6" t="s">
        <v>12</v>
      </c>
      <c r="D10" s="7">
        <v>0.76791299999999996</v>
      </c>
      <c r="E10">
        <v>0.70696099999999995</v>
      </c>
      <c r="F10">
        <v>0.82215300000000002</v>
      </c>
      <c r="G10">
        <v>0.46137699999999998</v>
      </c>
      <c r="H10">
        <v>0.95696000000000003</v>
      </c>
      <c r="I10">
        <v>0.70700099999999999</v>
      </c>
      <c r="J10">
        <v>0.67918100000000003</v>
      </c>
      <c r="K10">
        <v>0.89415500000000003</v>
      </c>
      <c r="L10">
        <v>0.78907300000000002</v>
      </c>
      <c r="M10">
        <v>0.82176800000000005</v>
      </c>
      <c r="N10">
        <v>0.70921000000000001</v>
      </c>
      <c r="O10" s="8">
        <f>VLOOKUP($B10,floorspace!$B$4:$O$12,'shell factors calc'!O$2+1,FALSE)</f>
        <v>493.03372200000001</v>
      </c>
      <c r="P10" s="8">
        <f>VLOOKUP($B10,floorspace!$B$4:$O$12,'shell factors calc'!P$2+1,FALSE)</f>
        <v>613.36340299999995</v>
      </c>
      <c r="Q10" s="8">
        <f>VLOOKUP($B10,floorspace!$B$4:$O$12,'shell factors calc'!Q$2+1,FALSE)</f>
        <v>83.332572999999996</v>
      </c>
      <c r="R10" s="8">
        <f>VLOOKUP($B10,floorspace!$B$4:$O$12,'shell factors calc'!R$2+1,FALSE)</f>
        <v>59.808208</v>
      </c>
      <c r="S10" s="8">
        <f>VLOOKUP($B10,floorspace!$B$4:$O$12,'shell factors calc'!S$2+1,FALSE)</f>
        <v>89.040115</v>
      </c>
      <c r="T10" s="8">
        <f>VLOOKUP($B10,floorspace!$B$4:$O$12,'shell factors calc'!T$2+1,FALSE)</f>
        <v>316.81848100000002</v>
      </c>
      <c r="U10" s="8">
        <f>VLOOKUP($B10,floorspace!$B$4:$O$12,'shell factors calc'!U$2+1,FALSE)</f>
        <v>318.18734699999999</v>
      </c>
      <c r="V10" s="8">
        <f>VLOOKUP($B10,floorspace!$B$4:$O$12,'shell factors calc'!V$2+1,FALSE)</f>
        <v>237.53892500000001</v>
      </c>
      <c r="W10" s="8">
        <f>VLOOKUP($B10,floorspace!$B$4:$O$12,'shell factors calc'!W$2+1,FALSE)</f>
        <v>666.73236099999997</v>
      </c>
      <c r="X10" s="8">
        <f>VLOOKUP($B10,floorspace!$B$4:$O$12,'shell factors calc'!X$2+1,FALSE)</f>
        <v>461.64859000000001</v>
      </c>
      <c r="Y10" s="8">
        <f>VLOOKUP($B10,floorspace!$B$4:$O$12,'shell factors calc'!Y$2+1,FALSE)</f>
        <v>364.49435399999999</v>
      </c>
      <c r="Z10">
        <f t="shared" si="0"/>
        <v>0.75864269332506584</v>
      </c>
    </row>
    <row r="11" spans="1:26" x14ac:dyDescent="0.2">
      <c r="A11" s="5" t="s">
        <v>45</v>
      </c>
      <c r="B11" s="5" t="s">
        <v>4</v>
      </c>
      <c r="C11" s="6" t="s">
        <v>13</v>
      </c>
      <c r="D11" s="7">
        <v>0.76353199999999999</v>
      </c>
      <c r="E11">
        <v>0.70136500000000002</v>
      </c>
      <c r="F11">
        <v>0.81495499999999998</v>
      </c>
      <c r="G11">
        <v>0.45189200000000002</v>
      </c>
      <c r="H11">
        <v>0.95599400000000001</v>
      </c>
      <c r="I11">
        <v>0.70031699999999997</v>
      </c>
      <c r="J11">
        <v>0.67240800000000001</v>
      </c>
      <c r="K11">
        <v>0.89220200000000005</v>
      </c>
      <c r="L11">
        <v>0.78490199999999999</v>
      </c>
      <c r="M11">
        <v>0.83523599999999998</v>
      </c>
      <c r="N11">
        <v>0.70359899999999997</v>
      </c>
      <c r="O11" s="8">
        <f>VLOOKUP($B11,floorspace!$B$4:$O$12,'shell factors calc'!O$2+1,FALSE)</f>
        <v>493.03372200000001</v>
      </c>
      <c r="P11" s="8">
        <f>VLOOKUP($B11,floorspace!$B$4:$O$12,'shell factors calc'!P$2+1,FALSE)</f>
        <v>613.36340299999995</v>
      </c>
      <c r="Q11" s="8">
        <f>VLOOKUP($B11,floorspace!$B$4:$O$12,'shell factors calc'!Q$2+1,FALSE)</f>
        <v>83.332572999999996</v>
      </c>
      <c r="R11" s="8">
        <f>VLOOKUP($B11,floorspace!$B$4:$O$12,'shell factors calc'!R$2+1,FALSE)</f>
        <v>59.808208</v>
      </c>
      <c r="S11" s="8">
        <f>VLOOKUP($B11,floorspace!$B$4:$O$12,'shell factors calc'!S$2+1,FALSE)</f>
        <v>89.040115</v>
      </c>
      <c r="T11" s="8">
        <f>VLOOKUP($B11,floorspace!$B$4:$O$12,'shell factors calc'!T$2+1,FALSE)</f>
        <v>316.81848100000002</v>
      </c>
      <c r="U11" s="8">
        <f>VLOOKUP($B11,floorspace!$B$4:$O$12,'shell factors calc'!U$2+1,FALSE)</f>
        <v>318.18734699999999</v>
      </c>
      <c r="V11" s="8">
        <f>VLOOKUP($B11,floorspace!$B$4:$O$12,'shell factors calc'!V$2+1,FALSE)</f>
        <v>237.53892500000001</v>
      </c>
      <c r="W11" s="8">
        <f>VLOOKUP($B11,floorspace!$B$4:$O$12,'shell factors calc'!W$2+1,FALSE)</f>
        <v>666.73236099999997</v>
      </c>
      <c r="X11" s="8">
        <f>VLOOKUP($B11,floorspace!$B$4:$O$12,'shell factors calc'!X$2+1,FALSE)</f>
        <v>461.64859000000001</v>
      </c>
      <c r="Y11" s="8">
        <f>VLOOKUP($B11,floorspace!$B$4:$O$12,'shell factors calc'!Y$2+1,FALSE)</f>
        <v>364.49435399999999</v>
      </c>
      <c r="Z11">
        <f t="shared" si="0"/>
        <v>0.75589141483544253</v>
      </c>
    </row>
    <row r="12" spans="1:26" x14ac:dyDescent="0.2">
      <c r="A12" s="5" t="s">
        <v>45</v>
      </c>
      <c r="B12" s="5" t="s">
        <v>4</v>
      </c>
      <c r="C12" s="6" t="s">
        <v>14</v>
      </c>
      <c r="D12" s="7">
        <v>0.75917699999999999</v>
      </c>
      <c r="E12">
        <v>0.69581300000000001</v>
      </c>
      <c r="F12">
        <v>0.80782100000000001</v>
      </c>
      <c r="G12">
        <v>0.442602</v>
      </c>
      <c r="H12">
        <v>0.95502799999999999</v>
      </c>
      <c r="I12">
        <v>0.69369499999999995</v>
      </c>
      <c r="J12">
        <v>0.66570200000000002</v>
      </c>
      <c r="K12">
        <v>0.89025399999999999</v>
      </c>
      <c r="L12">
        <v>0.78075300000000003</v>
      </c>
      <c r="M12">
        <v>0.84892500000000004</v>
      </c>
      <c r="N12">
        <v>0.69803199999999999</v>
      </c>
      <c r="O12" s="8">
        <f>VLOOKUP($B12,floorspace!$B$4:$O$12,'shell factors calc'!O$2+1,FALSE)</f>
        <v>493.03372200000001</v>
      </c>
      <c r="P12" s="8">
        <f>VLOOKUP($B12,floorspace!$B$4:$O$12,'shell factors calc'!P$2+1,FALSE)</f>
        <v>613.36340299999995</v>
      </c>
      <c r="Q12" s="8">
        <f>VLOOKUP($B12,floorspace!$B$4:$O$12,'shell factors calc'!Q$2+1,FALSE)</f>
        <v>83.332572999999996</v>
      </c>
      <c r="R12" s="8">
        <f>VLOOKUP($B12,floorspace!$B$4:$O$12,'shell factors calc'!R$2+1,FALSE)</f>
        <v>59.808208</v>
      </c>
      <c r="S12" s="8">
        <f>VLOOKUP($B12,floorspace!$B$4:$O$12,'shell factors calc'!S$2+1,FALSE)</f>
        <v>89.040115</v>
      </c>
      <c r="T12" s="8">
        <f>VLOOKUP($B12,floorspace!$B$4:$O$12,'shell factors calc'!T$2+1,FALSE)</f>
        <v>316.81848100000002</v>
      </c>
      <c r="U12" s="8">
        <f>VLOOKUP($B12,floorspace!$B$4:$O$12,'shell factors calc'!U$2+1,FALSE)</f>
        <v>318.18734699999999</v>
      </c>
      <c r="V12" s="8">
        <f>VLOOKUP($B12,floorspace!$B$4:$O$12,'shell factors calc'!V$2+1,FALSE)</f>
        <v>237.53892500000001</v>
      </c>
      <c r="W12" s="8">
        <f>VLOOKUP($B12,floorspace!$B$4:$O$12,'shell factors calc'!W$2+1,FALSE)</f>
        <v>666.73236099999997</v>
      </c>
      <c r="X12" s="8">
        <f>VLOOKUP($B12,floorspace!$B$4:$O$12,'shell factors calc'!X$2+1,FALSE)</f>
        <v>461.64859000000001</v>
      </c>
      <c r="Y12" s="8">
        <f>VLOOKUP($B12,floorspace!$B$4:$O$12,'shell factors calc'!Y$2+1,FALSE)</f>
        <v>364.49435399999999</v>
      </c>
      <c r="Z12">
        <f t="shared" si="0"/>
        <v>0.75320268549984093</v>
      </c>
    </row>
    <row r="13" spans="1:26" x14ac:dyDescent="0.2">
      <c r="A13" s="5" t="s">
        <v>45</v>
      </c>
      <c r="B13" s="5" t="s">
        <v>4</v>
      </c>
      <c r="C13" s="6" t="s">
        <v>15</v>
      </c>
      <c r="D13" s="7">
        <v>0.75484600000000002</v>
      </c>
      <c r="E13">
        <v>0.69030499999999995</v>
      </c>
      <c r="F13">
        <v>0.80074999999999996</v>
      </c>
      <c r="G13">
        <v>0.433502</v>
      </c>
      <c r="H13">
        <v>0.95406400000000002</v>
      </c>
      <c r="I13">
        <v>0.687137</v>
      </c>
      <c r="J13">
        <v>0.65906299999999995</v>
      </c>
      <c r="K13">
        <v>0.88831000000000004</v>
      </c>
      <c r="L13">
        <v>0.77662500000000001</v>
      </c>
      <c r="M13">
        <v>0.86283900000000002</v>
      </c>
      <c r="N13">
        <v>0.69250900000000004</v>
      </c>
      <c r="O13" s="8">
        <f>VLOOKUP($B13,floorspace!$B$4:$O$12,'shell factors calc'!O$2+1,FALSE)</f>
        <v>493.03372200000001</v>
      </c>
      <c r="P13" s="8">
        <f>VLOOKUP($B13,floorspace!$B$4:$O$12,'shell factors calc'!P$2+1,FALSE)</f>
        <v>613.36340299999995</v>
      </c>
      <c r="Q13" s="8">
        <f>VLOOKUP($B13,floorspace!$B$4:$O$12,'shell factors calc'!Q$2+1,FALSE)</f>
        <v>83.332572999999996</v>
      </c>
      <c r="R13" s="8">
        <f>VLOOKUP($B13,floorspace!$B$4:$O$12,'shell factors calc'!R$2+1,FALSE)</f>
        <v>59.808208</v>
      </c>
      <c r="S13" s="8">
        <f>VLOOKUP($B13,floorspace!$B$4:$O$12,'shell factors calc'!S$2+1,FALSE)</f>
        <v>89.040115</v>
      </c>
      <c r="T13" s="8">
        <f>VLOOKUP($B13,floorspace!$B$4:$O$12,'shell factors calc'!T$2+1,FALSE)</f>
        <v>316.81848100000002</v>
      </c>
      <c r="U13" s="8">
        <f>VLOOKUP($B13,floorspace!$B$4:$O$12,'shell factors calc'!U$2+1,FALSE)</f>
        <v>318.18734699999999</v>
      </c>
      <c r="V13" s="8">
        <f>VLOOKUP($B13,floorspace!$B$4:$O$12,'shell factors calc'!V$2+1,FALSE)</f>
        <v>237.53892500000001</v>
      </c>
      <c r="W13" s="8">
        <f>VLOOKUP($B13,floorspace!$B$4:$O$12,'shell factors calc'!W$2+1,FALSE)</f>
        <v>666.73236099999997</v>
      </c>
      <c r="X13" s="8">
        <f>VLOOKUP($B13,floorspace!$B$4:$O$12,'shell factors calc'!X$2+1,FALSE)</f>
        <v>461.64859000000001</v>
      </c>
      <c r="Y13" s="8">
        <f>VLOOKUP($B13,floorspace!$B$4:$O$12,'shell factors calc'!Y$2+1,FALSE)</f>
        <v>364.49435399999999</v>
      </c>
      <c r="Z13">
        <f t="shared" si="0"/>
        <v>0.75057660942177329</v>
      </c>
    </row>
    <row r="14" spans="1:26" x14ac:dyDescent="0.2">
      <c r="A14" s="5" t="s">
        <v>45</v>
      </c>
      <c r="B14" s="5" t="s">
        <v>4</v>
      </c>
      <c r="C14" s="6" t="s">
        <v>16</v>
      </c>
      <c r="D14" s="7">
        <v>0.75053999999999998</v>
      </c>
      <c r="E14">
        <v>0.68484</v>
      </c>
      <c r="F14">
        <v>0.79374</v>
      </c>
      <c r="G14">
        <v>0.42459000000000002</v>
      </c>
      <c r="H14">
        <v>0.95309999999999995</v>
      </c>
      <c r="I14">
        <v>0.68064000000000002</v>
      </c>
      <c r="J14">
        <v>0.65249000000000001</v>
      </c>
      <c r="K14">
        <v>0.88636999999999999</v>
      </c>
      <c r="L14">
        <v>0.77251999999999998</v>
      </c>
      <c r="M14">
        <v>0.87697999999999998</v>
      </c>
      <c r="N14">
        <v>0.68703000000000003</v>
      </c>
      <c r="O14" s="8">
        <f>VLOOKUP($B14,floorspace!$B$4:$O$12,'shell factors calc'!O$2+1,FALSE)</f>
        <v>493.03372200000001</v>
      </c>
      <c r="P14" s="8">
        <f>VLOOKUP($B14,floorspace!$B$4:$O$12,'shell factors calc'!P$2+1,FALSE)</f>
        <v>613.36340299999995</v>
      </c>
      <c r="Q14" s="8">
        <f>VLOOKUP($B14,floorspace!$B$4:$O$12,'shell factors calc'!Q$2+1,FALSE)</f>
        <v>83.332572999999996</v>
      </c>
      <c r="R14" s="8">
        <f>VLOOKUP($B14,floorspace!$B$4:$O$12,'shell factors calc'!R$2+1,FALSE)</f>
        <v>59.808208</v>
      </c>
      <c r="S14" s="8">
        <f>VLOOKUP($B14,floorspace!$B$4:$O$12,'shell factors calc'!S$2+1,FALSE)</f>
        <v>89.040115</v>
      </c>
      <c r="T14" s="8">
        <f>VLOOKUP($B14,floorspace!$B$4:$O$12,'shell factors calc'!T$2+1,FALSE)</f>
        <v>316.81848100000002</v>
      </c>
      <c r="U14" s="8">
        <f>VLOOKUP($B14,floorspace!$B$4:$O$12,'shell factors calc'!U$2+1,FALSE)</f>
        <v>318.18734699999999</v>
      </c>
      <c r="V14" s="8">
        <f>VLOOKUP($B14,floorspace!$B$4:$O$12,'shell factors calc'!V$2+1,FALSE)</f>
        <v>237.53892500000001</v>
      </c>
      <c r="W14" s="8">
        <f>VLOOKUP($B14,floorspace!$B$4:$O$12,'shell factors calc'!W$2+1,FALSE)</f>
        <v>666.73236099999997</v>
      </c>
      <c r="X14" s="8">
        <f>VLOOKUP($B14,floorspace!$B$4:$O$12,'shell factors calc'!X$2+1,FALSE)</f>
        <v>461.64859000000001</v>
      </c>
      <c r="Y14" s="8">
        <f>VLOOKUP($B14,floorspace!$B$4:$O$12,'shell factors calc'!Y$2+1,FALSE)</f>
        <v>364.49435399999999</v>
      </c>
      <c r="Z14">
        <f t="shared" si="0"/>
        <v>0.74801329551804574</v>
      </c>
    </row>
    <row r="15" spans="1:26" x14ac:dyDescent="0.2">
      <c r="A15" s="5" t="s">
        <v>45</v>
      </c>
      <c r="B15" s="5" t="s">
        <v>4</v>
      </c>
      <c r="C15" s="6" t="s">
        <v>17</v>
      </c>
      <c r="D15" s="7">
        <v>0.74602299999999999</v>
      </c>
      <c r="E15">
        <v>0.67898400000000003</v>
      </c>
      <c r="F15">
        <v>0.789489</v>
      </c>
      <c r="G15">
        <v>0.41365099999999999</v>
      </c>
      <c r="H15">
        <v>0.95213300000000001</v>
      </c>
      <c r="I15">
        <v>0.67356799999999994</v>
      </c>
      <c r="J15">
        <v>0.64529899999999996</v>
      </c>
      <c r="K15">
        <v>0.88440099999999999</v>
      </c>
      <c r="L15">
        <v>0.76822900000000005</v>
      </c>
      <c r="M15">
        <v>0.88926899999999998</v>
      </c>
      <c r="N15">
        <v>0.68115700000000001</v>
      </c>
      <c r="O15" s="8">
        <f>VLOOKUP($B15,floorspace!$B$4:$O$12,'shell factors calc'!O$2+1,FALSE)</f>
        <v>493.03372200000001</v>
      </c>
      <c r="P15" s="8">
        <f>VLOOKUP($B15,floorspace!$B$4:$O$12,'shell factors calc'!P$2+1,FALSE)</f>
        <v>613.36340299999995</v>
      </c>
      <c r="Q15" s="8">
        <f>VLOOKUP($B15,floorspace!$B$4:$O$12,'shell factors calc'!Q$2+1,FALSE)</f>
        <v>83.332572999999996</v>
      </c>
      <c r="R15" s="8">
        <f>VLOOKUP($B15,floorspace!$B$4:$O$12,'shell factors calc'!R$2+1,FALSE)</f>
        <v>59.808208</v>
      </c>
      <c r="S15" s="8">
        <f>VLOOKUP($B15,floorspace!$B$4:$O$12,'shell factors calc'!S$2+1,FALSE)</f>
        <v>89.040115</v>
      </c>
      <c r="T15" s="8">
        <f>VLOOKUP($B15,floorspace!$B$4:$O$12,'shell factors calc'!T$2+1,FALSE)</f>
        <v>316.81848100000002</v>
      </c>
      <c r="U15" s="8">
        <f>VLOOKUP($B15,floorspace!$B$4:$O$12,'shell factors calc'!U$2+1,FALSE)</f>
        <v>318.18734699999999</v>
      </c>
      <c r="V15" s="8">
        <f>VLOOKUP($B15,floorspace!$B$4:$O$12,'shell factors calc'!V$2+1,FALSE)</f>
        <v>237.53892500000001</v>
      </c>
      <c r="W15" s="8">
        <f>VLOOKUP($B15,floorspace!$B$4:$O$12,'shell factors calc'!W$2+1,FALSE)</f>
        <v>666.73236099999997</v>
      </c>
      <c r="X15" s="8">
        <f>VLOOKUP($B15,floorspace!$B$4:$O$12,'shell factors calc'!X$2+1,FALSE)</f>
        <v>461.64859000000001</v>
      </c>
      <c r="Y15" s="8">
        <f>VLOOKUP($B15,floorspace!$B$4:$O$12,'shell factors calc'!Y$2+1,FALSE)</f>
        <v>364.49435399999999</v>
      </c>
      <c r="Z15">
        <f t="shared" si="0"/>
        <v>0.74497921079399709</v>
      </c>
    </row>
    <row r="16" spans="1:26" x14ac:dyDescent="0.2">
      <c r="A16" s="5" t="s">
        <v>45</v>
      </c>
      <c r="B16" s="5" t="s">
        <v>4</v>
      </c>
      <c r="C16" s="6" t="s">
        <v>18</v>
      </c>
      <c r="D16" s="7">
        <v>0.74153199999999997</v>
      </c>
      <c r="E16">
        <v>0.67317700000000003</v>
      </c>
      <c r="F16">
        <v>0.78526099999999999</v>
      </c>
      <c r="G16">
        <v>0.40299400000000002</v>
      </c>
      <c r="H16">
        <v>0.95116599999999996</v>
      </c>
      <c r="I16">
        <v>0.66657</v>
      </c>
      <c r="J16">
        <v>0.63818699999999995</v>
      </c>
      <c r="K16">
        <v>0.88243700000000003</v>
      </c>
      <c r="L16">
        <v>0.76396299999999995</v>
      </c>
      <c r="M16">
        <v>0.90173099999999995</v>
      </c>
      <c r="N16">
        <v>0.67533500000000002</v>
      </c>
      <c r="O16" s="8">
        <f>VLOOKUP($B16,floorspace!$B$4:$O$12,'shell factors calc'!O$2+1,FALSE)</f>
        <v>493.03372200000001</v>
      </c>
      <c r="P16" s="8">
        <f>VLOOKUP($B16,floorspace!$B$4:$O$12,'shell factors calc'!P$2+1,FALSE)</f>
        <v>613.36340299999995</v>
      </c>
      <c r="Q16" s="8">
        <f>VLOOKUP($B16,floorspace!$B$4:$O$12,'shell factors calc'!Q$2+1,FALSE)</f>
        <v>83.332572999999996</v>
      </c>
      <c r="R16" s="8">
        <f>VLOOKUP($B16,floorspace!$B$4:$O$12,'shell factors calc'!R$2+1,FALSE)</f>
        <v>59.808208</v>
      </c>
      <c r="S16" s="8">
        <f>VLOOKUP($B16,floorspace!$B$4:$O$12,'shell factors calc'!S$2+1,FALSE)</f>
        <v>89.040115</v>
      </c>
      <c r="T16" s="8">
        <f>VLOOKUP($B16,floorspace!$B$4:$O$12,'shell factors calc'!T$2+1,FALSE)</f>
        <v>316.81848100000002</v>
      </c>
      <c r="U16" s="8">
        <f>VLOOKUP($B16,floorspace!$B$4:$O$12,'shell factors calc'!U$2+1,FALSE)</f>
        <v>318.18734699999999</v>
      </c>
      <c r="V16" s="8">
        <f>VLOOKUP($B16,floorspace!$B$4:$O$12,'shell factors calc'!V$2+1,FALSE)</f>
        <v>237.53892500000001</v>
      </c>
      <c r="W16" s="8">
        <f>VLOOKUP($B16,floorspace!$B$4:$O$12,'shell factors calc'!W$2+1,FALSE)</f>
        <v>666.73236099999997</v>
      </c>
      <c r="X16" s="8">
        <f>VLOOKUP($B16,floorspace!$B$4:$O$12,'shell factors calc'!X$2+1,FALSE)</f>
        <v>461.64859000000001</v>
      </c>
      <c r="Y16" s="8">
        <f>VLOOKUP($B16,floorspace!$B$4:$O$12,'shell factors calc'!Y$2+1,FALSE)</f>
        <v>364.49435399999999</v>
      </c>
      <c r="Z16">
        <f t="shared" si="0"/>
        <v>0.74200628917864986</v>
      </c>
    </row>
    <row r="17" spans="1:26" x14ac:dyDescent="0.2">
      <c r="A17" s="5" t="s">
        <v>45</v>
      </c>
      <c r="B17" s="5" t="s">
        <v>4</v>
      </c>
      <c r="C17" s="6" t="s">
        <v>19</v>
      </c>
      <c r="D17" s="7">
        <v>0.73706899999999997</v>
      </c>
      <c r="E17">
        <v>0.66742100000000004</v>
      </c>
      <c r="F17">
        <v>0.78105500000000005</v>
      </c>
      <c r="G17">
        <v>0.39261200000000002</v>
      </c>
      <c r="H17">
        <v>0.95020099999999996</v>
      </c>
      <c r="I17">
        <v>0.65964500000000004</v>
      </c>
      <c r="J17">
        <v>0.63115299999999996</v>
      </c>
      <c r="K17">
        <v>0.88047699999999995</v>
      </c>
      <c r="L17">
        <v>0.75971900000000003</v>
      </c>
      <c r="M17">
        <v>0.91436700000000004</v>
      </c>
      <c r="N17">
        <v>0.66956199999999999</v>
      </c>
      <c r="O17" s="8">
        <f>VLOOKUP($B17,floorspace!$B$4:$O$12,'shell factors calc'!O$2+1,FALSE)</f>
        <v>493.03372200000001</v>
      </c>
      <c r="P17" s="8">
        <f>VLOOKUP($B17,floorspace!$B$4:$O$12,'shell factors calc'!P$2+1,FALSE)</f>
        <v>613.36340299999995</v>
      </c>
      <c r="Q17" s="8">
        <f>VLOOKUP($B17,floorspace!$B$4:$O$12,'shell factors calc'!Q$2+1,FALSE)</f>
        <v>83.332572999999996</v>
      </c>
      <c r="R17" s="8">
        <f>VLOOKUP($B17,floorspace!$B$4:$O$12,'shell factors calc'!R$2+1,FALSE)</f>
        <v>59.808208</v>
      </c>
      <c r="S17" s="8">
        <f>VLOOKUP($B17,floorspace!$B$4:$O$12,'shell factors calc'!S$2+1,FALSE)</f>
        <v>89.040115</v>
      </c>
      <c r="T17" s="8">
        <f>VLOOKUP($B17,floorspace!$B$4:$O$12,'shell factors calc'!T$2+1,FALSE)</f>
        <v>316.81848100000002</v>
      </c>
      <c r="U17" s="8">
        <f>VLOOKUP($B17,floorspace!$B$4:$O$12,'shell factors calc'!U$2+1,FALSE)</f>
        <v>318.18734699999999</v>
      </c>
      <c r="V17" s="8">
        <f>VLOOKUP($B17,floorspace!$B$4:$O$12,'shell factors calc'!V$2+1,FALSE)</f>
        <v>237.53892500000001</v>
      </c>
      <c r="W17" s="8">
        <f>VLOOKUP($B17,floorspace!$B$4:$O$12,'shell factors calc'!W$2+1,FALSE)</f>
        <v>666.73236099999997</v>
      </c>
      <c r="X17" s="8">
        <f>VLOOKUP($B17,floorspace!$B$4:$O$12,'shell factors calc'!X$2+1,FALSE)</f>
        <v>461.64859000000001</v>
      </c>
      <c r="Y17" s="8">
        <f>VLOOKUP($B17,floorspace!$B$4:$O$12,'shell factors calc'!Y$2+1,FALSE)</f>
        <v>364.49435399999999</v>
      </c>
      <c r="Z17">
        <f t="shared" si="0"/>
        <v>0.73909419287552658</v>
      </c>
    </row>
    <row r="18" spans="1:26" x14ac:dyDescent="0.2">
      <c r="A18" s="5" t="s">
        <v>45</v>
      </c>
      <c r="B18" s="5" t="s">
        <v>4</v>
      </c>
      <c r="C18" s="6" t="s">
        <v>20</v>
      </c>
      <c r="D18" s="7">
        <v>0.73263299999999998</v>
      </c>
      <c r="E18">
        <v>0.66171400000000002</v>
      </c>
      <c r="F18">
        <v>0.77687200000000001</v>
      </c>
      <c r="G18">
        <v>0.38249699999999998</v>
      </c>
      <c r="H18">
        <v>0.94923599999999997</v>
      </c>
      <c r="I18">
        <v>0.65279100000000001</v>
      </c>
      <c r="J18">
        <v>0.624197</v>
      </c>
      <c r="K18">
        <v>0.87852200000000003</v>
      </c>
      <c r="L18">
        <v>0.75549999999999995</v>
      </c>
      <c r="M18">
        <v>0.92718</v>
      </c>
      <c r="N18">
        <v>0.66383800000000004</v>
      </c>
      <c r="O18" s="8">
        <f>VLOOKUP($B18,floorspace!$B$4:$O$12,'shell factors calc'!O$2+1,FALSE)</f>
        <v>493.03372200000001</v>
      </c>
      <c r="P18" s="8">
        <f>VLOOKUP($B18,floorspace!$B$4:$O$12,'shell factors calc'!P$2+1,FALSE)</f>
        <v>613.36340299999995</v>
      </c>
      <c r="Q18" s="8">
        <f>VLOOKUP($B18,floorspace!$B$4:$O$12,'shell factors calc'!Q$2+1,FALSE)</f>
        <v>83.332572999999996</v>
      </c>
      <c r="R18" s="8">
        <f>VLOOKUP($B18,floorspace!$B$4:$O$12,'shell factors calc'!R$2+1,FALSE)</f>
        <v>59.808208</v>
      </c>
      <c r="S18" s="8">
        <f>VLOOKUP($B18,floorspace!$B$4:$O$12,'shell factors calc'!S$2+1,FALSE)</f>
        <v>89.040115</v>
      </c>
      <c r="T18" s="8">
        <f>VLOOKUP($B18,floorspace!$B$4:$O$12,'shell factors calc'!T$2+1,FALSE)</f>
        <v>316.81848100000002</v>
      </c>
      <c r="U18" s="8">
        <f>VLOOKUP($B18,floorspace!$B$4:$O$12,'shell factors calc'!U$2+1,FALSE)</f>
        <v>318.18734699999999</v>
      </c>
      <c r="V18" s="8">
        <f>VLOOKUP($B18,floorspace!$B$4:$O$12,'shell factors calc'!V$2+1,FALSE)</f>
        <v>237.53892500000001</v>
      </c>
      <c r="W18" s="8">
        <f>VLOOKUP($B18,floorspace!$B$4:$O$12,'shell factors calc'!W$2+1,FALSE)</f>
        <v>666.73236099999997</v>
      </c>
      <c r="X18" s="8">
        <f>VLOOKUP($B18,floorspace!$B$4:$O$12,'shell factors calc'!X$2+1,FALSE)</f>
        <v>461.64859000000001</v>
      </c>
      <c r="Y18" s="8">
        <f>VLOOKUP($B18,floorspace!$B$4:$O$12,'shell factors calc'!Y$2+1,FALSE)</f>
        <v>364.49435399999999</v>
      </c>
      <c r="Z18">
        <f t="shared" si="0"/>
        <v>0.73624310980885155</v>
      </c>
    </row>
    <row r="19" spans="1:26" x14ac:dyDescent="0.2">
      <c r="A19" s="5" t="s">
        <v>45</v>
      </c>
      <c r="B19" s="5" t="s">
        <v>4</v>
      </c>
      <c r="C19" s="6" t="s">
        <v>21</v>
      </c>
      <c r="D19" s="7">
        <v>0.72822299999999995</v>
      </c>
      <c r="E19">
        <v>0.65605500000000005</v>
      </c>
      <c r="F19">
        <v>0.77271100000000004</v>
      </c>
      <c r="G19">
        <v>0.37264199999999997</v>
      </c>
      <c r="H19">
        <v>0.94827300000000003</v>
      </c>
      <c r="I19">
        <v>0.64600900000000006</v>
      </c>
      <c r="J19">
        <v>0.617317</v>
      </c>
      <c r="K19">
        <v>0.87657099999999999</v>
      </c>
      <c r="L19">
        <v>0.75130399999999997</v>
      </c>
      <c r="M19">
        <v>0.94017300000000004</v>
      </c>
      <c r="N19">
        <v>0.65816399999999997</v>
      </c>
      <c r="O19" s="8">
        <f>VLOOKUP($B19,floorspace!$B$4:$O$12,'shell factors calc'!O$2+1,FALSE)</f>
        <v>493.03372200000001</v>
      </c>
      <c r="P19" s="8">
        <f>VLOOKUP($B19,floorspace!$B$4:$O$12,'shell factors calc'!P$2+1,FALSE)</f>
        <v>613.36340299999995</v>
      </c>
      <c r="Q19" s="8">
        <f>VLOOKUP($B19,floorspace!$B$4:$O$12,'shell factors calc'!Q$2+1,FALSE)</f>
        <v>83.332572999999996</v>
      </c>
      <c r="R19" s="8">
        <f>VLOOKUP($B19,floorspace!$B$4:$O$12,'shell factors calc'!R$2+1,FALSE)</f>
        <v>59.808208</v>
      </c>
      <c r="S19" s="8">
        <f>VLOOKUP($B19,floorspace!$B$4:$O$12,'shell factors calc'!S$2+1,FALSE)</f>
        <v>89.040115</v>
      </c>
      <c r="T19" s="8">
        <f>VLOOKUP($B19,floorspace!$B$4:$O$12,'shell factors calc'!T$2+1,FALSE)</f>
        <v>316.81848100000002</v>
      </c>
      <c r="U19" s="8">
        <f>VLOOKUP($B19,floorspace!$B$4:$O$12,'shell factors calc'!U$2+1,FALSE)</f>
        <v>318.18734699999999</v>
      </c>
      <c r="V19" s="8">
        <f>VLOOKUP($B19,floorspace!$B$4:$O$12,'shell factors calc'!V$2+1,FALSE)</f>
        <v>237.53892500000001</v>
      </c>
      <c r="W19" s="8">
        <f>VLOOKUP($B19,floorspace!$B$4:$O$12,'shell factors calc'!W$2+1,FALSE)</f>
        <v>666.73236099999997</v>
      </c>
      <c r="X19" s="8">
        <f>VLOOKUP($B19,floorspace!$B$4:$O$12,'shell factors calc'!X$2+1,FALSE)</f>
        <v>461.64859000000001</v>
      </c>
      <c r="Y19" s="8">
        <f>VLOOKUP($B19,floorspace!$B$4:$O$12,'shell factors calc'!Y$2+1,FALSE)</f>
        <v>364.49435399999999</v>
      </c>
      <c r="Z19">
        <f t="shared" si="0"/>
        <v>0.73345261572714715</v>
      </c>
    </row>
    <row r="20" spans="1:26" x14ac:dyDescent="0.2">
      <c r="A20" s="5" t="s">
        <v>45</v>
      </c>
      <c r="B20" s="5" t="s">
        <v>4</v>
      </c>
      <c r="C20" s="6" t="s">
        <v>22</v>
      </c>
      <c r="D20" s="7">
        <v>0.72384000000000004</v>
      </c>
      <c r="E20">
        <v>0.65044500000000005</v>
      </c>
      <c r="F20">
        <v>0.76857299999999995</v>
      </c>
      <c r="G20">
        <v>0.36304199999999998</v>
      </c>
      <c r="H20">
        <v>0.94730999999999999</v>
      </c>
      <c r="I20">
        <v>0.639297</v>
      </c>
      <c r="J20">
        <v>0.61051299999999997</v>
      </c>
      <c r="K20">
        <v>0.87462399999999996</v>
      </c>
      <c r="L20">
        <v>0.74713099999999999</v>
      </c>
      <c r="M20">
        <v>0.95334799999999997</v>
      </c>
      <c r="N20">
        <v>0.65253799999999995</v>
      </c>
      <c r="O20" s="8">
        <f>VLOOKUP($B20,floorspace!$B$4:$O$12,'shell factors calc'!O$2+1,FALSE)</f>
        <v>493.03372200000001</v>
      </c>
      <c r="P20" s="8">
        <f>VLOOKUP($B20,floorspace!$B$4:$O$12,'shell factors calc'!P$2+1,FALSE)</f>
        <v>613.36340299999995</v>
      </c>
      <c r="Q20" s="8">
        <f>VLOOKUP($B20,floorspace!$B$4:$O$12,'shell factors calc'!Q$2+1,FALSE)</f>
        <v>83.332572999999996</v>
      </c>
      <c r="R20" s="8">
        <f>VLOOKUP($B20,floorspace!$B$4:$O$12,'shell factors calc'!R$2+1,FALSE)</f>
        <v>59.808208</v>
      </c>
      <c r="S20" s="8">
        <f>VLOOKUP($B20,floorspace!$B$4:$O$12,'shell factors calc'!S$2+1,FALSE)</f>
        <v>89.040115</v>
      </c>
      <c r="T20" s="8">
        <f>VLOOKUP($B20,floorspace!$B$4:$O$12,'shell factors calc'!T$2+1,FALSE)</f>
        <v>316.81848100000002</v>
      </c>
      <c r="U20" s="8">
        <f>VLOOKUP($B20,floorspace!$B$4:$O$12,'shell factors calc'!U$2+1,FALSE)</f>
        <v>318.18734699999999</v>
      </c>
      <c r="V20" s="8">
        <f>VLOOKUP($B20,floorspace!$B$4:$O$12,'shell factors calc'!V$2+1,FALSE)</f>
        <v>237.53892500000001</v>
      </c>
      <c r="W20" s="8">
        <f>VLOOKUP($B20,floorspace!$B$4:$O$12,'shell factors calc'!W$2+1,FALSE)</f>
        <v>666.73236099999997</v>
      </c>
      <c r="X20" s="8">
        <f>VLOOKUP($B20,floorspace!$B$4:$O$12,'shell factors calc'!X$2+1,FALSE)</f>
        <v>461.64859000000001</v>
      </c>
      <c r="Y20" s="8">
        <f>VLOOKUP($B20,floorspace!$B$4:$O$12,'shell factors calc'!Y$2+1,FALSE)</f>
        <v>364.49435399999999</v>
      </c>
      <c r="Z20">
        <f t="shared" si="0"/>
        <v>0.73072278441013239</v>
      </c>
    </row>
    <row r="21" spans="1:26" x14ac:dyDescent="0.2">
      <c r="A21" s="5" t="s">
        <v>45</v>
      </c>
      <c r="B21" s="5" t="s">
        <v>4</v>
      </c>
      <c r="C21" s="6" t="s">
        <v>23</v>
      </c>
      <c r="D21" s="7">
        <v>0.71948299999999998</v>
      </c>
      <c r="E21">
        <v>0.64488299999999998</v>
      </c>
      <c r="F21">
        <v>0.76445700000000005</v>
      </c>
      <c r="G21">
        <v>0.353688</v>
      </c>
      <c r="H21">
        <v>0.946349</v>
      </c>
      <c r="I21">
        <v>0.63265499999999997</v>
      </c>
      <c r="J21">
        <v>0.60378500000000002</v>
      </c>
      <c r="K21">
        <v>0.87268100000000004</v>
      </c>
      <c r="L21">
        <v>0.742981</v>
      </c>
      <c r="M21">
        <v>0.96670800000000001</v>
      </c>
      <c r="N21">
        <v>0.64695999999999998</v>
      </c>
      <c r="O21" s="8">
        <f>VLOOKUP($B21,floorspace!$B$4:$O$12,'shell factors calc'!O$2+1,FALSE)</f>
        <v>493.03372200000001</v>
      </c>
      <c r="P21" s="8">
        <f>VLOOKUP($B21,floorspace!$B$4:$O$12,'shell factors calc'!P$2+1,FALSE)</f>
        <v>613.36340299999995</v>
      </c>
      <c r="Q21" s="8">
        <f>VLOOKUP($B21,floorspace!$B$4:$O$12,'shell factors calc'!Q$2+1,FALSE)</f>
        <v>83.332572999999996</v>
      </c>
      <c r="R21" s="8">
        <f>VLOOKUP($B21,floorspace!$B$4:$O$12,'shell factors calc'!R$2+1,FALSE)</f>
        <v>59.808208</v>
      </c>
      <c r="S21" s="8">
        <f>VLOOKUP($B21,floorspace!$B$4:$O$12,'shell factors calc'!S$2+1,FALSE)</f>
        <v>89.040115</v>
      </c>
      <c r="T21" s="8">
        <f>VLOOKUP($B21,floorspace!$B$4:$O$12,'shell factors calc'!T$2+1,FALSE)</f>
        <v>316.81848100000002</v>
      </c>
      <c r="U21" s="8">
        <f>VLOOKUP($B21,floorspace!$B$4:$O$12,'shell factors calc'!U$2+1,FALSE)</f>
        <v>318.18734699999999</v>
      </c>
      <c r="V21" s="8">
        <f>VLOOKUP($B21,floorspace!$B$4:$O$12,'shell factors calc'!V$2+1,FALSE)</f>
        <v>237.53892500000001</v>
      </c>
      <c r="W21" s="8">
        <f>VLOOKUP($B21,floorspace!$B$4:$O$12,'shell factors calc'!W$2+1,FALSE)</f>
        <v>666.73236099999997</v>
      </c>
      <c r="X21" s="8">
        <f>VLOOKUP($B21,floorspace!$B$4:$O$12,'shell factors calc'!X$2+1,FALSE)</f>
        <v>461.64859000000001</v>
      </c>
      <c r="Y21" s="8">
        <f>VLOOKUP($B21,floorspace!$B$4:$O$12,'shell factors calc'!Y$2+1,FALSE)</f>
        <v>364.49435399999999</v>
      </c>
      <c r="Z21">
        <f t="shared" si="0"/>
        <v>0.72805357131740323</v>
      </c>
    </row>
    <row r="22" spans="1:26" x14ac:dyDescent="0.2">
      <c r="A22" s="5" t="s">
        <v>45</v>
      </c>
      <c r="B22" s="5" t="s">
        <v>4</v>
      </c>
      <c r="C22" s="6" t="s">
        <v>24</v>
      </c>
      <c r="D22" s="7">
        <v>0.71515300000000004</v>
      </c>
      <c r="E22">
        <v>0.63936800000000005</v>
      </c>
      <c r="F22">
        <v>0.76036300000000001</v>
      </c>
      <c r="G22">
        <v>0.34457599999999999</v>
      </c>
      <c r="H22">
        <v>0.94538800000000001</v>
      </c>
      <c r="I22">
        <v>0.62608200000000003</v>
      </c>
      <c r="J22">
        <v>0.59713000000000005</v>
      </c>
      <c r="K22">
        <v>0.87074300000000004</v>
      </c>
      <c r="L22">
        <v>0.73885400000000001</v>
      </c>
      <c r="M22">
        <v>0.98025499999999999</v>
      </c>
      <c r="N22">
        <v>0.64142900000000003</v>
      </c>
      <c r="O22" s="8">
        <f>VLOOKUP($B22,floorspace!$B$4:$O$12,'shell factors calc'!O$2+1,FALSE)</f>
        <v>493.03372200000001</v>
      </c>
      <c r="P22" s="8">
        <f>VLOOKUP($B22,floorspace!$B$4:$O$12,'shell factors calc'!P$2+1,FALSE)</f>
        <v>613.36340299999995</v>
      </c>
      <c r="Q22" s="8">
        <f>VLOOKUP($B22,floorspace!$B$4:$O$12,'shell factors calc'!Q$2+1,FALSE)</f>
        <v>83.332572999999996</v>
      </c>
      <c r="R22" s="8">
        <f>VLOOKUP($B22,floorspace!$B$4:$O$12,'shell factors calc'!R$2+1,FALSE)</f>
        <v>59.808208</v>
      </c>
      <c r="S22" s="8">
        <f>VLOOKUP($B22,floorspace!$B$4:$O$12,'shell factors calc'!S$2+1,FALSE)</f>
        <v>89.040115</v>
      </c>
      <c r="T22" s="8">
        <f>VLOOKUP($B22,floorspace!$B$4:$O$12,'shell factors calc'!T$2+1,FALSE)</f>
        <v>316.81848100000002</v>
      </c>
      <c r="U22" s="8">
        <f>VLOOKUP($B22,floorspace!$B$4:$O$12,'shell factors calc'!U$2+1,FALSE)</f>
        <v>318.18734699999999</v>
      </c>
      <c r="V22" s="8">
        <f>VLOOKUP($B22,floorspace!$B$4:$O$12,'shell factors calc'!V$2+1,FALSE)</f>
        <v>237.53892500000001</v>
      </c>
      <c r="W22" s="8">
        <f>VLOOKUP($B22,floorspace!$B$4:$O$12,'shell factors calc'!W$2+1,FALSE)</f>
        <v>666.73236099999997</v>
      </c>
      <c r="X22" s="8">
        <f>VLOOKUP($B22,floorspace!$B$4:$O$12,'shell factors calc'!X$2+1,FALSE)</f>
        <v>461.64859000000001</v>
      </c>
      <c r="Y22" s="8">
        <f>VLOOKUP($B22,floorspace!$B$4:$O$12,'shell factors calc'!Y$2+1,FALSE)</f>
        <v>364.49435399999999</v>
      </c>
      <c r="Z22">
        <f t="shared" si="0"/>
        <v>0.72544470304668174</v>
      </c>
    </row>
    <row r="23" spans="1:26" x14ac:dyDescent="0.2">
      <c r="A23" s="5" t="s">
        <v>45</v>
      </c>
      <c r="B23" s="5" t="s">
        <v>4</v>
      </c>
      <c r="C23" s="6" t="s">
        <v>25</v>
      </c>
      <c r="D23" s="7">
        <v>0.71084899999999995</v>
      </c>
      <c r="E23">
        <v>0.63390100000000005</v>
      </c>
      <c r="F23">
        <v>0.75629000000000002</v>
      </c>
      <c r="G23">
        <v>0.33569900000000003</v>
      </c>
      <c r="H23">
        <v>0.94442899999999996</v>
      </c>
      <c r="I23">
        <v>0.61957700000000004</v>
      </c>
      <c r="J23">
        <v>0.59054899999999999</v>
      </c>
      <c r="K23">
        <v>0.86880999999999997</v>
      </c>
      <c r="L23">
        <v>0.73475100000000004</v>
      </c>
      <c r="M23">
        <v>0.99399099999999996</v>
      </c>
      <c r="N23">
        <v>0.63594600000000001</v>
      </c>
      <c r="O23" s="8">
        <f>VLOOKUP($B23,floorspace!$B$4:$O$12,'shell factors calc'!O$2+1,FALSE)</f>
        <v>493.03372200000001</v>
      </c>
      <c r="P23" s="8">
        <f>VLOOKUP($B23,floorspace!$B$4:$O$12,'shell factors calc'!P$2+1,FALSE)</f>
        <v>613.36340299999995</v>
      </c>
      <c r="Q23" s="8">
        <f>VLOOKUP($B23,floorspace!$B$4:$O$12,'shell factors calc'!Q$2+1,FALSE)</f>
        <v>83.332572999999996</v>
      </c>
      <c r="R23" s="8">
        <f>VLOOKUP($B23,floorspace!$B$4:$O$12,'shell factors calc'!R$2+1,FALSE)</f>
        <v>59.808208</v>
      </c>
      <c r="S23" s="8">
        <f>VLOOKUP($B23,floorspace!$B$4:$O$12,'shell factors calc'!S$2+1,FALSE)</f>
        <v>89.040115</v>
      </c>
      <c r="T23" s="8">
        <f>VLOOKUP($B23,floorspace!$B$4:$O$12,'shell factors calc'!T$2+1,FALSE)</f>
        <v>316.81848100000002</v>
      </c>
      <c r="U23" s="8">
        <f>VLOOKUP($B23,floorspace!$B$4:$O$12,'shell factors calc'!U$2+1,FALSE)</f>
        <v>318.18734699999999</v>
      </c>
      <c r="V23" s="8">
        <f>VLOOKUP($B23,floorspace!$B$4:$O$12,'shell factors calc'!V$2+1,FALSE)</f>
        <v>237.53892500000001</v>
      </c>
      <c r="W23" s="8">
        <f>VLOOKUP($B23,floorspace!$B$4:$O$12,'shell factors calc'!W$2+1,FALSE)</f>
        <v>666.73236099999997</v>
      </c>
      <c r="X23" s="8">
        <f>VLOOKUP($B23,floorspace!$B$4:$O$12,'shell factors calc'!X$2+1,FALSE)</f>
        <v>461.64859000000001</v>
      </c>
      <c r="Y23" s="8">
        <f>VLOOKUP($B23,floorspace!$B$4:$O$12,'shell factors calc'!Y$2+1,FALSE)</f>
        <v>364.49435399999999</v>
      </c>
      <c r="Z23">
        <f t="shared" si="0"/>
        <v>0.72289665268477943</v>
      </c>
    </row>
    <row r="24" spans="1:26" x14ac:dyDescent="0.2">
      <c r="A24" s="5" t="s">
        <v>45</v>
      </c>
      <c r="B24" s="5" t="s">
        <v>4</v>
      </c>
      <c r="C24" s="6" t="s">
        <v>26</v>
      </c>
      <c r="D24" s="7">
        <v>0.70657000000000003</v>
      </c>
      <c r="E24">
        <v>0.62848000000000004</v>
      </c>
      <c r="F24">
        <v>0.75224000000000002</v>
      </c>
      <c r="G24">
        <v>0.32705000000000001</v>
      </c>
      <c r="H24">
        <v>0.94347000000000003</v>
      </c>
      <c r="I24">
        <v>0.61314000000000002</v>
      </c>
      <c r="J24">
        <v>0.58404</v>
      </c>
      <c r="K24">
        <v>0.86687999999999998</v>
      </c>
      <c r="L24">
        <v>0.73067000000000004</v>
      </c>
      <c r="M24">
        <v>1.0079199999999999</v>
      </c>
      <c r="N24">
        <v>0.63051000000000001</v>
      </c>
      <c r="O24" s="8">
        <f>VLOOKUP($B24,floorspace!$B$4:$O$12,'shell factors calc'!O$2+1,FALSE)</f>
        <v>493.03372200000001</v>
      </c>
      <c r="P24" s="8">
        <f>VLOOKUP($B24,floorspace!$B$4:$O$12,'shell factors calc'!P$2+1,FALSE)</f>
        <v>613.36340299999995</v>
      </c>
      <c r="Q24" s="8">
        <f>VLOOKUP($B24,floorspace!$B$4:$O$12,'shell factors calc'!Q$2+1,FALSE)</f>
        <v>83.332572999999996</v>
      </c>
      <c r="R24" s="8">
        <f>VLOOKUP($B24,floorspace!$B$4:$O$12,'shell factors calc'!R$2+1,FALSE)</f>
        <v>59.808208</v>
      </c>
      <c r="S24" s="8">
        <f>VLOOKUP($B24,floorspace!$B$4:$O$12,'shell factors calc'!S$2+1,FALSE)</f>
        <v>89.040115</v>
      </c>
      <c r="T24" s="8">
        <f>VLOOKUP($B24,floorspace!$B$4:$O$12,'shell factors calc'!T$2+1,FALSE)</f>
        <v>316.81848100000002</v>
      </c>
      <c r="U24" s="8">
        <f>VLOOKUP($B24,floorspace!$B$4:$O$12,'shell factors calc'!U$2+1,FALSE)</f>
        <v>318.18734699999999</v>
      </c>
      <c r="V24" s="8">
        <f>VLOOKUP($B24,floorspace!$B$4:$O$12,'shell factors calc'!V$2+1,FALSE)</f>
        <v>237.53892500000001</v>
      </c>
      <c r="W24" s="8">
        <f>VLOOKUP($B24,floorspace!$B$4:$O$12,'shell factors calc'!W$2+1,FALSE)</f>
        <v>666.73236099999997</v>
      </c>
      <c r="X24" s="8">
        <f>VLOOKUP($B24,floorspace!$B$4:$O$12,'shell factors calc'!X$2+1,FALSE)</f>
        <v>461.64859000000001</v>
      </c>
      <c r="Y24" s="8">
        <f>VLOOKUP($B24,floorspace!$B$4:$O$12,'shell factors calc'!Y$2+1,FALSE)</f>
        <v>364.49435399999999</v>
      </c>
      <c r="Z24">
        <f t="shared" si="0"/>
        <v>0.72040857988290008</v>
      </c>
    </row>
    <row r="25" spans="1:26" x14ac:dyDescent="0.2">
      <c r="A25" s="5" t="s">
        <v>45</v>
      </c>
      <c r="B25" s="5" t="s">
        <v>4</v>
      </c>
      <c r="C25" s="6" t="s">
        <v>27</v>
      </c>
      <c r="D25" s="7">
        <v>0.70208800000000005</v>
      </c>
      <c r="E25">
        <v>0.62263199999999996</v>
      </c>
      <c r="F25">
        <v>0.74821099999999996</v>
      </c>
      <c r="G25">
        <v>0.31573400000000001</v>
      </c>
      <c r="H25">
        <v>0.94250800000000001</v>
      </c>
      <c r="I25">
        <v>0.60727200000000003</v>
      </c>
      <c r="J25">
        <v>0.57684299999999999</v>
      </c>
      <c r="K25">
        <v>0.86492100000000005</v>
      </c>
      <c r="L25">
        <v>0.72655000000000003</v>
      </c>
      <c r="M25">
        <v>1.020248</v>
      </c>
      <c r="N25">
        <v>0.62485800000000002</v>
      </c>
      <c r="O25" s="8">
        <f>VLOOKUP($B25,floorspace!$B$4:$O$12,'shell factors calc'!O$2+1,FALSE)</f>
        <v>493.03372200000001</v>
      </c>
      <c r="P25" s="8">
        <f>VLOOKUP($B25,floorspace!$B$4:$O$12,'shell factors calc'!P$2+1,FALSE)</f>
        <v>613.36340299999995</v>
      </c>
      <c r="Q25" s="8">
        <f>VLOOKUP($B25,floorspace!$B$4:$O$12,'shell factors calc'!Q$2+1,FALSE)</f>
        <v>83.332572999999996</v>
      </c>
      <c r="R25" s="8">
        <f>VLOOKUP($B25,floorspace!$B$4:$O$12,'shell factors calc'!R$2+1,FALSE)</f>
        <v>59.808208</v>
      </c>
      <c r="S25" s="8">
        <f>VLOOKUP($B25,floorspace!$B$4:$O$12,'shell factors calc'!S$2+1,FALSE)</f>
        <v>89.040115</v>
      </c>
      <c r="T25" s="8">
        <f>VLOOKUP($B25,floorspace!$B$4:$O$12,'shell factors calc'!T$2+1,FALSE)</f>
        <v>316.81848100000002</v>
      </c>
      <c r="U25" s="8">
        <f>VLOOKUP($B25,floorspace!$B$4:$O$12,'shell factors calc'!U$2+1,FALSE)</f>
        <v>318.18734699999999</v>
      </c>
      <c r="V25" s="8">
        <f>VLOOKUP($B25,floorspace!$B$4:$O$12,'shell factors calc'!V$2+1,FALSE)</f>
        <v>237.53892500000001</v>
      </c>
      <c r="W25" s="8">
        <f>VLOOKUP($B25,floorspace!$B$4:$O$12,'shell factors calc'!W$2+1,FALSE)</f>
        <v>666.73236099999997</v>
      </c>
      <c r="X25" s="8">
        <f>VLOOKUP($B25,floorspace!$B$4:$O$12,'shell factors calc'!X$2+1,FALSE)</f>
        <v>461.64859000000001</v>
      </c>
      <c r="Y25" s="8">
        <f>VLOOKUP($B25,floorspace!$B$4:$O$12,'shell factors calc'!Y$2+1,FALSE)</f>
        <v>364.49435399999999</v>
      </c>
      <c r="Z25">
        <f t="shared" si="0"/>
        <v>0.71754000413295216</v>
      </c>
    </row>
    <row r="26" spans="1:26" x14ac:dyDescent="0.2">
      <c r="A26" s="5" t="s">
        <v>45</v>
      </c>
      <c r="B26" s="5" t="s">
        <v>4</v>
      </c>
      <c r="C26" s="6" t="s">
        <v>28</v>
      </c>
      <c r="D26" s="7">
        <v>0.69763500000000001</v>
      </c>
      <c r="E26">
        <v>0.61683900000000003</v>
      </c>
      <c r="F26">
        <v>0.74420399999999998</v>
      </c>
      <c r="G26">
        <v>0.30481000000000003</v>
      </c>
      <c r="H26">
        <v>0.94154599999999999</v>
      </c>
      <c r="I26">
        <v>0.60145899999999997</v>
      </c>
      <c r="J26">
        <v>0.56973399999999996</v>
      </c>
      <c r="K26">
        <v>0.86296700000000004</v>
      </c>
      <c r="L26">
        <v>0.72245300000000001</v>
      </c>
      <c r="M26">
        <v>1.032727</v>
      </c>
      <c r="N26">
        <v>0.61925699999999995</v>
      </c>
      <c r="O26" s="8">
        <f>VLOOKUP($B26,floorspace!$B$4:$O$12,'shell factors calc'!O$2+1,FALSE)</f>
        <v>493.03372200000001</v>
      </c>
      <c r="P26" s="8">
        <f>VLOOKUP($B26,floorspace!$B$4:$O$12,'shell factors calc'!P$2+1,FALSE)</f>
        <v>613.36340299999995</v>
      </c>
      <c r="Q26" s="8">
        <f>VLOOKUP($B26,floorspace!$B$4:$O$12,'shell factors calc'!Q$2+1,FALSE)</f>
        <v>83.332572999999996</v>
      </c>
      <c r="R26" s="8">
        <f>VLOOKUP($B26,floorspace!$B$4:$O$12,'shell factors calc'!R$2+1,FALSE)</f>
        <v>59.808208</v>
      </c>
      <c r="S26" s="8">
        <f>VLOOKUP($B26,floorspace!$B$4:$O$12,'shell factors calc'!S$2+1,FALSE)</f>
        <v>89.040115</v>
      </c>
      <c r="T26" s="8">
        <f>VLOOKUP($B26,floorspace!$B$4:$O$12,'shell factors calc'!T$2+1,FALSE)</f>
        <v>316.81848100000002</v>
      </c>
      <c r="U26" s="8">
        <f>VLOOKUP($B26,floorspace!$B$4:$O$12,'shell factors calc'!U$2+1,FALSE)</f>
        <v>318.18734699999999</v>
      </c>
      <c r="V26" s="8">
        <f>VLOOKUP($B26,floorspace!$B$4:$O$12,'shell factors calc'!V$2+1,FALSE)</f>
        <v>237.53892500000001</v>
      </c>
      <c r="W26" s="8">
        <f>VLOOKUP($B26,floorspace!$B$4:$O$12,'shell factors calc'!W$2+1,FALSE)</f>
        <v>666.73236099999997</v>
      </c>
      <c r="X26" s="8">
        <f>VLOOKUP($B26,floorspace!$B$4:$O$12,'shell factors calc'!X$2+1,FALSE)</f>
        <v>461.64859000000001</v>
      </c>
      <c r="Y26" s="8">
        <f>VLOOKUP($B26,floorspace!$B$4:$O$12,'shell factors calc'!Y$2+1,FALSE)</f>
        <v>364.49435399999999</v>
      </c>
      <c r="Z26">
        <f t="shared" si="0"/>
        <v>0.71473178405423854</v>
      </c>
    </row>
    <row r="27" spans="1:26" x14ac:dyDescent="0.2">
      <c r="A27" s="5" t="s">
        <v>45</v>
      </c>
      <c r="B27" s="5" t="s">
        <v>4</v>
      </c>
      <c r="C27" s="6" t="s">
        <v>29</v>
      </c>
      <c r="D27" s="7">
        <v>0.69320999999999999</v>
      </c>
      <c r="E27">
        <v>0.61109899999999995</v>
      </c>
      <c r="F27">
        <v>0.74021800000000004</v>
      </c>
      <c r="G27">
        <v>0.29426400000000003</v>
      </c>
      <c r="H27">
        <v>0.94058600000000003</v>
      </c>
      <c r="I27">
        <v>0.59570299999999998</v>
      </c>
      <c r="J27">
        <v>0.56271300000000002</v>
      </c>
      <c r="K27">
        <v>0.86101700000000003</v>
      </c>
      <c r="L27">
        <v>0.71838000000000002</v>
      </c>
      <c r="M27">
        <v>1.045358</v>
      </c>
      <c r="N27">
        <v>0.613707</v>
      </c>
      <c r="O27" s="8">
        <f>VLOOKUP($B27,floorspace!$B$4:$O$12,'shell factors calc'!O$2+1,FALSE)</f>
        <v>493.03372200000001</v>
      </c>
      <c r="P27" s="8">
        <f>VLOOKUP($B27,floorspace!$B$4:$O$12,'shell factors calc'!P$2+1,FALSE)</f>
        <v>613.36340299999995</v>
      </c>
      <c r="Q27" s="8">
        <f>VLOOKUP($B27,floorspace!$B$4:$O$12,'shell factors calc'!Q$2+1,FALSE)</f>
        <v>83.332572999999996</v>
      </c>
      <c r="R27" s="8">
        <f>VLOOKUP($B27,floorspace!$B$4:$O$12,'shell factors calc'!R$2+1,FALSE)</f>
        <v>59.808208</v>
      </c>
      <c r="S27" s="8">
        <f>VLOOKUP($B27,floorspace!$B$4:$O$12,'shell factors calc'!S$2+1,FALSE)</f>
        <v>89.040115</v>
      </c>
      <c r="T27" s="8">
        <f>VLOOKUP($B27,floorspace!$B$4:$O$12,'shell factors calc'!T$2+1,FALSE)</f>
        <v>316.81848100000002</v>
      </c>
      <c r="U27" s="8">
        <f>VLOOKUP($B27,floorspace!$B$4:$O$12,'shell factors calc'!U$2+1,FALSE)</f>
        <v>318.18734699999999</v>
      </c>
      <c r="V27" s="8">
        <f>VLOOKUP($B27,floorspace!$B$4:$O$12,'shell factors calc'!V$2+1,FALSE)</f>
        <v>237.53892500000001</v>
      </c>
      <c r="W27" s="8">
        <f>VLOOKUP($B27,floorspace!$B$4:$O$12,'shell factors calc'!W$2+1,FALSE)</f>
        <v>666.73236099999997</v>
      </c>
      <c r="X27" s="8">
        <f>VLOOKUP($B27,floorspace!$B$4:$O$12,'shell factors calc'!X$2+1,FALSE)</f>
        <v>461.64859000000001</v>
      </c>
      <c r="Y27" s="8">
        <f>VLOOKUP($B27,floorspace!$B$4:$O$12,'shell factors calc'!Y$2+1,FALSE)</f>
        <v>364.49435399999999</v>
      </c>
      <c r="Z27">
        <f t="shared" si="0"/>
        <v>0.71198366644770883</v>
      </c>
    </row>
    <row r="28" spans="1:26" x14ac:dyDescent="0.2">
      <c r="A28" s="5" t="s">
        <v>45</v>
      </c>
      <c r="B28" s="5" t="s">
        <v>4</v>
      </c>
      <c r="C28" s="6" t="s">
        <v>30</v>
      </c>
      <c r="D28" s="7">
        <v>0.68881300000000001</v>
      </c>
      <c r="E28">
        <v>0.60541299999999998</v>
      </c>
      <c r="F28">
        <v>0.73625399999999996</v>
      </c>
      <c r="G28">
        <v>0.28408299999999997</v>
      </c>
      <c r="H28">
        <v>0.93962599999999996</v>
      </c>
      <c r="I28">
        <v>0.590001</v>
      </c>
      <c r="J28">
        <v>0.55577900000000002</v>
      </c>
      <c r="K28">
        <v>0.85907100000000003</v>
      </c>
      <c r="L28">
        <v>0.71432899999999999</v>
      </c>
      <c r="M28">
        <v>1.058144</v>
      </c>
      <c r="N28">
        <v>0.60820600000000002</v>
      </c>
      <c r="O28" s="8">
        <f>VLOOKUP($B28,floorspace!$B$4:$O$12,'shell factors calc'!O$2+1,FALSE)</f>
        <v>493.03372200000001</v>
      </c>
      <c r="P28" s="8">
        <f>VLOOKUP($B28,floorspace!$B$4:$O$12,'shell factors calc'!P$2+1,FALSE)</f>
        <v>613.36340299999995</v>
      </c>
      <c r="Q28" s="8">
        <f>VLOOKUP($B28,floorspace!$B$4:$O$12,'shell factors calc'!Q$2+1,FALSE)</f>
        <v>83.332572999999996</v>
      </c>
      <c r="R28" s="8">
        <f>VLOOKUP($B28,floorspace!$B$4:$O$12,'shell factors calc'!R$2+1,FALSE)</f>
        <v>59.808208</v>
      </c>
      <c r="S28" s="8">
        <f>VLOOKUP($B28,floorspace!$B$4:$O$12,'shell factors calc'!S$2+1,FALSE)</f>
        <v>89.040115</v>
      </c>
      <c r="T28" s="8">
        <f>VLOOKUP($B28,floorspace!$B$4:$O$12,'shell factors calc'!T$2+1,FALSE)</f>
        <v>316.81848100000002</v>
      </c>
      <c r="U28" s="8">
        <f>VLOOKUP($B28,floorspace!$B$4:$O$12,'shell factors calc'!U$2+1,FALSE)</f>
        <v>318.18734699999999</v>
      </c>
      <c r="V28" s="8">
        <f>VLOOKUP($B28,floorspace!$B$4:$O$12,'shell factors calc'!V$2+1,FALSE)</f>
        <v>237.53892500000001</v>
      </c>
      <c r="W28" s="8">
        <f>VLOOKUP($B28,floorspace!$B$4:$O$12,'shell factors calc'!W$2+1,FALSE)</f>
        <v>666.73236099999997</v>
      </c>
      <c r="X28" s="8">
        <f>VLOOKUP($B28,floorspace!$B$4:$O$12,'shell factors calc'!X$2+1,FALSE)</f>
        <v>461.64859000000001</v>
      </c>
      <c r="Y28" s="8">
        <f>VLOOKUP($B28,floorspace!$B$4:$O$12,'shell factors calc'!Y$2+1,FALSE)</f>
        <v>364.49435399999999</v>
      </c>
      <c r="Z28">
        <f t="shared" si="0"/>
        <v>0.70929505599949949</v>
      </c>
    </row>
    <row r="29" spans="1:26" x14ac:dyDescent="0.2">
      <c r="A29" s="5" t="s">
        <v>45</v>
      </c>
      <c r="B29" s="5" t="s">
        <v>4</v>
      </c>
      <c r="C29" s="6" t="s">
        <v>31</v>
      </c>
      <c r="D29" s="7">
        <v>0.68444400000000005</v>
      </c>
      <c r="E29">
        <v>0.59977999999999998</v>
      </c>
      <c r="F29">
        <v>0.73231100000000005</v>
      </c>
      <c r="G29">
        <v>0.27425300000000002</v>
      </c>
      <c r="H29">
        <v>0.93866799999999995</v>
      </c>
      <c r="I29">
        <v>0.58435400000000004</v>
      </c>
      <c r="J29">
        <v>0.54893000000000003</v>
      </c>
      <c r="K29">
        <v>0.85712999999999995</v>
      </c>
      <c r="L29">
        <v>0.71030099999999996</v>
      </c>
      <c r="M29">
        <v>1.071086</v>
      </c>
      <c r="N29">
        <v>0.60275400000000001</v>
      </c>
      <c r="O29" s="8">
        <f>VLOOKUP($B29,floorspace!$B$4:$O$12,'shell factors calc'!O$2+1,FALSE)</f>
        <v>493.03372200000001</v>
      </c>
      <c r="P29" s="8">
        <f>VLOOKUP($B29,floorspace!$B$4:$O$12,'shell factors calc'!P$2+1,FALSE)</f>
        <v>613.36340299999995</v>
      </c>
      <c r="Q29" s="8">
        <f>VLOOKUP($B29,floorspace!$B$4:$O$12,'shell factors calc'!Q$2+1,FALSE)</f>
        <v>83.332572999999996</v>
      </c>
      <c r="R29" s="8">
        <f>VLOOKUP($B29,floorspace!$B$4:$O$12,'shell factors calc'!R$2+1,FALSE)</f>
        <v>59.808208</v>
      </c>
      <c r="S29" s="8">
        <f>VLOOKUP($B29,floorspace!$B$4:$O$12,'shell factors calc'!S$2+1,FALSE)</f>
        <v>89.040115</v>
      </c>
      <c r="T29" s="8">
        <f>VLOOKUP($B29,floorspace!$B$4:$O$12,'shell factors calc'!T$2+1,FALSE)</f>
        <v>316.81848100000002</v>
      </c>
      <c r="U29" s="8">
        <f>VLOOKUP($B29,floorspace!$B$4:$O$12,'shell factors calc'!U$2+1,FALSE)</f>
        <v>318.18734699999999</v>
      </c>
      <c r="V29" s="8">
        <f>VLOOKUP($B29,floorspace!$B$4:$O$12,'shell factors calc'!V$2+1,FALSE)</f>
        <v>237.53892500000001</v>
      </c>
      <c r="W29" s="8">
        <f>VLOOKUP($B29,floorspace!$B$4:$O$12,'shell factors calc'!W$2+1,FALSE)</f>
        <v>666.73236099999997</v>
      </c>
      <c r="X29" s="8">
        <f>VLOOKUP($B29,floorspace!$B$4:$O$12,'shell factors calc'!X$2+1,FALSE)</f>
        <v>461.64859000000001</v>
      </c>
      <c r="Y29" s="8">
        <f>VLOOKUP($B29,floorspace!$B$4:$O$12,'shell factors calc'!Y$2+1,FALSE)</f>
        <v>364.49435399999999</v>
      </c>
      <c r="Z29">
        <f t="shared" si="0"/>
        <v>0.70666586913316454</v>
      </c>
    </row>
    <row r="30" spans="1:26" x14ac:dyDescent="0.2">
      <c r="A30" s="5" t="s">
        <v>45</v>
      </c>
      <c r="B30" s="5" t="s">
        <v>4</v>
      </c>
      <c r="C30" s="6" t="s">
        <v>32</v>
      </c>
      <c r="D30" s="7">
        <v>0.68010199999999998</v>
      </c>
      <c r="E30">
        <v>0.59419900000000003</v>
      </c>
      <c r="F30">
        <v>0.72838899999999995</v>
      </c>
      <c r="G30">
        <v>0.26476499999999997</v>
      </c>
      <c r="H30">
        <v>0.93771000000000004</v>
      </c>
      <c r="I30">
        <v>0.57876099999999997</v>
      </c>
      <c r="J30">
        <v>0.54216500000000001</v>
      </c>
      <c r="K30">
        <v>0.85519299999999998</v>
      </c>
      <c r="L30">
        <v>0.70629600000000003</v>
      </c>
      <c r="M30">
        <v>1.0841860000000001</v>
      </c>
      <c r="N30">
        <v>0.59735099999999997</v>
      </c>
      <c r="O30" s="8">
        <f>VLOOKUP($B30,floorspace!$B$4:$O$12,'shell factors calc'!O$2+1,FALSE)</f>
        <v>493.03372200000001</v>
      </c>
      <c r="P30" s="8">
        <f>VLOOKUP($B30,floorspace!$B$4:$O$12,'shell factors calc'!P$2+1,FALSE)</f>
        <v>613.36340299999995</v>
      </c>
      <c r="Q30" s="8">
        <f>VLOOKUP($B30,floorspace!$B$4:$O$12,'shell factors calc'!Q$2+1,FALSE)</f>
        <v>83.332572999999996</v>
      </c>
      <c r="R30" s="8">
        <f>VLOOKUP($B30,floorspace!$B$4:$O$12,'shell factors calc'!R$2+1,FALSE)</f>
        <v>59.808208</v>
      </c>
      <c r="S30" s="8">
        <f>VLOOKUP($B30,floorspace!$B$4:$O$12,'shell factors calc'!S$2+1,FALSE)</f>
        <v>89.040115</v>
      </c>
      <c r="T30" s="8">
        <f>VLOOKUP($B30,floorspace!$B$4:$O$12,'shell factors calc'!T$2+1,FALSE)</f>
        <v>316.81848100000002</v>
      </c>
      <c r="U30" s="8">
        <f>VLOOKUP($B30,floorspace!$B$4:$O$12,'shell factors calc'!U$2+1,FALSE)</f>
        <v>318.18734699999999</v>
      </c>
      <c r="V30" s="8">
        <f>VLOOKUP($B30,floorspace!$B$4:$O$12,'shell factors calc'!V$2+1,FALSE)</f>
        <v>237.53892500000001</v>
      </c>
      <c r="W30" s="8">
        <f>VLOOKUP($B30,floorspace!$B$4:$O$12,'shell factors calc'!W$2+1,FALSE)</f>
        <v>666.73236099999997</v>
      </c>
      <c r="X30" s="8">
        <f>VLOOKUP($B30,floorspace!$B$4:$O$12,'shell factors calc'!X$2+1,FALSE)</f>
        <v>461.64859000000001</v>
      </c>
      <c r="Y30" s="8">
        <f>VLOOKUP($B30,floorspace!$B$4:$O$12,'shell factors calc'!Y$2+1,FALSE)</f>
        <v>364.49435399999999</v>
      </c>
      <c r="Z30">
        <f t="shared" si="0"/>
        <v>0.70409562744705179</v>
      </c>
    </row>
    <row r="31" spans="1:26" x14ac:dyDescent="0.2">
      <c r="A31" s="5" t="s">
        <v>45</v>
      </c>
      <c r="B31" s="5" t="s">
        <v>4</v>
      </c>
      <c r="C31" s="6" t="s">
        <v>33</v>
      </c>
      <c r="D31" s="7">
        <v>0.67578800000000006</v>
      </c>
      <c r="E31">
        <v>0.58867000000000003</v>
      </c>
      <c r="F31">
        <v>0.72448800000000002</v>
      </c>
      <c r="G31">
        <v>0.255604</v>
      </c>
      <c r="H31">
        <v>0.93675399999999998</v>
      </c>
      <c r="I31">
        <v>0.57322200000000001</v>
      </c>
      <c r="J31">
        <v>0.53548399999999996</v>
      </c>
      <c r="K31">
        <v>0.85326100000000005</v>
      </c>
      <c r="L31">
        <v>0.70231299999999997</v>
      </c>
      <c r="M31">
        <v>1.0974470000000001</v>
      </c>
      <c r="N31">
        <v>0.591997</v>
      </c>
      <c r="O31" s="8">
        <f>VLOOKUP($B31,floorspace!$B$4:$O$12,'shell factors calc'!O$2+1,FALSE)</f>
        <v>493.03372200000001</v>
      </c>
      <c r="P31" s="8">
        <f>VLOOKUP($B31,floorspace!$B$4:$O$12,'shell factors calc'!P$2+1,FALSE)</f>
        <v>613.36340299999995</v>
      </c>
      <c r="Q31" s="8">
        <f>VLOOKUP($B31,floorspace!$B$4:$O$12,'shell factors calc'!Q$2+1,FALSE)</f>
        <v>83.332572999999996</v>
      </c>
      <c r="R31" s="8">
        <f>VLOOKUP($B31,floorspace!$B$4:$O$12,'shell factors calc'!R$2+1,FALSE)</f>
        <v>59.808208</v>
      </c>
      <c r="S31" s="8">
        <f>VLOOKUP($B31,floorspace!$B$4:$O$12,'shell factors calc'!S$2+1,FALSE)</f>
        <v>89.040115</v>
      </c>
      <c r="T31" s="8">
        <f>VLOOKUP($B31,floorspace!$B$4:$O$12,'shell factors calc'!T$2+1,FALSE)</f>
        <v>316.81848100000002</v>
      </c>
      <c r="U31" s="8">
        <f>VLOOKUP($B31,floorspace!$B$4:$O$12,'shell factors calc'!U$2+1,FALSE)</f>
        <v>318.18734699999999</v>
      </c>
      <c r="V31" s="8">
        <f>VLOOKUP($B31,floorspace!$B$4:$O$12,'shell factors calc'!V$2+1,FALSE)</f>
        <v>237.53892500000001</v>
      </c>
      <c r="W31" s="8">
        <f>VLOOKUP($B31,floorspace!$B$4:$O$12,'shell factors calc'!W$2+1,FALSE)</f>
        <v>666.73236099999997</v>
      </c>
      <c r="X31" s="8">
        <f>VLOOKUP($B31,floorspace!$B$4:$O$12,'shell factors calc'!X$2+1,FALSE)</f>
        <v>461.64859000000001</v>
      </c>
      <c r="Y31" s="8">
        <f>VLOOKUP($B31,floorspace!$B$4:$O$12,'shell factors calc'!Y$2+1,FALSE)</f>
        <v>364.49435399999999</v>
      </c>
      <c r="Z31">
        <f t="shared" si="0"/>
        <v>0.70158452795615744</v>
      </c>
    </row>
    <row r="32" spans="1:26" x14ac:dyDescent="0.2">
      <c r="A32" s="5" t="s">
        <v>45</v>
      </c>
      <c r="B32" s="5" t="s">
        <v>4</v>
      </c>
      <c r="C32" s="6" t="s">
        <v>34</v>
      </c>
      <c r="D32" s="7">
        <v>0.67150200000000004</v>
      </c>
      <c r="E32">
        <v>0.58319200000000004</v>
      </c>
      <c r="F32">
        <v>0.72060800000000003</v>
      </c>
      <c r="G32">
        <v>0.24676000000000001</v>
      </c>
      <c r="H32">
        <v>0.93579800000000002</v>
      </c>
      <c r="I32">
        <v>0.56773600000000002</v>
      </c>
      <c r="J32">
        <v>0.52888500000000005</v>
      </c>
      <c r="K32">
        <v>0.85133300000000001</v>
      </c>
      <c r="L32">
        <v>0.698353</v>
      </c>
      <c r="M32">
        <v>1.11087</v>
      </c>
      <c r="N32">
        <v>0.58669099999999996</v>
      </c>
      <c r="O32" s="8">
        <f>VLOOKUP($B32,floorspace!$B$4:$O$12,'shell factors calc'!O$2+1,FALSE)</f>
        <v>493.03372200000001</v>
      </c>
      <c r="P32" s="8">
        <f>VLOOKUP($B32,floorspace!$B$4:$O$12,'shell factors calc'!P$2+1,FALSE)</f>
        <v>613.36340299999995</v>
      </c>
      <c r="Q32" s="8">
        <f>VLOOKUP($B32,floorspace!$B$4:$O$12,'shell factors calc'!Q$2+1,FALSE)</f>
        <v>83.332572999999996</v>
      </c>
      <c r="R32" s="8">
        <f>VLOOKUP($B32,floorspace!$B$4:$O$12,'shell factors calc'!R$2+1,FALSE)</f>
        <v>59.808208</v>
      </c>
      <c r="S32" s="8">
        <f>VLOOKUP($B32,floorspace!$B$4:$O$12,'shell factors calc'!S$2+1,FALSE)</f>
        <v>89.040115</v>
      </c>
      <c r="T32" s="8">
        <f>VLOOKUP($B32,floorspace!$B$4:$O$12,'shell factors calc'!T$2+1,FALSE)</f>
        <v>316.81848100000002</v>
      </c>
      <c r="U32" s="8">
        <f>VLOOKUP($B32,floorspace!$B$4:$O$12,'shell factors calc'!U$2+1,FALSE)</f>
        <v>318.18734699999999</v>
      </c>
      <c r="V32" s="8">
        <f>VLOOKUP($B32,floorspace!$B$4:$O$12,'shell factors calc'!V$2+1,FALSE)</f>
        <v>237.53892500000001</v>
      </c>
      <c r="W32" s="8">
        <f>VLOOKUP($B32,floorspace!$B$4:$O$12,'shell factors calc'!W$2+1,FALSE)</f>
        <v>666.73236099999997</v>
      </c>
      <c r="X32" s="8">
        <f>VLOOKUP($B32,floorspace!$B$4:$O$12,'shell factors calc'!X$2+1,FALSE)</f>
        <v>461.64859000000001</v>
      </c>
      <c r="Y32" s="8">
        <f>VLOOKUP($B32,floorspace!$B$4:$O$12,'shell factors calc'!Y$2+1,FALSE)</f>
        <v>364.49435399999999</v>
      </c>
      <c r="Z32">
        <f t="shared" si="0"/>
        <v>0.69913208027922891</v>
      </c>
    </row>
    <row r="33" spans="1:26" x14ac:dyDescent="0.2">
      <c r="A33" s="5" t="s">
        <v>45</v>
      </c>
      <c r="B33" s="5" t="s">
        <v>4</v>
      </c>
      <c r="C33" s="6" t="s">
        <v>35</v>
      </c>
      <c r="D33" s="7">
        <v>0.667242</v>
      </c>
      <c r="E33">
        <v>0.577766</v>
      </c>
      <c r="F33">
        <v>0.71674800000000005</v>
      </c>
      <c r="G33">
        <v>0.23822199999999999</v>
      </c>
      <c r="H33">
        <v>0.93484400000000001</v>
      </c>
      <c r="I33">
        <v>0.56230199999999997</v>
      </c>
      <c r="J33">
        <v>0.52236700000000003</v>
      </c>
      <c r="K33">
        <v>0.84940899999999997</v>
      </c>
      <c r="L33">
        <v>0.694415</v>
      </c>
      <c r="M33">
        <v>1.124457</v>
      </c>
      <c r="N33">
        <v>0.58143199999999995</v>
      </c>
      <c r="O33" s="8">
        <f>VLOOKUP($B33,floorspace!$B$4:$O$12,'shell factors calc'!O$2+1,FALSE)</f>
        <v>493.03372200000001</v>
      </c>
      <c r="P33" s="8">
        <f>VLOOKUP($B33,floorspace!$B$4:$O$12,'shell factors calc'!P$2+1,FALSE)</f>
        <v>613.36340299999995</v>
      </c>
      <c r="Q33" s="8">
        <f>VLOOKUP($B33,floorspace!$B$4:$O$12,'shell factors calc'!Q$2+1,FALSE)</f>
        <v>83.332572999999996</v>
      </c>
      <c r="R33" s="8">
        <f>VLOOKUP($B33,floorspace!$B$4:$O$12,'shell factors calc'!R$2+1,FALSE)</f>
        <v>59.808208</v>
      </c>
      <c r="S33" s="8">
        <f>VLOOKUP($B33,floorspace!$B$4:$O$12,'shell factors calc'!S$2+1,FALSE)</f>
        <v>89.040115</v>
      </c>
      <c r="T33" s="8">
        <f>VLOOKUP($B33,floorspace!$B$4:$O$12,'shell factors calc'!T$2+1,FALSE)</f>
        <v>316.81848100000002</v>
      </c>
      <c r="U33" s="8">
        <f>VLOOKUP($B33,floorspace!$B$4:$O$12,'shell factors calc'!U$2+1,FALSE)</f>
        <v>318.18734699999999</v>
      </c>
      <c r="V33" s="8">
        <f>VLOOKUP($B33,floorspace!$B$4:$O$12,'shell factors calc'!V$2+1,FALSE)</f>
        <v>237.53892500000001</v>
      </c>
      <c r="W33" s="8">
        <f>VLOOKUP($B33,floorspace!$B$4:$O$12,'shell factors calc'!W$2+1,FALSE)</f>
        <v>666.73236099999997</v>
      </c>
      <c r="X33" s="8">
        <f>VLOOKUP($B33,floorspace!$B$4:$O$12,'shell factors calc'!X$2+1,FALSE)</f>
        <v>461.64859000000001</v>
      </c>
      <c r="Y33" s="8">
        <f>VLOOKUP($B33,floorspace!$B$4:$O$12,'shell factors calc'!Y$2+1,FALSE)</f>
        <v>364.49435399999999</v>
      </c>
      <c r="Z33">
        <f t="shared" si="0"/>
        <v>0.69673783118114074</v>
      </c>
    </row>
    <row r="34" spans="1:26" x14ac:dyDescent="0.2">
      <c r="A34" s="5" t="s">
        <v>45</v>
      </c>
      <c r="B34" s="1" t="s">
        <v>4</v>
      </c>
      <c r="C34" s="2" t="s">
        <v>36</v>
      </c>
      <c r="D34" s="4">
        <v>0.66300999999999999</v>
      </c>
      <c r="E34">
        <v>0.57238999999999995</v>
      </c>
      <c r="F34">
        <v>0.71291000000000004</v>
      </c>
      <c r="G34">
        <v>0.22997999999999999</v>
      </c>
      <c r="H34">
        <v>0.93389</v>
      </c>
      <c r="I34">
        <v>0.55691999999999997</v>
      </c>
      <c r="J34">
        <v>0.51593</v>
      </c>
      <c r="K34">
        <v>0.84748999999999997</v>
      </c>
      <c r="L34">
        <v>0.6905</v>
      </c>
      <c r="M34">
        <v>1.1382099999999999</v>
      </c>
      <c r="N34">
        <v>0.57621999999999995</v>
      </c>
      <c r="O34" s="8">
        <f>VLOOKUP($B34,floorspace!$B$4:$O$12,'shell factors calc'!O$2+1,FALSE)</f>
        <v>493.03372200000001</v>
      </c>
      <c r="P34" s="8">
        <f>VLOOKUP($B34,floorspace!$B$4:$O$12,'shell factors calc'!P$2+1,FALSE)</f>
        <v>613.36340299999995</v>
      </c>
      <c r="Q34" s="8">
        <f>VLOOKUP($B34,floorspace!$B$4:$O$12,'shell factors calc'!Q$2+1,FALSE)</f>
        <v>83.332572999999996</v>
      </c>
      <c r="R34" s="8">
        <f>VLOOKUP($B34,floorspace!$B$4:$O$12,'shell factors calc'!R$2+1,FALSE)</f>
        <v>59.808208</v>
      </c>
      <c r="S34" s="8">
        <f>VLOOKUP($B34,floorspace!$B$4:$O$12,'shell factors calc'!S$2+1,FALSE)</f>
        <v>89.040115</v>
      </c>
      <c r="T34" s="8">
        <f>VLOOKUP($B34,floorspace!$B$4:$O$12,'shell factors calc'!T$2+1,FALSE)</f>
        <v>316.81848100000002</v>
      </c>
      <c r="U34" s="8">
        <f>VLOOKUP($B34,floorspace!$B$4:$O$12,'shell factors calc'!U$2+1,FALSE)</f>
        <v>318.18734699999999</v>
      </c>
      <c r="V34" s="8">
        <f>VLOOKUP($B34,floorspace!$B$4:$O$12,'shell factors calc'!V$2+1,FALSE)</f>
        <v>237.53892500000001</v>
      </c>
      <c r="W34" s="8">
        <f>VLOOKUP($B34,floorspace!$B$4:$O$12,'shell factors calc'!W$2+1,FALSE)</f>
        <v>666.73236099999997</v>
      </c>
      <c r="X34" s="8">
        <f>VLOOKUP($B34,floorspace!$B$4:$O$12,'shell factors calc'!X$2+1,FALSE)</f>
        <v>461.64859000000001</v>
      </c>
      <c r="Y34" s="8">
        <f>VLOOKUP($B34,floorspace!$B$4:$O$12,'shell factors calc'!Y$2+1,FALSE)</f>
        <v>364.49435399999999</v>
      </c>
      <c r="Z34">
        <f t="shared" si="0"/>
        <v>0.69440204454214305</v>
      </c>
    </row>
    <row r="35" spans="1:26" x14ac:dyDescent="0.2">
      <c r="A35" s="5" t="s">
        <v>45</v>
      </c>
      <c r="B35" s="5" t="s">
        <v>37</v>
      </c>
      <c r="C35" s="6" t="s">
        <v>5</v>
      </c>
      <c r="D35" s="7">
        <v>0.73739699999999997</v>
      </c>
      <c r="E35">
        <v>0.71589700000000001</v>
      </c>
      <c r="F35">
        <v>0.86293399999999998</v>
      </c>
      <c r="G35">
        <v>0.56543600000000005</v>
      </c>
      <c r="H35">
        <v>0.84520499999999998</v>
      </c>
      <c r="I35">
        <v>0.67977699999999996</v>
      </c>
      <c r="J35">
        <v>0.70091400000000004</v>
      </c>
      <c r="K35">
        <v>0.78154100000000004</v>
      </c>
      <c r="L35">
        <v>0.81654400000000005</v>
      </c>
      <c r="M35">
        <v>0.77507599999999999</v>
      </c>
      <c r="N35">
        <v>0.71190200000000003</v>
      </c>
      <c r="O35" s="8">
        <f>VLOOKUP($B35,floorspace!$B$4:$O$12,'shell factors calc'!O$2+1,FALSE)</f>
        <v>1185.1273189999999</v>
      </c>
      <c r="P35" s="8">
        <f>VLOOKUP($B35,floorspace!$B$4:$O$12,'shell factors calc'!P$2+1,FALSE)</f>
        <v>1901.63501</v>
      </c>
      <c r="Q35" s="8">
        <f>VLOOKUP($B35,floorspace!$B$4:$O$12,'shell factors calc'!Q$2+1,FALSE)</f>
        <v>53.974445000000003</v>
      </c>
      <c r="R35" s="8">
        <f>VLOOKUP($B35,floorspace!$B$4:$O$12,'shell factors calc'!R$2+1,FALSE)</f>
        <v>76.057404000000005</v>
      </c>
      <c r="S35" s="8">
        <f>VLOOKUP($B35,floorspace!$B$4:$O$12,'shell factors calc'!S$2+1,FALSE)</f>
        <v>260.10995500000001</v>
      </c>
      <c r="T35" s="8">
        <f>VLOOKUP($B35,floorspace!$B$4:$O$12,'shell factors calc'!T$2+1,FALSE)</f>
        <v>871.65142800000001</v>
      </c>
      <c r="U35" s="8">
        <f>VLOOKUP($B35,floorspace!$B$4:$O$12,'shell factors calc'!U$2+1,FALSE)</f>
        <v>2019.4379879999999</v>
      </c>
      <c r="V35" s="8">
        <f>VLOOKUP($B35,floorspace!$B$4:$O$12,'shell factors calc'!V$2+1,FALSE)</f>
        <v>962.05139199999996</v>
      </c>
      <c r="W35" s="8">
        <f>VLOOKUP($B35,floorspace!$B$4:$O$12,'shell factors calc'!W$2+1,FALSE)</f>
        <v>1967.076904</v>
      </c>
      <c r="X35" s="8">
        <f>VLOOKUP($B35,floorspace!$B$4:$O$12,'shell factors calc'!X$2+1,FALSE)</f>
        <v>1929.18335</v>
      </c>
      <c r="Y35" s="8">
        <f>VLOOKUP($B35,floorspace!$B$4:$O$12,'shell factors calc'!Y$2+1,FALSE)</f>
        <v>816.88464399999998</v>
      </c>
      <c r="Z35">
        <f t="shared" si="0"/>
        <v>0.74627954788092654</v>
      </c>
    </row>
    <row r="36" spans="1:26" x14ac:dyDescent="0.2">
      <c r="A36" s="5" t="s">
        <v>45</v>
      </c>
      <c r="B36" s="5" t="s">
        <v>37</v>
      </c>
      <c r="C36" s="6" t="s">
        <v>6</v>
      </c>
      <c r="D36" s="7">
        <v>0.73165000000000002</v>
      </c>
      <c r="E36">
        <v>0.70955999999999997</v>
      </c>
      <c r="F36">
        <v>0.85409999999999997</v>
      </c>
      <c r="G36">
        <v>0.55637000000000003</v>
      </c>
      <c r="H36">
        <v>0.84106999999999998</v>
      </c>
      <c r="I36">
        <v>0.67093999999999998</v>
      </c>
      <c r="J36">
        <v>0.69337000000000004</v>
      </c>
      <c r="K36">
        <v>0.77688000000000001</v>
      </c>
      <c r="L36">
        <v>0.81230999999999998</v>
      </c>
      <c r="M36">
        <v>0.80083000000000004</v>
      </c>
      <c r="N36">
        <v>0.70555999999999996</v>
      </c>
      <c r="O36" s="8">
        <f>VLOOKUP($B36,floorspace!$B$4:$O$12,'shell factors calc'!O$2+1,FALSE)</f>
        <v>1185.1273189999999</v>
      </c>
      <c r="P36" s="8">
        <f>VLOOKUP($B36,floorspace!$B$4:$O$12,'shell factors calc'!P$2+1,FALSE)</f>
        <v>1901.63501</v>
      </c>
      <c r="Q36" s="8">
        <f>VLOOKUP($B36,floorspace!$B$4:$O$12,'shell factors calc'!Q$2+1,FALSE)</f>
        <v>53.974445000000003</v>
      </c>
      <c r="R36" s="8">
        <f>VLOOKUP($B36,floorspace!$B$4:$O$12,'shell factors calc'!R$2+1,FALSE)</f>
        <v>76.057404000000005</v>
      </c>
      <c r="S36" s="8">
        <f>VLOOKUP($B36,floorspace!$B$4:$O$12,'shell factors calc'!S$2+1,FALSE)</f>
        <v>260.10995500000001</v>
      </c>
      <c r="T36" s="8">
        <f>VLOOKUP($B36,floorspace!$B$4:$O$12,'shell factors calc'!T$2+1,FALSE)</f>
        <v>871.65142800000001</v>
      </c>
      <c r="U36" s="8">
        <f>VLOOKUP($B36,floorspace!$B$4:$O$12,'shell factors calc'!U$2+1,FALSE)</f>
        <v>2019.4379879999999</v>
      </c>
      <c r="V36" s="8">
        <f>VLOOKUP($B36,floorspace!$B$4:$O$12,'shell factors calc'!V$2+1,FALSE)</f>
        <v>962.05139199999996</v>
      </c>
      <c r="W36" s="8">
        <f>VLOOKUP($B36,floorspace!$B$4:$O$12,'shell factors calc'!W$2+1,FALSE)</f>
        <v>1967.076904</v>
      </c>
      <c r="X36" s="8">
        <f>VLOOKUP($B36,floorspace!$B$4:$O$12,'shell factors calc'!X$2+1,FALSE)</f>
        <v>1929.18335</v>
      </c>
      <c r="Y36" s="8">
        <f>VLOOKUP($B36,floorspace!$B$4:$O$12,'shell factors calc'!Y$2+1,FALSE)</f>
        <v>816.88464399999998</v>
      </c>
      <c r="Z36">
        <f t="shared" si="0"/>
        <v>0.74525406105574232</v>
      </c>
    </row>
    <row r="37" spans="1:26" x14ac:dyDescent="0.2">
      <c r="A37" s="5" t="s">
        <v>45</v>
      </c>
      <c r="B37" s="5" t="s">
        <v>37</v>
      </c>
      <c r="C37" s="6" t="s">
        <v>7</v>
      </c>
      <c r="D37" s="7">
        <v>0.72568600000000005</v>
      </c>
      <c r="E37">
        <v>0.70294400000000001</v>
      </c>
      <c r="F37">
        <v>0.84672000000000003</v>
      </c>
      <c r="G37">
        <v>0.54651099999999997</v>
      </c>
      <c r="H37">
        <v>0.836843</v>
      </c>
      <c r="I37">
        <v>0.66149400000000003</v>
      </c>
      <c r="J37">
        <v>0.68540900000000005</v>
      </c>
      <c r="K37">
        <v>0.772088</v>
      </c>
      <c r="L37">
        <v>0.807979</v>
      </c>
      <c r="M37">
        <v>0.82309200000000005</v>
      </c>
      <c r="N37">
        <v>0.69893400000000006</v>
      </c>
      <c r="O37" s="8">
        <f>VLOOKUP($B37,floorspace!$B$4:$O$12,'shell factors calc'!O$2+1,FALSE)</f>
        <v>1185.1273189999999</v>
      </c>
      <c r="P37" s="8">
        <f>VLOOKUP($B37,floorspace!$B$4:$O$12,'shell factors calc'!P$2+1,FALSE)</f>
        <v>1901.63501</v>
      </c>
      <c r="Q37" s="8">
        <f>VLOOKUP($B37,floorspace!$B$4:$O$12,'shell factors calc'!Q$2+1,FALSE)</f>
        <v>53.974445000000003</v>
      </c>
      <c r="R37" s="8">
        <f>VLOOKUP($B37,floorspace!$B$4:$O$12,'shell factors calc'!R$2+1,FALSE)</f>
        <v>76.057404000000005</v>
      </c>
      <c r="S37" s="8">
        <f>VLOOKUP($B37,floorspace!$B$4:$O$12,'shell factors calc'!S$2+1,FALSE)</f>
        <v>260.10995500000001</v>
      </c>
      <c r="T37" s="8">
        <f>VLOOKUP($B37,floorspace!$B$4:$O$12,'shell factors calc'!T$2+1,FALSE)</f>
        <v>871.65142800000001</v>
      </c>
      <c r="U37" s="8">
        <f>VLOOKUP($B37,floorspace!$B$4:$O$12,'shell factors calc'!U$2+1,FALSE)</f>
        <v>2019.4379879999999</v>
      </c>
      <c r="V37" s="8">
        <f>VLOOKUP($B37,floorspace!$B$4:$O$12,'shell factors calc'!V$2+1,FALSE)</f>
        <v>962.05139199999996</v>
      </c>
      <c r="W37" s="8">
        <f>VLOOKUP($B37,floorspace!$B$4:$O$12,'shell factors calc'!W$2+1,FALSE)</f>
        <v>1967.076904</v>
      </c>
      <c r="X37" s="8">
        <f>VLOOKUP($B37,floorspace!$B$4:$O$12,'shell factors calc'!X$2+1,FALSE)</f>
        <v>1929.18335</v>
      </c>
      <c r="Y37" s="8">
        <f>VLOOKUP($B37,floorspace!$B$4:$O$12,'shell factors calc'!Y$2+1,FALSE)</f>
        <v>816.88464399999998</v>
      </c>
      <c r="Z37">
        <f t="shared" si="0"/>
        <v>0.74344373451895696</v>
      </c>
    </row>
    <row r="38" spans="1:26" x14ac:dyDescent="0.2">
      <c r="A38" s="5" t="s">
        <v>45</v>
      </c>
      <c r="B38" s="5" t="s">
        <v>37</v>
      </c>
      <c r="C38" s="6" t="s">
        <v>8</v>
      </c>
      <c r="D38" s="7">
        <v>0.71977000000000002</v>
      </c>
      <c r="E38">
        <v>0.69638999999999995</v>
      </c>
      <c r="F38">
        <v>0.83940300000000001</v>
      </c>
      <c r="G38">
        <v>0.53682600000000003</v>
      </c>
      <c r="H38">
        <v>0.83263699999999996</v>
      </c>
      <c r="I38">
        <v>0.65218200000000004</v>
      </c>
      <c r="J38">
        <v>0.677539</v>
      </c>
      <c r="K38">
        <v>0.76732599999999995</v>
      </c>
      <c r="L38">
        <v>0.80367</v>
      </c>
      <c r="M38">
        <v>0.84597199999999995</v>
      </c>
      <c r="N38">
        <v>0.69237000000000004</v>
      </c>
      <c r="O38" s="8">
        <f>VLOOKUP($B38,floorspace!$B$4:$O$12,'shell factors calc'!O$2+1,FALSE)</f>
        <v>1185.1273189999999</v>
      </c>
      <c r="P38" s="8">
        <f>VLOOKUP($B38,floorspace!$B$4:$O$12,'shell factors calc'!P$2+1,FALSE)</f>
        <v>1901.63501</v>
      </c>
      <c r="Q38" s="8">
        <f>VLOOKUP($B38,floorspace!$B$4:$O$12,'shell factors calc'!Q$2+1,FALSE)</f>
        <v>53.974445000000003</v>
      </c>
      <c r="R38" s="8">
        <f>VLOOKUP($B38,floorspace!$B$4:$O$12,'shell factors calc'!R$2+1,FALSE)</f>
        <v>76.057404000000005</v>
      </c>
      <c r="S38" s="8">
        <f>VLOOKUP($B38,floorspace!$B$4:$O$12,'shell factors calc'!S$2+1,FALSE)</f>
        <v>260.10995500000001</v>
      </c>
      <c r="T38" s="8">
        <f>VLOOKUP($B38,floorspace!$B$4:$O$12,'shell factors calc'!T$2+1,FALSE)</f>
        <v>871.65142800000001</v>
      </c>
      <c r="U38" s="8">
        <f>VLOOKUP($B38,floorspace!$B$4:$O$12,'shell factors calc'!U$2+1,FALSE)</f>
        <v>2019.4379879999999</v>
      </c>
      <c r="V38" s="8">
        <f>VLOOKUP($B38,floorspace!$B$4:$O$12,'shell factors calc'!V$2+1,FALSE)</f>
        <v>962.05139199999996</v>
      </c>
      <c r="W38" s="8">
        <f>VLOOKUP($B38,floorspace!$B$4:$O$12,'shell factors calc'!W$2+1,FALSE)</f>
        <v>1967.076904</v>
      </c>
      <c r="X38" s="8">
        <f>VLOOKUP($B38,floorspace!$B$4:$O$12,'shell factors calc'!X$2+1,FALSE)</f>
        <v>1929.18335</v>
      </c>
      <c r="Y38" s="8">
        <f>VLOOKUP($B38,floorspace!$B$4:$O$12,'shell factors calc'!Y$2+1,FALSE)</f>
        <v>816.88464399999998</v>
      </c>
      <c r="Z38">
        <f t="shared" si="0"/>
        <v>0.74178390579327347</v>
      </c>
    </row>
    <row r="39" spans="1:26" x14ac:dyDescent="0.2">
      <c r="A39" s="5" t="s">
        <v>45</v>
      </c>
      <c r="B39" s="5" t="s">
        <v>37</v>
      </c>
      <c r="C39" s="6" t="s">
        <v>9</v>
      </c>
      <c r="D39" s="7">
        <v>0.71390299999999995</v>
      </c>
      <c r="E39">
        <v>0.68989699999999998</v>
      </c>
      <c r="F39">
        <v>0.83214900000000003</v>
      </c>
      <c r="G39">
        <v>0.52731399999999995</v>
      </c>
      <c r="H39">
        <v>0.82845199999999997</v>
      </c>
      <c r="I39">
        <v>0.64300100000000004</v>
      </c>
      <c r="J39">
        <v>0.66976000000000002</v>
      </c>
      <c r="K39">
        <v>0.76259299999999997</v>
      </c>
      <c r="L39">
        <v>0.79938500000000001</v>
      </c>
      <c r="M39">
        <v>0.86948800000000004</v>
      </c>
      <c r="N39">
        <v>0.68586800000000003</v>
      </c>
      <c r="O39" s="8">
        <f>VLOOKUP($B39,floorspace!$B$4:$O$12,'shell factors calc'!O$2+1,FALSE)</f>
        <v>1185.1273189999999</v>
      </c>
      <c r="P39" s="8">
        <f>VLOOKUP($B39,floorspace!$B$4:$O$12,'shell factors calc'!P$2+1,FALSE)</f>
        <v>1901.63501</v>
      </c>
      <c r="Q39" s="8">
        <f>VLOOKUP($B39,floorspace!$B$4:$O$12,'shell factors calc'!Q$2+1,FALSE)</f>
        <v>53.974445000000003</v>
      </c>
      <c r="R39" s="8">
        <f>VLOOKUP($B39,floorspace!$B$4:$O$12,'shell factors calc'!R$2+1,FALSE)</f>
        <v>76.057404000000005</v>
      </c>
      <c r="S39" s="8">
        <f>VLOOKUP($B39,floorspace!$B$4:$O$12,'shell factors calc'!S$2+1,FALSE)</f>
        <v>260.10995500000001</v>
      </c>
      <c r="T39" s="8">
        <f>VLOOKUP($B39,floorspace!$B$4:$O$12,'shell factors calc'!T$2+1,FALSE)</f>
        <v>871.65142800000001</v>
      </c>
      <c r="U39" s="8">
        <f>VLOOKUP($B39,floorspace!$B$4:$O$12,'shell factors calc'!U$2+1,FALSE)</f>
        <v>2019.4379879999999</v>
      </c>
      <c r="V39" s="8">
        <f>VLOOKUP($B39,floorspace!$B$4:$O$12,'shell factors calc'!V$2+1,FALSE)</f>
        <v>962.05139199999996</v>
      </c>
      <c r="W39" s="8">
        <f>VLOOKUP($B39,floorspace!$B$4:$O$12,'shell factors calc'!W$2+1,FALSE)</f>
        <v>1967.076904</v>
      </c>
      <c r="X39" s="8">
        <f>VLOOKUP($B39,floorspace!$B$4:$O$12,'shell factors calc'!X$2+1,FALSE)</f>
        <v>1929.18335</v>
      </c>
      <c r="Y39" s="8">
        <f>VLOOKUP($B39,floorspace!$B$4:$O$12,'shell factors calc'!Y$2+1,FALSE)</f>
        <v>816.88464399999998</v>
      </c>
      <c r="Z39">
        <f t="shared" si="0"/>
        <v>0.74027742212130754</v>
      </c>
    </row>
    <row r="40" spans="1:26" x14ac:dyDescent="0.2">
      <c r="A40" s="5" t="s">
        <v>45</v>
      </c>
      <c r="B40" s="5" t="s">
        <v>37</v>
      </c>
      <c r="C40" s="6" t="s">
        <v>10</v>
      </c>
      <c r="D40" s="7">
        <v>0.70808400000000005</v>
      </c>
      <c r="E40">
        <v>0.68346499999999999</v>
      </c>
      <c r="F40">
        <v>0.824959</v>
      </c>
      <c r="G40">
        <v>0.51796900000000001</v>
      </c>
      <c r="H40">
        <v>0.82428800000000002</v>
      </c>
      <c r="I40">
        <v>0.63394899999999998</v>
      </c>
      <c r="J40">
        <v>0.66207000000000005</v>
      </c>
      <c r="K40">
        <v>0.75788900000000003</v>
      </c>
      <c r="L40">
        <v>0.795122</v>
      </c>
      <c r="M40">
        <v>0.89365799999999995</v>
      </c>
      <c r="N40">
        <v>0.679427</v>
      </c>
      <c r="O40" s="8">
        <f>VLOOKUP($B40,floorspace!$B$4:$O$12,'shell factors calc'!O$2+1,FALSE)</f>
        <v>1185.1273189999999</v>
      </c>
      <c r="P40" s="8">
        <f>VLOOKUP($B40,floorspace!$B$4:$O$12,'shell factors calc'!P$2+1,FALSE)</f>
        <v>1901.63501</v>
      </c>
      <c r="Q40" s="8">
        <f>VLOOKUP($B40,floorspace!$B$4:$O$12,'shell factors calc'!Q$2+1,FALSE)</f>
        <v>53.974445000000003</v>
      </c>
      <c r="R40" s="8">
        <f>VLOOKUP($B40,floorspace!$B$4:$O$12,'shell factors calc'!R$2+1,FALSE)</f>
        <v>76.057404000000005</v>
      </c>
      <c r="S40" s="8">
        <f>VLOOKUP($B40,floorspace!$B$4:$O$12,'shell factors calc'!S$2+1,FALSE)</f>
        <v>260.10995500000001</v>
      </c>
      <c r="T40" s="8">
        <f>VLOOKUP($B40,floorspace!$B$4:$O$12,'shell factors calc'!T$2+1,FALSE)</f>
        <v>871.65142800000001</v>
      </c>
      <c r="U40" s="8">
        <f>VLOOKUP($B40,floorspace!$B$4:$O$12,'shell factors calc'!U$2+1,FALSE)</f>
        <v>2019.4379879999999</v>
      </c>
      <c r="V40" s="8">
        <f>VLOOKUP($B40,floorspace!$B$4:$O$12,'shell factors calc'!V$2+1,FALSE)</f>
        <v>962.05139199999996</v>
      </c>
      <c r="W40" s="8">
        <f>VLOOKUP($B40,floorspace!$B$4:$O$12,'shell factors calc'!W$2+1,FALSE)</f>
        <v>1967.076904</v>
      </c>
      <c r="X40" s="8">
        <f>VLOOKUP($B40,floorspace!$B$4:$O$12,'shell factors calc'!X$2+1,FALSE)</f>
        <v>1929.18335</v>
      </c>
      <c r="Y40" s="8">
        <f>VLOOKUP($B40,floorspace!$B$4:$O$12,'shell factors calc'!Y$2+1,FALSE)</f>
        <v>816.88464399999998</v>
      </c>
      <c r="Z40">
        <f t="shared" si="0"/>
        <v>0.73892616046306869</v>
      </c>
    </row>
    <row r="41" spans="1:26" x14ac:dyDescent="0.2">
      <c r="A41" s="5" t="s">
        <v>45</v>
      </c>
      <c r="B41" s="5" t="s">
        <v>37</v>
      </c>
      <c r="C41" s="6" t="s">
        <v>11</v>
      </c>
      <c r="D41" s="7">
        <v>0.70231200000000005</v>
      </c>
      <c r="E41">
        <v>0.67709200000000003</v>
      </c>
      <c r="F41">
        <v>0.81782999999999995</v>
      </c>
      <c r="G41">
        <v>0.50879099999999999</v>
      </c>
      <c r="H41">
        <v>0.82014500000000001</v>
      </c>
      <c r="I41">
        <v>0.62502400000000002</v>
      </c>
      <c r="J41">
        <v>0.65446899999999997</v>
      </c>
      <c r="K41">
        <v>0.75321499999999997</v>
      </c>
      <c r="L41">
        <v>0.79088199999999997</v>
      </c>
      <c r="M41">
        <v>0.91849999999999998</v>
      </c>
      <c r="N41">
        <v>0.67304600000000003</v>
      </c>
      <c r="O41" s="8">
        <f>VLOOKUP($B41,floorspace!$B$4:$O$12,'shell factors calc'!O$2+1,FALSE)</f>
        <v>1185.1273189999999</v>
      </c>
      <c r="P41" s="8">
        <f>VLOOKUP($B41,floorspace!$B$4:$O$12,'shell factors calc'!P$2+1,FALSE)</f>
        <v>1901.63501</v>
      </c>
      <c r="Q41" s="8">
        <f>VLOOKUP($B41,floorspace!$B$4:$O$12,'shell factors calc'!Q$2+1,FALSE)</f>
        <v>53.974445000000003</v>
      </c>
      <c r="R41" s="8">
        <f>VLOOKUP($B41,floorspace!$B$4:$O$12,'shell factors calc'!R$2+1,FALSE)</f>
        <v>76.057404000000005</v>
      </c>
      <c r="S41" s="8">
        <f>VLOOKUP($B41,floorspace!$B$4:$O$12,'shell factors calc'!S$2+1,FALSE)</f>
        <v>260.10995500000001</v>
      </c>
      <c r="T41" s="8">
        <f>VLOOKUP($B41,floorspace!$B$4:$O$12,'shell factors calc'!T$2+1,FALSE)</f>
        <v>871.65142800000001</v>
      </c>
      <c r="U41" s="8">
        <f>VLOOKUP($B41,floorspace!$B$4:$O$12,'shell factors calc'!U$2+1,FALSE)</f>
        <v>2019.4379879999999</v>
      </c>
      <c r="V41" s="8">
        <f>VLOOKUP($B41,floorspace!$B$4:$O$12,'shell factors calc'!V$2+1,FALSE)</f>
        <v>962.05139199999996</v>
      </c>
      <c r="W41" s="8">
        <f>VLOOKUP($B41,floorspace!$B$4:$O$12,'shell factors calc'!W$2+1,FALSE)</f>
        <v>1967.076904</v>
      </c>
      <c r="X41" s="8">
        <f>VLOOKUP($B41,floorspace!$B$4:$O$12,'shell factors calc'!X$2+1,FALSE)</f>
        <v>1929.18335</v>
      </c>
      <c r="Y41" s="8">
        <f>VLOOKUP($B41,floorspace!$B$4:$O$12,'shell factors calc'!Y$2+1,FALSE)</f>
        <v>816.88464399999998</v>
      </c>
      <c r="Z41">
        <f t="shared" si="0"/>
        <v>0.73773260719640421</v>
      </c>
    </row>
    <row r="42" spans="1:26" x14ac:dyDescent="0.2">
      <c r="A42" s="5" t="s">
        <v>45</v>
      </c>
      <c r="B42" s="5" t="s">
        <v>37</v>
      </c>
      <c r="C42" s="6" t="s">
        <v>12</v>
      </c>
      <c r="D42" s="7">
        <v>0.69658699999999996</v>
      </c>
      <c r="E42">
        <v>0.67077900000000001</v>
      </c>
      <c r="F42">
        <v>0.81076300000000001</v>
      </c>
      <c r="G42">
        <v>0.49977500000000002</v>
      </c>
      <c r="H42">
        <v>0.81602200000000003</v>
      </c>
      <c r="I42">
        <v>0.61622500000000002</v>
      </c>
      <c r="J42">
        <v>0.64695400000000003</v>
      </c>
      <c r="K42">
        <v>0.74856900000000004</v>
      </c>
      <c r="L42">
        <v>0.78666499999999995</v>
      </c>
      <c r="M42">
        <v>0.94403300000000001</v>
      </c>
      <c r="N42">
        <v>0.66672500000000001</v>
      </c>
      <c r="O42" s="8">
        <f>VLOOKUP($B42,floorspace!$B$4:$O$12,'shell factors calc'!O$2+1,FALSE)</f>
        <v>1185.1273189999999</v>
      </c>
      <c r="P42" s="8">
        <f>VLOOKUP($B42,floorspace!$B$4:$O$12,'shell factors calc'!P$2+1,FALSE)</f>
        <v>1901.63501</v>
      </c>
      <c r="Q42" s="8">
        <f>VLOOKUP($B42,floorspace!$B$4:$O$12,'shell factors calc'!Q$2+1,FALSE)</f>
        <v>53.974445000000003</v>
      </c>
      <c r="R42" s="8">
        <f>VLOOKUP($B42,floorspace!$B$4:$O$12,'shell factors calc'!R$2+1,FALSE)</f>
        <v>76.057404000000005</v>
      </c>
      <c r="S42" s="8">
        <f>VLOOKUP($B42,floorspace!$B$4:$O$12,'shell factors calc'!S$2+1,FALSE)</f>
        <v>260.10995500000001</v>
      </c>
      <c r="T42" s="8">
        <f>VLOOKUP($B42,floorspace!$B$4:$O$12,'shell factors calc'!T$2+1,FALSE)</f>
        <v>871.65142800000001</v>
      </c>
      <c r="U42" s="8">
        <f>VLOOKUP($B42,floorspace!$B$4:$O$12,'shell factors calc'!U$2+1,FALSE)</f>
        <v>2019.4379879999999</v>
      </c>
      <c r="V42" s="8">
        <f>VLOOKUP($B42,floorspace!$B$4:$O$12,'shell factors calc'!V$2+1,FALSE)</f>
        <v>962.05139199999996</v>
      </c>
      <c r="W42" s="8">
        <f>VLOOKUP($B42,floorspace!$B$4:$O$12,'shell factors calc'!W$2+1,FALSE)</f>
        <v>1967.076904</v>
      </c>
      <c r="X42" s="8">
        <f>VLOOKUP($B42,floorspace!$B$4:$O$12,'shell factors calc'!X$2+1,FALSE)</f>
        <v>1929.18335</v>
      </c>
      <c r="Y42" s="8">
        <f>VLOOKUP($B42,floorspace!$B$4:$O$12,'shell factors calc'!Y$2+1,FALSE)</f>
        <v>816.88464399999998</v>
      </c>
      <c r="Z42">
        <f t="shared" si="0"/>
        <v>0.73669917992232659</v>
      </c>
    </row>
    <row r="43" spans="1:26" x14ac:dyDescent="0.2">
      <c r="A43" s="5" t="s">
        <v>45</v>
      </c>
      <c r="B43" s="5" t="s">
        <v>37</v>
      </c>
      <c r="C43" s="6" t="s">
        <v>13</v>
      </c>
      <c r="D43" s="7">
        <v>0.690909</v>
      </c>
      <c r="E43">
        <v>0.66452500000000003</v>
      </c>
      <c r="F43">
        <v>0.80375700000000005</v>
      </c>
      <c r="G43">
        <v>0.49091800000000002</v>
      </c>
      <c r="H43">
        <v>0.811921</v>
      </c>
      <c r="I43">
        <v>0.60755000000000003</v>
      </c>
      <c r="J43">
        <v>0.63952600000000004</v>
      </c>
      <c r="K43">
        <v>0.74395100000000003</v>
      </c>
      <c r="L43">
        <v>0.78247</v>
      </c>
      <c r="M43">
        <v>0.970275</v>
      </c>
      <c r="N43">
        <v>0.66046400000000005</v>
      </c>
      <c r="O43" s="8">
        <f>VLOOKUP($B43,floorspace!$B$4:$O$12,'shell factors calc'!O$2+1,FALSE)</f>
        <v>1185.1273189999999</v>
      </c>
      <c r="P43" s="8">
        <f>VLOOKUP($B43,floorspace!$B$4:$O$12,'shell factors calc'!P$2+1,FALSE)</f>
        <v>1901.63501</v>
      </c>
      <c r="Q43" s="8">
        <f>VLOOKUP($B43,floorspace!$B$4:$O$12,'shell factors calc'!Q$2+1,FALSE)</f>
        <v>53.974445000000003</v>
      </c>
      <c r="R43" s="8">
        <f>VLOOKUP($B43,floorspace!$B$4:$O$12,'shell factors calc'!R$2+1,FALSE)</f>
        <v>76.057404000000005</v>
      </c>
      <c r="S43" s="8">
        <f>VLOOKUP($B43,floorspace!$B$4:$O$12,'shell factors calc'!S$2+1,FALSE)</f>
        <v>260.10995500000001</v>
      </c>
      <c r="T43" s="8">
        <f>VLOOKUP($B43,floorspace!$B$4:$O$12,'shell factors calc'!T$2+1,FALSE)</f>
        <v>871.65142800000001</v>
      </c>
      <c r="U43" s="8">
        <f>VLOOKUP($B43,floorspace!$B$4:$O$12,'shell factors calc'!U$2+1,FALSE)</f>
        <v>2019.4379879999999</v>
      </c>
      <c r="V43" s="8">
        <f>VLOOKUP($B43,floorspace!$B$4:$O$12,'shell factors calc'!V$2+1,FALSE)</f>
        <v>962.05139199999996</v>
      </c>
      <c r="W43" s="8">
        <f>VLOOKUP($B43,floorspace!$B$4:$O$12,'shell factors calc'!W$2+1,FALSE)</f>
        <v>1967.076904</v>
      </c>
      <c r="X43" s="8">
        <f>VLOOKUP($B43,floorspace!$B$4:$O$12,'shell factors calc'!X$2+1,FALSE)</f>
        <v>1929.18335</v>
      </c>
      <c r="Y43" s="8">
        <f>VLOOKUP($B43,floorspace!$B$4:$O$12,'shell factors calc'!Y$2+1,FALSE)</f>
        <v>816.88464399999998</v>
      </c>
      <c r="Z43">
        <f t="shared" si="0"/>
        <v>0.73582848349861818</v>
      </c>
    </row>
    <row r="44" spans="1:26" x14ac:dyDescent="0.2">
      <c r="A44" s="5" t="s">
        <v>45</v>
      </c>
      <c r="B44" s="5" t="s">
        <v>37</v>
      </c>
      <c r="C44" s="6" t="s">
        <v>14</v>
      </c>
      <c r="D44" s="7">
        <v>0.68527700000000003</v>
      </c>
      <c r="E44">
        <v>0.65832900000000005</v>
      </c>
      <c r="F44">
        <v>0.79681100000000005</v>
      </c>
      <c r="G44">
        <v>0.48221900000000001</v>
      </c>
      <c r="H44">
        <v>0.80784</v>
      </c>
      <c r="I44">
        <v>0.59899599999999997</v>
      </c>
      <c r="J44">
        <v>0.63218300000000005</v>
      </c>
      <c r="K44">
        <v>0.73936299999999999</v>
      </c>
      <c r="L44">
        <v>0.77829800000000005</v>
      </c>
      <c r="M44">
        <v>0.99724699999999999</v>
      </c>
      <c r="N44">
        <v>0.65426099999999998</v>
      </c>
      <c r="O44" s="8">
        <f>VLOOKUP($B44,floorspace!$B$4:$O$12,'shell factors calc'!O$2+1,FALSE)</f>
        <v>1185.1273189999999</v>
      </c>
      <c r="P44" s="8">
        <f>VLOOKUP($B44,floorspace!$B$4:$O$12,'shell factors calc'!P$2+1,FALSE)</f>
        <v>1901.63501</v>
      </c>
      <c r="Q44" s="8">
        <f>VLOOKUP($B44,floorspace!$B$4:$O$12,'shell factors calc'!Q$2+1,FALSE)</f>
        <v>53.974445000000003</v>
      </c>
      <c r="R44" s="8">
        <f>VLOOKUP($B44,floorspace!$B$4:$O$12,'shell factors calc'!R$2+1,FALSE)</f>
        <v>76.057404000000005</v>
      </c>
      <c r="S44" s="8">
        <f>VLOOKUP($B44,floorspace!$B$4:$O$12,'shell factors calc'!S$2+1,FALSE)</f>
        <v>260.10995500000001</v>
      </c>
      <c r="T44" s="8">
        <f>VLOOKUP($B44,floorspace!$B$4:$O$12,'shell factors calc'!T$2+1,FALSE)</f>
        <v>871.65142800000001</v>
      </c>
      <c r="U44" s="8">
        <f>VLOOKUP($B44,floorspace!$B$4:$O$12,'shell factors calc'!U$2+1,FALSE)</f>
        <v>2019.4379879999999</v>
      </c>
      <c r="V44" s="8">
        <f>VLOOKUP($B44,floorspace!$B$4:$O$12,'shell factors calc'!V$2+1,FALSE)</f>
        <v>962.05139199999996</v>
      </c>
      <c r="W44" s="8">
        <f>VLOOKUP($B44,floorspace!$B$4:$O$12,'shell factors calc'!W$2+1,FALSE)</f>
        <v>1967.076904</v>
      </c>
      <c r="X44" s="8">
        <f>VLOOKUP($B44,floorspace!$B$4:$O$12,'shell factors calc'!X$2+1,FALSE)</f>
        <v>1929.18335</v>
      </c>
      <c r="Y44" s="8">
        <f>VLOOKUP($B44,floorspace!$B$4:$O$12,'shell factors calc'!Y$2+1,FALSE)</f>
        <v>816.88464399999998</v>
      </c>
      <c r="Z44">
        <f t="shared" si="0"/>
        <v>0.7351232065332669</v>
      </c>
    </row>
    <row r="45" spans="1:26" x14ac:dyDescent="0.2">
      <c r="A45" s="5" t="s">
        <v>45</v>
      </c>
      <c r="B45" s="5" t="s">
        <v>37</v>
      </c>
      <c r="C45" s="6" t="s">
        <v>15</v>
      </c>
      <c r="D45" s="7">
        <v>0.67969100000000005</v>
      </c>
      <c r="E45">
        <v>0.65219099999999997</v>
      </c>
      <c r="F45">
        <v>0.78992600000000002</v>
      </c>
      <c r="G45">
        <v>0.47367399999999998</v>
      </c>
      <c r="H45">
        <v>0.80378000000000005</v>
      </c>
      <c r="I45">
        <v>0.59056399999999998</v>
      </c>
      <c r="J45">
        <v>0.62492499999999995</v>
      </c>
      <c r="K45">
        <v>0.73480199999999996</v>
      </c>
      <c r="L45">
        <v>0.77414799999999995</v>
      </c>
      <c r="M45">
        <v>1.0249680000000001</v>
      </c>
      <c r="N45">
        <v>0.64811700000000005</v>
      </c>
      <c r="O45" s="8">
        <f>VLOOKUP($B45,floorspace!$B$4:$O$12,'shell factors calc'!O$2+1,FALSE)</f>
        <v>1185.1273189999999</v>
      </c>
      <c r="P45" s="8">
        <f>VLOOKUP($B45,floorspace!$B$4:$O$12,'shell factors calc'!P$2+1,FALSE)</f>
        <v>1901.63501</v>
      </c>
      <c r="Q45" s="8">
        <f>VLOOKUP($B45,floorspace!$B$4:$O$12,'shell factors calc'!Q$2+1,FALSE)</f>
        <v>53.974445000000003</v>
      </c>
      <c r="R45" s="8">
        <f>VLOOKUP($B45,floorspace!$B$4:$O$12,'shell factors calc'!R$2+1,FALSE)</f>
        <v>76.057404000000005</v>
      </c>
      <c r="S45" s="8">
        <f>VLOOKUP($B45,floorspace!$B$4:$O$12,'shell factors calc'!S$2+1,FALSE)</f>
        <v>260.10995500000001</v>
      </c>
      <c r="T45" s="8">
        <f>VLOOKUP($B45,floorspace!$B$4:$O$12,'shell factors calc'!T$2+1,FALSE)</f>
        <v>871.65142800000001</v>
      </c>
      <c r="U45" s="8">
        <f>VLOOKUP($B45,floorspace!$B$4:$O$12,'shell factors calc'!U$2+1,FALSE)</f>
        <v>2019.4379879999999</v>
      </c>
      <c r="V45" s="8">
        <f>VLOOKUP($B45,floorspace!$B$4:$O$12,'shell factors calc'!V$2+1,FALSE)</f>
        <v>962.05139199999996</v>
      </c>
      <c r="W45" s="8">
        <f>VLOOKUP($B45,floorspace!$B$4:$O$12,'shell factors calc'!W$2+1,FALSE)</f>
        <v>1967.076904</v>
      </c>
      <c r="X45" s="8">
        <f>VLOOKUP($B45,floorspace!$B$4:$O$12,'shell factors calc'!X$2+1,FALSE)</f>
        <v>1929.18335</v>
      </c>
      <c r="Y45" s="8">
        <f>VLOOKUP($B45,floorspace!$B$4:$O$12,'shell factors calc'!Y$2+1,FALSE)</f>
        <v>816.88464399999998</v>
      </c>
      <c r="Z45">
        <f t="shared" si="0"/>
        <v>0.7345861306517284</v>
      </c>
    </row>
    <row r="46" spans="1:26" x14ac:dyDescent="0.2">
      <c r="A46" s="5" t="s">
        <v>45</v>
      </c>
      <c r="B46" s="5" t="s">
        <v>37</v>
      </c>
      <c r="C46" s="6" t="s">
        <v>16</v>
      </c>
      <c r="D46" s="7">
        <v>0.67415000000000003</v>
      </c>
      <c r="E46">
        <v>0.64610999999999996</v>
      </c>
      <c r="F46">
        <v>0.78310000000000002</v>
      </c>
      <c r="G46">
        <v>0.46528000000000003</v>
      </c>
      <c r="H46">
        <v>0.79974000000000001</v>
      </c>
      <c r="I46">
        <v>0.58225000000000005</v>
      </c>
      <c r="J46">
        <v>0.61775000000000002</v>
      </c>
      <c r="K46">
        <v>0.73026999999999997</v>
      </c>
      <c r="L46">
        <v>0.77002000000000004</v>
      </c>
      <c r="M46">
        <v>1.0534600000000001</v>
      </c>
      <c r="N46">
        <v>0.64202999999999999</v>
      </c>
      <c r="O46" s="8">
        <f>VLOOKUP($B46,floorspace!$B$4:$O$12,'shell factors calc'!O$2+1,FALSE)</f>
        <v>1185.1273189999999</v>
      </c>
      <c r="P46" s="8">
        <f>VLOOKUP($B46,floorspace!$B$4:$O$12,'shell factors calc'!P$2+1,FALSE)</f>
        <v>1901.63501</v>
      </c>
      <c r="Q46" s="8">
        <f>VLOOKUP($B46,floorspace!$B$4:$O$12,'shell factors calc'!Q$2+1,FALSE)</f>
        <v>53.974445000000003</v>
      </c>
      <c r="R46" s="8">
        <f>VLOOKUP($B46,floorspace!$B$4:$O$12,'shell factors calc'!R$2+1,FALSE)</f>
        <v>76.057404000000005</v>
      </c>
      <c r="S46" s="8">
        <f>VLOOKUP($B46,floorspace!$B$4:$O$12,'shell factors calc'!S$2+1,FALSE)</f>
        <v>260.10995500000001</v>
      </c>
      <c r="T46" s="8">
        <f>VLOOKUP($B46,floorspace!$B$4:$O$12,'shell factors calc'!T$2+1,FALSE)</f>
        <v>871.65142800000001</v>
      </c>
      <c r="U46" s="8">
        <f>VLOOKUP($B46,floorspace!$B$4:$O$12,'shell factors calc'!U$2+1,FALSE)</f>
        <v>2019.4379879999999</v>
      </c>
      <c r="V46" s="8">
        <f>VLOOKUP($B46,floorspace!$B$4:$O$12,'shell factors calc'!V$2+1,FALSE)</f>
        <v>962.05139199999996</v>
      </c>
      <c r="W46" s="8">
        <f>VLOOKUP($B46,floorspace!$B$4:$O$12,'shell factors calc'!W$2+1,FALSE)</f>
        <v>1967.076904</v>
      </c>
      <c r="X46" s="8">
        <f>VLOOKUP($B46,floorspace!$B$4:$O$12,'shell factors calc'!X$2+1,FALSE)</f>
        <v>1929.18335</v>
      </c>
      <c r="Y46" s="8">
        <f>VLOOKUP($B46,floorspace!$B$4:$O$12,'shell factors calc'!Y$2+1,FALSE)</f>
        <v>816.88464399999998</v>
      </c>
      <c r="Z46">
        <f t="shared" si="0"/>
        <v>0.73421987342397754</v>
      </c>
    </row>
    <row r="47" spans="1:26" x14ac:dyDescent="0.2">
      <c r="A47" s="5" t="s">
        <v>45</v>
      </c>
      <c r="B47" s="5" t="s">
        <v>37</v>
      </c>
      <c r="C47" s="6" t="s">
        <v>17</v>
      </c>
      <c r="D47" s="7">
        <v>0.66819799999999996</v>
      </c>
      <c r="E47">
        <v>0.63949999999999996</v>
      </c>
      <c r="F47">
        <v>0.77895000000000003</v>
      </c>
      <c r="G47">
        <v>0.45530599999999999</v>
      </c>
      <c r="H47">
        <v>0.79552900000000004</v>
      </c>
      <c r="I47">
        <v>0.57275799999999999</v>
      </c>
      <c r="J47">
        <v>0.60977800000000004</v>
      </c>
      <c r="K47">
        <v>0.72549399999999997</v>
      </c>
      <c r="L47">
        <v>0.76570499999999997</v>
      </c>
      <c r="M47">
        <v>1.0762480000000001</v>
      </c>
      <c r="N47">
        <v>0.63540799999999997</v>
      </c>
      <c r="O47" s="8">
        <f>VLOOKUP($B47,floorspace!$B$4:$O$12,'shell factors calc'!O$2+1,FALSE)</f>
        <v>1185.1273189999999</v>
      </c>
      <c r="P47" s="8">
        <f>VLOOKUP($B47,floorspace!$B$4:$O$12,'shell factors calc'!P$2+1,FALSE)</f>
        <v>1901.63501</v>
      </c>
      <c r="Q47" s="8">
        <f>VLOOKUP($B47,floorspace!$B$4:$O$12,'shell factors calc'!Q$2+1,FALSE)</f>
        <v>53.974445000000003</v>
      </c>
      <c r="R47" s="8">
        <f>VLOOKUP($B47,floorspace!$B$4:$O$12,'shell factors calc'!R$2+1,FALSE)</f>
        <v>76.057404000000005</v>
      </c>
      <c r="S47" s="8">
        <f>VLOOKUP($B47,floorspace!$B$4:$O$12,'shell factors calc'!S$2+1,FALSE)</f>
        <v>260.10995500000001</v>
      </c>
      <c r="T47" s="8">
        <f>VLOOKUP($B47,floorspace!$B$4:$O$12,'shell factors calc'!T$2+1,FALSE)</f>
        <v>871.65142800000001</v>
      </c>
      <c r="U47" s="8">
        <f>VLOOKUP($B47,floorspace!$B$4:$O$12,'shell factors calc'!U$2+1,FALSE)</f>
        <v>2019.4379879999999</v>
      </c>
      <c r="V47" s="8">
        <f>VLOOKUP($B47,floorspace!$B$4:$O$12,'shell factors calc'!V$2+1,FALSE)</f>
        <v>962.05139199999996</v>
      </c>
      <c r="W47" s="8">
        <f>VLOOKUP($B47,floorspace!$B$4:$O$12,'shell factors calc'!W$2+1,FALSE)</f>
        <v>1967.076904</v>
      </c>
      <c r="X47" s="8">
        <f>VLOOKUP($B47,floorspace!$B$4:$O$12,'shell factors calc'!X$2+1,FALSE)</f>
        <v>1929.18335</v>
      </c>
      <c r="Y47" s="8">
        <f>VLOOKUP($B47,floorspace!$B$4:$O$12,'shell factors calc'!Y$2+1,FALSE)</f>
        <v>816.88464399999998</v>
      </c>
      <c r="Z47">
        <f t="shared" si="0"/>
        <v>0.73250901872305374</v>
      </c>
    </row>
    <row r="48" spans="1:26" x14ac:dyDescent="0.2">
      <c r="A48" s="5" t="s">
        <v>45</v>
      </c>
      <c r="B48" s="5" t="s">
        <v>37</v>
      </c>
      <c r="C48" s="6" t="s">
        <v>18</v>
      </c>
      <c r="D48" s="7">
        <v>0.66229899999999997</v>
      </c>
      <c r="E48">
        <v>0.63295699999999999</v>
      </c>
      <c r="F48">
        <v>0.77482300000000004</v>
      </c>
      <c r="G48">
        <v>0.44554500000000002</v>
      </c>
      <c r="H48">
        <v>0.79133900000000001</v>
      </c>
      <c r="I48">
        <v>0.56342099999999995</v>
      </c>
      <c r="J48">
        <v>0.601908</v>
      </c>
      <c r="K48">
        <v>0.72074899999999997</v>
      </c>
      <c r="L48">
        <v>0.76141400000000004</v>
      </c>
      <c r="M48">
        <v>1.099529</v>
      </c>
      <c r="N48">
        <v>0.62885400000000002</v>
      </c>
      <c r="O48" s="8">
        <f>VLOOKUP($B48,floorspace!$B$4:$O$12,'shell factors calc'!O$2+1,FALSE)</f>
        <v>1185.1273189999999</v>
      </c>
      <c r="P48" s="8">
        <f>VLOOKUP($B48,floorspace!$B$4:$O$12,'shell factors calc'!P$2+1,FALSE)</f>
        <v>1901.63501</v>
      </c>
      <c r="Q48" s="8">
        <f>VLOOKUP($B48,floorspace!$B$4:$O$12,'shell factors calc'!Q$2+1,FALSE)</f>
        <v>53.974445000000003</v>
      </c>
      <c r="R48" s="8">
        <f>VLOOKUP($B48,floorspace!$B$4:$O$12,'shell factors calc'!R$2+1,FALSE)</f>
        <v>76.057404000000005</v>
      </c>
      <c r="S48" s="8">
        <f>VLOOKUP($B48,floorspace!$B$4:$O$12,'shell factors calc'!S$2+1,FALSE)</f>
        <v>260.10995500000001</v>
      </c>
      <c r="T48" s="8">
        <f>VLOOKUP($B48,floorspace!$B$4:$O$12,'shell factors calc'!T$2+1,FALSE)</f>
        <v>871.65142800000001</v>
      </c>
      <c r="U48" s="8">
        <f>VLOOKUP($B48,floorspace!$B$4:$O$12,'shell factors calc'!U$2+1,FALSE)</f>
        <v>2019.4379879999999</v>
      </c>
      <c r="V48" s="8">
        <f>VLOOKUP($B48,floorspace!$B$4:$O$12,'shell factors calc'!V$2+1,FALSE)</f>
        <v>962.05139199999996</v>
      </c>
      <c r="W48" s="8">
        <f>VLOOKUP($B48,floorspace!$B$4:$O$12,'shell factors calc'!W$2+1,FALSE)</f>
        <v>1967.076904</v>
      </c>
      <c r="X48" s="8">
        <f>VLOOKUP($B48,floorspace!$B$4:$O$12,'shell factors calc'!X$2+1,FALSE)</f>
        <v>1929.18335</v>
      </c>
      <c r="Y48" s="8">
        <f>VLOOKUP($B48,floorspace!$B$4:$O$12,'shell factors calc'!Y$2+1,FALSE)</f>
        <v>816.88464399999998</v>
      </c>
      <c r="Z48">
        <f t="shared" si="0"/>
        <v>0.73093416477410011</v>
      </c>
    </row>
    <row r="49" spans="1:26" x14ac:dyDescent="0.2">
      <c r="A49" s="5" t="s">
        <v>45</v>
      </c>
      <c r="B49" s="5" t="s">
        <v>37</v>
      </c>
      <c r="C49" s="6" t="s">
        <v>19</v>
      </c>
      <c r="D49" s="7">
        <v>0.65645100000000001</v>
      </c>
      <c r="E49">
        <v>0.62648199999999998</v>
      </c>
      <c r="F49">
        <v>0.77071699999999999</v>
      </c>
      <c r="G49">
        <v>0.43599399999999999</v>
      </c>
      <c r="H49">
        <v>0.78717199999999998</v>
      </c>
      <c r="I49">
        <v>0.55423599999999995</v>
      </c>
      <c r="J49">
        <v>0.59414</v>
      </c>
      <c r="K49">
        <v>0.71603499999999998</v>
      </c>
      <c r="L49">
        <v>0.75714700000000001</v>
      </c>
      <c r="M49">
        <v>1.123313</v>
      </c>
      <c r="N49">
        <v>0.62236800000000003</v>
      </c>
      <c r="O49" s="8">
        <f>VLOOKUP($B49,floorspace!$B$4:$O$12,'shell factors calc'!O$2+1,FALSE)</f>
        <v>1185.1273189999999</v>
      </c>
      <c r="P49" s="8">
        <f>VLOOKUP($B49,floorspace!$B$4:$O$12,'shell factors calc'!P$2+1,FALSE)</f>
        <v>1901.63501</v>
      </c>
      <c r="Q49" s="8">
        <f>VLOOKUP($B49,floorspace!$B$4:$O$12,'shell factors calc'!Q$2+1,FALSE)</f>
        <v>53.974445000000003</v>
      </c>
      <c r="R49" s="8">
        <f>VLOOKUP($B49,floorspace!$B$4:$O$12,'shell factors calc'!R$2+1,FALSE)</f>
        <v>76.057404000000005</v>
      </c>
      <c r="S49" s="8">
        <f>VLOOKUP($B49,floorspace!$B$4:$O$12,'shell factors calc'!S$2+1,FALSE)</f>
        <v>260.10995500000001</v>
      </c>
      <c r="T49" s="8">
        <f>VLOOKUP($B49,floorspace!$B$4:$O$12,'shell factors calc'!T$2+1,FALSE)</f>
        <v>871.65142800000001</v>
      </c>
      <c r="U49" s="8">
        <f>VLOOKUP($B49,floorspace!$B$4:$O$12,'shell factors calc'!U$2+1,FALSE)</f>
        <v>2019.4379879999999</v>
      </c>
      <c r="V49" s="8">
        <f>VLOOKUP($B49,floorspace!$B$4:$O$12,'shell factors calc'!V$2+1,FALSE)</f>
        <v>962.05139199999996</v>
      </c>
      <c r="W49" s="8">
        <f>VLOOKUP($B49,floorspace!$B$4:$O$12,'shell factors calc'!W$2+1,FALSE)</f>
        <v>1967.076904</v>
      </c>
      <c r="X49" s="8">
        <f>VLOOKUP($B49,floorspace!$B$4:$O$12,'shell factors calc'!X$2+1,FALSE)</f>
        <v>1929.18335</v>
      </c>
      <c r="Y49" s="8">
        <f>VLOOKUP($B49,floorspace!$B$4:$O$12,'shell factors calc'!Y$2+1,FALSE)</f>
        <v>816.88464399999998</v>
      </c>
      <c r="Z49">
        <f t="shared" si="0"/>
        <v>0.7294966727080644</v>
      </c>
    </row>
    <row r="50" spans="1:26" x14ac:dyDescent="0.2">
      <c r="A50" s="5" t="s">
        <v>45</v>
      </c>
      <c r="B50" s="5" t="s">
        <v>37</v>
      </c>
      <c r="C50" s="6" t="s">
        <v>20</v>
      </c>
      <c r="D50" s="7">
        <v>0.65065600000000001</v>
      </c>
      <c r="E50">
        <v>0.62007199999999996</v>
      </c>
      <c r="F50">
        <v>0.76663300000000001</v>
      </c>
      <c r="G50">
        <v>0.42664800000000003</v>
      </c>
      <c r="H50">
        <v>0.78302700000000003</v>
      </c>
      <c r="I50">
        <v>0.54520100000000005</v>
      </c>
      <c r="J50">
        <v>0.58647199999999999</v>
      </c>
      <c r="K50">
        <v>0.71135199999999998</v>
      </c>
      <c r="L50">
        <v>0.75290400000000002</v>
      </c>
      <c r="M50">
        <v>1.1476120000000001</v>
      </c>
      <c r="N50">
        <v>0.61594899999999997</v>
      </c>
      <c r="O50" s="8">
        <f>VLOOKUP($B50,floorspace!$B$4:$O$12,'shell factors calc'!O$2+1,FALSE)</f>
        <v>1185.1273189999999</v>
      </c>
      <c r="P50" s="8">
        <f>VLOOKUP($B50,floorspace!$B$4:$O$12,'shell factors calc'!P$2+1,FALSE)</f>
        <v>1901.63501</v>
      </c>
      <c r="Q50" s="8">
        <f>VLOOKUP($B50,floorspace!$B$4:$O$12,'shell factors calc'!Q$2+1,FALSE)</f>
        <v>53.974445000000003</v>
      </c>
      <c r="R50" s="8">
        <f>VLOOKUP($B50,floorspace!$B$4:$O$12,'shell factors calc'!R$2+1,FALSE)</f>
        <v>76.057404000000005</v>
      </c>
      <c r="S50" s="8">
        <f>VLOOKUP($B50,floorspace!$B$4:$O$12,'shell factors calc'!S$2+1,FALSE)</f>
        <v>260.10995500000001</v>
      </c>
      <c r="T50" s="8">
        <f>VLOOKUP($B50,floorspace!$B$4:$O$12,'shell factors calc'!T$2+1,FALSE)</f>
        <v>871.65142800000001</v>
      </c>
      <c r="U50" s="8">
        <f>VLOOKUP($B50,floorspace!$B$4:$O$12,'shell factors calc'!U$2+1,FALSE)</f>
        <v>2019.4379879999999</v>
      </c>
      <c r="V50" s="8">
        <f>VLOOKUP($B50,floorspace!$B$4:$O$12,'shell factors calc'!V$2+1,FALSE)</f>
        <v>962.05139199999996</v>
      </c>
      <c r="W50" s="8">
        <f>VLOOKUP($B50,floorspace!$B$4:$O$12,'shell factors calc'!W$2+1,FALSE)</f>
        <v>1967.076904</v>
      </c>
      <c r="X50" s="8">
        <f>VLOOKUP($B50,floorspace!$B$4:$O$12,'shell factors calc'!X$2+1,FALSE)</f>
        <v>1929.18335</v>
      </c>
      <c r="Y50" s="8">
        <f>VLOOKUP($B50,floorspace!$B$4:$O$12,'shell factors calc'!Y$2+1,FALSE)</f>
        <v>816.88464399999998</v>
      </c>
      <c r="Z50">
        <f t="shared" si="0"/>
        <v>0.72819759125572048</v>
      </c>
    </row>
    <row r="51" spans="1:26" x14ac:dyDescent="0.2">
      <c r="A51" s="5" t="s">
        <v>45</v>
      </c>
      <c r="B51" s="5" t="s">
        <v>37</v>
      </c>
      <c r="C51" s="6" t="s">
        <v>21</v>
      </c>
      <c r="D51" s="7">
        <v>0.64491100000000001</v>
      </c>
      <c r="E51">
        <v>0.61372899999999997</v>
      </c>
      <c r="F51">
        <v>0.762571</v>
      </c>
      <c r="G51">
        <v>0.41750199999999998</v>
      </c>
      <c r="H51">
        <v>0.77890400000000004</v>
      </c>
      <c r="I51">
        <v>0.53631300000000004</v>
      </c>
      <c r="J51">
        <v>0.57890299999999995</v>
      </c>
      <c r="K51">
        <v>0.70669999999999999</v>
      </c>
      <c r="L51">
        <v>0.74868400000000002</v>
      </c>
      <c r="M51">
        <v>1.172437</v>
      </c>
      <c r="N51">
        <v>0.60959600000000003</v>
      </c>
      <c r="O51" s="8">
        <f>VLOOKUP($B51,floorspace!$B$4:$O$12,'shell factors calc'!O$2+1,FALSE)</f>
        <v>1185.1273189999999</v>
      </c>
      <c r="P51" s="8">
        <f>VLOOKUP($B51,floorspace!$B$4:$O$12,'shell factors calc'!P$2+1,FALSE)</f>
        <v>1901.63501</v>
      </c>
      <c r="Q51" s="8">
        <f>VLOOKUP($B51,floorspace!$B$4:$O$12,'shell factors calc'!Q$2+1,FALSE)</f>
        <v>53.974445000000003</v>
      </c>
      <c r="R51" s="8">
        <f>VLOOKUP($B51,floorspace!$B$4:$O$12,'shell factors calc'!R$2+1,FALSE)</f>
        <v>76.057404000000005</v>
      </c>
      <c r="S51" s="8">
        <f>VLOOKUP($B51,floorspace!$B$4:$O$12,'shell factors calc'!S$2+1,FALSE)</f>
        <v>260.10995500000001</v>
      </c>
      <c r="T51" s="8">
        <f>VLOOKUP($B51,floorspace!$B$4:$O$12,'shell factors calc'!T$2+1,FALSE)</f>
        <v>871.65142800000001</v>
      </c>
      <c r="U51" s="8">
        <f>VLOOKUP($B51,floorspace!$B$4:$O$12,'shell factors calc'!U$2+1,FALSE)</f>
        <v>2019.4379879999999</v>
      </c>
      <c r="V51" s="8">
        <f>VLOOKUP($B51,floorspace!$B$4:$O$12,'shell factors calc'!V$2+1,FALSE)</f>
        <v>962.05139199999996</v>
      </c>
      <c r="W51" s="8">
        <f>VLOOKUP($B51,floorspace!$B$4:$O$12,'shell factors calc'!W$2+1,FALSE)</f>
        <v>1967.076904</v>
      </c>
      <c r="X51" s="8">
        <f>VLOOKUP($B51,floorspace!$B$4:$O$12,'shell factors calc'!X$2+1,FALSE)</f>
        <v>1929.18335</v>
      </c>
      <c r="Y51" s="8">
        <f>VLOOKUP($B51,floorspace!$B$4:$O$12,'shell factors calc'!Y$2+1,FALSE)</f>
        <v>816.88464399999998</v>
      </c>
      <c r="Z51">
        <f t="shared" si="0"/>
        <v>0.72703805552033041</v>
      </c>
    </row>
    <row r="52" spans="1:26" x14ac:dyDescent="0.2">
      <c r="A52" s="5" t="s">
        <v>45</v>
      </c>
      <c r="B52" s="5" t="s">
        <v>37</v>
      </c>
      <c r="C52" s="6" t="s">
        <v>22</v>
      </c>
      <c r="D52" s="7">
        <v>0.63921700000000004</v>
      </c>
      <c r="E52">
        <v>0.60745000000000005</v>
      </c>
      <c r="F52">
        <v>0.75853000000000004</v>
      </c>
      <c r="G52">
        <v>0.40855200000000003</v>
      </c>
      <c r="H52">
        <v>0.77480199999999999</v>
      </c>
      <c r="I52">
        <v>0.52756999999999998</v>
      </c>
      <c r="J52">
        <v>0.57143200000000005</v>
      </c>
      <c r="K52">
        <v>0.70207799999999998</v>
      </c>
      <c r="L52">
        <v>0.74448899999999996</v>
      </c>
      <c r="M52">
        <v>1.1977979999999999</v>
      </c>
      <c r="N52">
        <v>0.60330799999999996</v>
      </c>
      <c r="O52" s="8">
        <f>VLOOKUP($B52,floorspace!$B$4:$O$12,'shell factors calc'!O$2+1,FALSE)</f>
        <v>1185.1273189999999</v>
      </c>
      <c r="P52" s="8">
        <f>VLOOKUP($B52,floorspace!$B$4:$O$12,'shell factors calc'!P$2+1,FALSE)</f>
        <v>1901.63501</v>
      </c>
      <c r="Q52" s="8">
        <f>VLOOKUP($B52,floorspace!$B$4:$O$12,'shell factors calc'!Q$2+1,FALSE)</f>
        <v>53.974445000000003</v>
      </c>
      <c r="R52" s="8">
        <f>VLOOKUP($B52,floorspace!$B$4:$O$12,'shell factors calc'!R$2+1,FALSE)</f>
        <v>76.057404000000005</v>
      </c>
      <c r="S52" s="8">
        <f>VLOOKUP($B52,floorspace!$B$4:$O$12,'shell factors calc'!S$2+1,FALSE)</f>
        <v>260.10995500000001</v>
      </c>
      <c r="T52" s="8">
        <f>VLOOKUP($B52,floorspace!$B$4:$O$12,'shell factors calc'!T$2+1,FALSE)</f>
        <v>871.65142800000001</v>
      </c>
      <c r="U52" s="8">
        <f>VLOOKUP($B52,floorspace!$B$4:$O$12,'shell factors calc'!U$2+1,FALSE)</f>
        <v>2019.4379879999999</v>
      </c>
      <c r="V52" s="8">
        <f>VLOOKUP($B52,floorspace!$B$4:$O$12,'shell factors calc'!V$2+1,FALSE)</f>
        <v>962.05139199999996</v>
      </c>
      <c r="W52" s="8">
        <f>VLOOKUP($B52,floorspace!$B$4:$O$12,'shell factors calc'!W$2+1,FALSE)</f>
        <v>1967.076904</v>
      </c>
      <c r="X52" s="8">
        <f>VLOOKUP($B52,floorspace!$B$4:$O$12,'shell factors calc'!X$2+1,FALSE)</f>
        <v>1929.18335</v>
      </c>
      <c r="Y52" s="8">
        <f>VLOOKUP($B52,floorspace!$B$4:$O$12,'shell factors calc'!Y$2+1,FALSE)</f>
        <v>816.88464399999998</v>
      </c>
      <c r="Z52">
        <f t="shared" si="0"/>
        <v>0.72601910727063401</v>
      </c>
    </row>
    <row r="53" spans="1:26" x14ac:dyDescent="0.2">
      <c r="A53" s="5" t="s">
        <v>45</v>
      </c>
      <c r="B53" s="5" t="s">
        <v>37</v>
      </c>
      <c r="C53" s="6" t="s">
        <v>23</v>
      </c>
      <c r="D53" s="7">
        <v>0.63357399999999997</v>
      </c>
      <c r="E53">
        <v>0.60123499999999996</v>
      </c>
      <c r="F53">
        <v>0.75451100000000004</v>
      </c>
      <c r="G53">
        <v>0.39979399999999998</v>
      </c>
      <c r="H53">
        <v>0.77072200000000002</v>
      </c>
      <c r="I53">
        <v>0.51896900000000001</v>
      </c>
      <c r="J53">
        <v>0.56405799999999995</v>
      </c>
      <c r="K53">
        <v>0.69748600000000005</v>
      </c>
      <c r="L53">
        <v>0.740317</v>
      </c>
      <c r="M53">
        <v>1.223708</v>
      </c>
      <c r="N53">
        <v>0.59708600000000001</v>
      </c>
      <c r="O53" s="8">
        <f>VLOOKUP($B53,floorspace!$B$4:$O$12,'shell factors calc'!O$2+1,FALSE)</f>
        <v>1185.1273189999999</v>
      </c>
      <c r="P53" s="8">
        <f>VLOOKUP($B53,floorspace!$B$4:$O$12,'shell factors calc'!P$2+1,FALSE)</f>
        <v>1901.63501</v>
      </c>
      <c r="Q53" s="8">
        <f>VLOOKUP($B53,floorspace!$B$4:$O$12,'shell factors calc'!Q$2+1,FALSE)</f>
        <v>53.974445000000003</v>
      </c>
      <c r="R53" s="8">
        <f>VLOOKUP($B53,floorspace!$B$4:$O$12,'shell factors calc'!R$2+1,FALSE)</f>
        <v>76.057404000000005</v>
      </c>
      <c r="S53" s="8">
        <f>VLOOKUP($B53,floorspace!$B$4:$O$12,'shell factors calc'!S$2+1,FALSE)</f>
        <v>260.10995500000001</v>
      </c>
      <c r="T53" s="8">
        <f>VLOOKUP($B53,floorspace!$B$4:$O$12,'shell factors calc'!T$2+1,FALSE)</f>
        <v>871.65142800000001</v>
      </c>
      <c r="U53" s="8">
        <f>VLOOKUP($B53,floorspace!$B$4:$O$12,'shell factors calc'!U$2+1,FALSE)</f>
        <v>2019.4379879999999</v>
      </c>
      <c r="V53" s="8">
        <f>VLOOKUP($B53,floorspace!$B$4:$O$12,'shell factors calc'!V$2+1,FALSE)</f>
        <v>962.05139199999996</v>
      </c>
      <c r="W53" s="8">
        <f>VLOOKUP($B53,floorspace!$B$4:$O$12,'shell factors calc'!W$2+1,FALSE)</f>
        <v>1967.076904</v>
      </c>
      <c r="X53" s="8">
        <f>VLOOKUP($B53,floorspace!$B$4:$O$12,'shell factors calc'!X$2+1,FALSE)</f>
        <v>1929.18335</v>
      </c>
      <c r="Y53" s="8">
        <f>VLOOKUP($B53,floorspace!$B$4:$O$12,'shell factors calc'!Y$2+1,FALSE)</f>
        <v>816.88464399999998</v>
      </c>
      <c r="Z53">
        <f t="shared" si="0"/>
        <v>0.72514218612330517</v>
      </c>
    </row>
    <row r="54" spans="1:26" x14ac:dyDescent="0.2">
      <c r="A54" s="5" t="s">
        <v>45</v>
      </c>
      <c r="B54" s="5" t="s">
        <v>37</v>
      </c>
      <c r="C54" s="6" t="s">
        <v>24</v>
      </c>
      <c r="D54" s="7">
        <v>0.62797999999999998</v>
      </c>
      <c r="E54">
        <v>0.59508399999999995</v>
      </c>
      <c r="F54">
        <v>0.75051299999999999</v>
      </c>
      <c r="G54">
        <v>0.39122400000000002</v>
      </c>
      <c r="H54">
        <v>0.76666299999999998</v>
      </c>
      <c r="I54">
        <v>0.51050899999999999</v>
      </c>
      <c r="J54">
        <v>0.556778</v>
      </c>
      <c r="K54">
        <v>0.69292399999999998</v>
      </c>
      <c r="L54">
        <v>0.73616800000000004</v>
      </c>
      <c r="M54">
        <v>1.2501789999999999</v>
      </c>
      <c r="N54">
        <v>0.59092699999999998</v>
      </c>
      <c r="O54" s="8">
        <f>VLOOKUP($B54,floorspace!$B$4:$O$12,'shell factors calc'!O$2+1,FALSE)</f>
        <v>1185.1273189999999</v>
      </c>
      <c r="P54" s="8">
        <f>VLOOKUP($B54,floorspace!$B$4:$O$12,'shell factors calc'!P$2+1,FALSE)</f>
        <v>1901.63501</v>
      </c>
      <c r="Q54" s="8">
        <f>VLOOKUP($B54,floorspace!$B$4:$O$12,'shell factors calc'!Q$2+1,FALSE)</f>
        <v>53.974445000000003</v>
      </c>
      <c r="R54" s="8">
        <f>VLOOKUP($B54,floorspace!$B$4:$O$12,'shell factors calc'!R$2+1,FALSE)</f>
        <v>76.057404000000005</v>
      </c>
      <c r="S54" s="8">
        <f>VLOOKUP($B54,floorspace!$B$4:$O$12,'shell factors calc'!S$2+1,FALSE)</f>
        <v>260.10995500000001</v>
      </c>
      <c r="T54" s="8">
        <f>VLOOKUP($B54,floorspace!$B$4:$O$12,'shell factors calc'!T$2+1,FALSE)</f>
        <v>871.65142800000001</v>
      </c>
      <c r="U54" s="8">
        <f>VLOOKUP($B54,floorspace!$B$4:$O$12,'shell factors calc'!U$2+1,FALSE)</f>
        <v>2019.4379879999999</v>
      </c>
      <c r="V54" s="8">
        <f>VLOOKUP($B54,floorspace!$B$4:$O$12,'shell factors calc'!V$2+1,FALSE)</f>
        <v>962.05139199999996</v>
      </c>
      <c r="W54" s="8">
        <f>VLOOKUP($B54,floorspace!$B$4:$O$12,'shell factors calc'!W$2+1,FALSE)</f>
        <v>1967.076904</v>
      </c>
      <c r="X54" s="8">
        <f>VLOOKUP($B54,floorspace!$B$4:$O$12,'shell factors calc'!X$2+1,FALSE)</f>
        <v>1929.18335</v>
      </c>
      <c r="Y54" s="8">
        <f>VLOOKUP($B54,floorspace!$B$4:$O$12,'shell factors calc'!Y$2+1,FALSE)</f>
        <v>816.88464399999998</v>
      </c>
      <c r="Z54">
        <f t="shared" si="0"/>
        <v>0.72440818727408252</v>
      </c>
    </row>
    <row r="55" spans="1:26" x14ac:dyDescent="0.2">
      <c r="A55" s="5" t="s">
        <v>45</v>
      </c>
      <c r="B55" s="5" t="s">
        <v>37</v>
      </c>
      <c r="C55" s="6" t="s">
        <v>25</v>
      </c>
      <c r="D55" s="7">
        <v>0.62243499999999996</v>
      </c>
      <c r="E55">
        <v>0.58899599999999996</v>
      </c>
      <c r="F55">
        <v>0.74653599999999998</v>
      </c>
      <c r="G55">
        <v>0.38283699999999998</v>
      </c>
      <c r="H55">
        <v>0.76262600000000003</v>
      </c>
      <c r="I55">
        <v>0.50218700000000005</v>
      </c>
      <c r="J55">
        <v>0.549593</v>
      </c>
      <c r="K55">
        <v>0.688392</v>
      </c>
      <c r="L55">
        <v>0.73204199999999997</v>
      </c>
      <c r="M55">
        <v>1.2772220000000001</v>
      </c>
      <c r="N55">
        <v>0.58483200000000002</v>
      </c>
      <c r="O55" s="8">
        <f>VLOOKUP($B55,floorspace!$B$4:$O$12,'shell factors calc'!O$2+1,FALSE)</f>
        <v>1185.1273189999999</v>
      </c>
      <c r="P55" s="8">
        <f>VLOOKUP($B55,floorspace!$B$4:$O$12,'shell factors calc'!P$2+1,FALSE)</f>
        <v>1901.63501</v>
      </c>
      <c r="Q55" s="8">
        <f>VLOOKUP($B55,floorspace!$B$4:$O$12,'shell factors calc'!Q$2+1,FALSE)</f>
        <v>53.974445000000003</v>
      </c>
      <c r="R55" s="8">
        <f>VLOOKUP($B55,floorspace!$B$4:$O$12,'shell factors calc'!R$2+1,FALSE)</f>
        <v>76.057404000000005</v>
      </c>
      <c r="S55" s="8">
        <f>VLOOKUP($B55,floorspace!$B$4:$O$12,'shell factors calc'!S$2+1,FALSE)</f>
        <v>260.10995500000001</v>
      </c>
      <c r="T55" s="8">
        <f>VLOOKUP($B55,floorspace!$B$4:$O$12,'shell factors calc'!T$2+1,FALSE)</f>
        <v>871.65142800000001</v>
      </c>
      <c r="U55" s="8">
        <f>VLOOKUP($B55,floorspace!$B$4:$O$12,'shell factors calc'!U$2+1,FALSE)</f>
        <v>2019.4379879999999</v>
      </c>
      <c r="V55" s="8">
        <f>VLOOKUP($B55,floorspace!$B$4:$O$12,'shell factors calc'!V$2+1,FALSE)</f>
        <v>962.05139199999996</v>
      </c>
      <c r="W55" s="8">
        <f>VLOOKUP($B55,floorspace!$B$4:$O$12,'shell factors calc'!W$2+1,FALSE)</f>
        <v>1967.076904</v>
      </c>
      <c r="X55" s="8">
        <f>VLOOKUP($B55,floorspace!$B$4:$O$12,'shell factors calc'!X$2+1,FALSE)</f>
        <v>1929.18335</v>
      </c>
      <c r="Y55" s="8">
        <f>VLOOKUP($B55,floorspace!$B$4:$O$12,'shell factors calc'!Y$2+1,FALSE)</f>
        <v>816.88464399999998</v>
      </c>
      <c r="Z55">
        <f t="shared" si="0"/>
        <v>0.72381872330014707</v>
      </c>
    </row>
    <row r="56" spans="1:26" x14ac:dyDescent="0.2">
      <c r="A56" s="5" t="s">
        <v>45</v>
      </c>
      <c r="B56" s="5" t="s">
        <v>37</v>
      </c>
      <c r="C56" s="6" t="s">
        <v>26</v>
      </c>
      <c r="D56" s="7">
        <v>0.61694000000000004</v>
      </c>
      <c r="E56">
        <v>0.58296999999999999</v>
      </c>
      <c r="F56">
        <v>0.74258000000000002</v>
      </c>
      <c r="G56">
        <v>0.37463000000000002</v>
      </c>
      <c r="H56">
        <v>0.75861000000000001</v>
      </c>
      <c r="I56">
        <v>0.49399999999999999</v>
      </c>
      <c r="J56">
        <v>0.54249999999999998</v>
      </c>
      <c r="K56">
        <v>0.68389</v>
      </c>
      <c r="L56">
        <v>0.72794000000000003</v>
      </c>
      <c r="M56">
        <v>1.3048500000000001</v>
      </c>
      <c r="N56">
        <v>0.57879999999999998</v>
      </c>
      <c r="O56" s="8">
        <f>VLOOKUP($B56,floorspace!$B$4:$O$12,'shell factors calc'!O$2+1,FALSE)</f>
        <v>1185.1273189999999</v>
      </c>
      <c r="P56" s="8">
        <f>VLOOKUP($B56,floorspace!$B$4:$O$12,'shell factors calc'!P$2+1,FALSE)</f>
        <v>1901.63501</v>
      </c>
      <c r="Q56" s="8">
        <f>VLOOKUP($B56,floorspace!$B$4:$O$12,'shell factors calc'!Q$2+1,FALSE)</f>
        <v>53.974445000000003</v>
      </c>
      <c r="R56" s="8">
        <f>VLOOKUP($B56,floorspace!$B$4:$O$12,'shell factors calc'!R$2+1,FALSE)</f>
        <v>76.057404000000005</v>
      </c>
      <c r="S56" s="8">
        <f>VLOOKUP($B56,floorspace!$B$4:$O$12,'shell factors calc'!S$2+1,FALSE)</f>
        <v>260.10995500000001</v>
      </c>
      <c r="T56" s="8">
        <f>VLOOKUP($B56,floorspace!$B$4:$O$12,'shell factors calc'!T$2+1,FALSE)</f>
        <v>871.65142800000001</v>
      </c>
      <c r="U56" s="8">
        <f>VLOOKUP($B56,floorspace!$B$4:$O$12,'shell factors calc'!U$2+1,FALSE)</f>
        <v>2019.4379879999999</v>
      </c>
      <c r="V56" s="8">
        <f>VLOOKUP($B56,floorspace!$B$4:$O$12,'shell factors calc'!V$2+1,FALSE)</f>
        <v>962.05139199999996</v>
      </c>
      <c r="W56" s="8">
        <f>VLOOKUP($B56,floorspace!$B$4:$O$12,'shell factors calc'!W$2+1,FALSE)</f>
        <v>1967.076904</v>
      </c>
      <c r="X56" s="8">
        <f>VLOOKUP($B56,floorspace!$B$4:$O$12,'shell factors calc'!X$2+1,FALSE)</f>
        <v>1929.18335</v>
      </c>
      <c r="Y56" s="8">
        <f>VLOOKUP($B56,floorspace!$B$4:$O$12,'shell factors calc'!Y$2+1,FALSE)</f>
        <v>816.88464399999998</v>
      </c>
      <c r="Z56">
        <f t="shared" si="0"/>
        <v>0.72337515194126056</v>
      </c>
    </row>
    <row r="57" spans="1:26" x14ac:dyDescent="0.2">
      <c r="A57" s="5" t="s">
        <v>45</v>
      </c>
      <c r="B57" s="5" t="s">
        <v>37</v>
      </c>
      <c r="C57" s="6" t="s">
        <v>27</v>
      </c>
      <c r="D57" s="7">
        <v>0.61099499999999995</v>
      </c>
      <c r="E57">
        <v>0.57635999999999998</v>
      </c>
      <c r="F57">
        <v>0.73864399999999997</v>
      </c>
      <c r="G57">
        <v>0.364452</v>
      </c>
      <c r="H57">
        <v>0.75441499999999995</v>
      </c>
      <c r="I57">
        <v>0.484844</v>
      </c>
      <c r="J57">
        <v>0.53450299999999995</v>
      </c>
      <c r="K57">
        <v>0.67912899999999998</v>
      </c>
      <c r="L57">
        <v>0.72363900000000003</v>
      </c>
      <c r="M57">
        <v>1.3279380000000001</v>
      </c>
      <c r="N57">
        <v>0.57225000000000004</v>
      </c>
      <c r="O57" s="8">
        <f>VLOOKUP($B57,floorspace!$B$4:$O$12,'shell factors calc'!O$2+1,FALSE)</f>
        <v>1185.1273189999999</v>
      </c>
      <c r="P57" s="8">
        <f>VLOOKUP($B57,floorspace!$B$4:$O$12,'shell factors calc'!P$2+1,FALSE)</f>
        <v>1901.63501</v>
      </c>
      <c r="Q57" s="8">
        <f>VLOOKUP($B57,floorspace!$B$4:$O$12,'shell factors calc'!Q$2+1,FALSE)</f>
        <v>53.974445000000003</v>
      </c>
      <c r="R57" s="8">
        <f>VLOOKUP($B57,floorspace!$B$4:$O$12,'shell factors calc'!R$2+1,FALSE)</f>
        <v>76.057404000000005</v>
      </c>
      <c r="S57" s="8">
        <f>VLOOKUP($B57,floorspace!$B$4:$O$12,'shell factors calc'!S$2+1,FALSE)</f>
        <v>260.10995500000001</v>
      </c>
      <c r="T57" s="8">
        <f>VLOOKUP($B57,floorspace!$B$4:$O$12,'shell factors calc'!T$2+1,FALSE)</f>
        <v>871.65142800000001</v>
      </c>
      <c r="U57" s="8">
        <f>VLOOKUP($B57,floorspace!$B$4:$O$12,'shell factors calc'!U$2+1,FALSE)</f>
        <v>2019.4379879999999</v>
      </c>
      <c r="V57" s="8">
        <f>VLOOKUP($B57,floorspace!$B$4:$O$12,'shell factors calc'!V$2+1,FALSE)</f>
        <v>962.05139199999996</v>
      </c>
      <c r="W57" s="8">
        <f>VLOOKUP($B57,floorspace!$B$4:$O$12,'shell factors calc'!W$2+1,FALSE)</f>
        <v>1967.076904</v>
      </c>
      <c r="X57" s="8">
        <f>VLOOKUP($B57,floorspace!$B$4:$O$12,'shell factors calc'!X$2+1,FALSE)</f>
        <v>1929.18335</v>
      </c>
      <c r="Y57" s="8">
        <f>VLOOKUP($B57,floorspace!$B$4:$O$12,'shell factors calc'!Y$2+1,FALSE)</f>
        <v>816.88464399999998</v>
      </c>
      <c r="Z57">
        <f t="shared" si="0"/>
        <v>0.72174155434254783</v>
      </c>
    </row>
    <row r="58" spans="1:26" x14ac:dyDescent="0.2">
      <c r="A58" s="5" t="s">
        <v>45</v>
      </c>
      <c r="B58" s="5" t="s">
        <v>37</v>
      </c>
      <c r="C58" s="6" t="s">
        <v>28</v>
      </c>
      <c r="D58" s="7">
        <v>0.60510699999999995</v>
      </c>
      <c r="E58">
        <v>0.569824</v>
      </c>
      <c r="F58">
        <v>0.73472999999999999</v>
      </c>
      <c r="G58">
        <v>0.35454999999999998</v>
      </c>
      <c r="H58">
        <v>0.75024400000000002</v>
      </c>
      <c r="I58">
        <v>0.47585699999999997</v>
      </c>
      <c r="J58">
        <v>0.52662399999999998</v>
      </c>
      <c r="K58">
        <v>0.6744</v>
      </c>
      <c r="L58">
        <v>0.719364</v>
      </c>
      <c r="M58">
        <v>1.3514349999999999</v>
      </c>
      <c r="N58">
        <v>0.56577500000000003</v>
      </c>
      <c r="O58" s="8">
        <f>VLOOKUP($B58,floorspace!$B$4:$O$12,'shell factors calc'!O$2+1,FALSE)</f>
        <v>1185.1273189999999</v>
      </c>
      <c r="P58" s="8">
        <f>VLOOKUP($B58,floorspace!$B$4:$O$12,'shell factors calc'!P$2+1,FALSE)</f>
        <v>1901.63501</v>
      </c>
      <c r="Q58" s="8">
        <f>VLOOKUP($B58,floorspace!$B$4:$O$12,'shell factors calc'!Q$2+1,FALSE)</f>
        <v>53.974445000000003</v>
      </c>
      <c r="R58" s="8">
        <f>VLOOKUP($B58,floorspace!$B$4:$O$12,'shell factors calc'!R$2+1,FALSE)</f>
        <v>76.057404000000005</v>
      </c>
      <c r="S58" s="8">
        <f>VLOOKUP($B58,floorspace!$B$4:$O$12,'shell factors calc'!S$2+1,FALSE)</f>
        <v>260.10995500000001</v>
      </c>
      <c r="T58" s="8">
        <f>VLOOKUP($B58,floorspace!$B$4:$O$12,'shell factors calc'!T$2+1,FALSE)</f>
        <v>871.65142800000001</v>
      </c>
      <c r="U58" s="8">
        <f>VLOOKUP($B58,floorspace!$B$4:$O$12,'shell factors calc'!U$2+1,FALSE)</f>
        <v>2019.4379879999999</v>
      </c>
      <c r="V58" s="8">
        <f>VLOOKUP($B58,floorspace!$B$4:$O$12,'shell factors calc'!V$2+1,FALSE)</f>
        <v>962.05139199999996</v>
      </c>
      <c r="W58" s="8">
        <f>VLOOKUP($B58,floorspace!$B$4:$O$12,'shell factors calc'!W$2+1,FALSE)</f>
        <v>1967.076904</v>
      </c>
      <c r="X58" s="8">
        <f>VLOOKUP($B58,floorspace!$B$4:$O$12,'shell factors calc'!X$2+1,FALSE)</f>
        <v>1929.18335</v>
      </c>
      <c r="Y58" s="8">
        <f>VLOOKUP($B58,floorspace!$B$4:$O$12,'shell factors calc'!Y$2+1,FALSE)</f>
        <v>816.88464399999998</v>
      </c>
      <c r="Z58">
        <f t="shared" si="0"/>
        <v>0.72023703632701297</v>
      </c>
    </row>
    <row r="59" spans="1:26" x14ac:dyDescent="0.2">
      <c r="A59" s="5" t="s">
        <v>45</v>
      </c>
      <c r="B59" s="5" t="s">
        <v>37</v>
      </c>
      <c r="C59" s="6" t="s">
        <v>29</v>
      </c>
      <c r="D59" s="7">
        <v>0.599275</v>
      </c>
      <c r="E59">
        <v>0.56336299999999995</v>
      </c>
      <c r="F59">
        <v>0.73083600000000004</v>
      </c>
      <c r="G59">
        <v>0.34491699999999997</v>
      </c>
      <c r="H59">
        <v>0.74609499999999995</v>
      </c>
      <c r="I59">
        <v>0.46703800000000001</v>
      </c>
      <c r="J59">
        <v>0.51885999999999999</v>
      </c>
      <c r="K59">
        <v>0.66970499999999999</v>
      </c>
      <c r="L59">
        <v>0.71511400000000003</v>
      </c>
      <c r="M59">
        <v>1.3753470000000001</v>
      </c>
      <c r="N59">
        <v>0.55937300000000001</v>
      </c>
      <c r="O59" s="8">
        <f>VLOOKUP($B59,floorspace!$B$4:$O$12,'shell factors calc'!O$2+1,FALSE)</f>
        <v>1185.1273189999999</v>
      </c>
      <c r="P59" s="8">
        <f>VLOOKUP($B59,floorspace!$B$4:$O$12,'shell factors calc'!P$2+1,FALSE)</f>
        <v>1901.63501</v>
      </c>
      <c r="Q59" s="8">
        <f>VLOOKUP($B59,floorspace!$B$4:$O$12,'shell factors calc'!Q$2+1,FALSE)</f>
        <v>53.974445000000003</v>
      </c>
      <c r="R59" s="8">
        <f>VLOOKUP($B59,floorspace!$B$4:$O$12,'shell factors calc'!R$2+1,FALSE)</f>
        <v>76.057404000000005</v>
      </c>
      <c r="S59" s="8">
        <f>VLOOKUP($B59,floorspace!$B$4:$O$12,'shell factors calc'!S$2+1,FALSE)</f>
        <v>260.10995500000001</v>
      </c>
      <c r="T59" s="8">
        <f>VLOOKUP($B59,floorspace!$B$4:$O$12,'shell factors calc'!T$2+1,FALSE)</f>
        <v>871.65142800000001</v>
      </c>
      <c r="U59" s="8">
        <f>VLOOKUP($B59,floorspace!$B$4:$O$12,'shell factors calc'!U$2+1,FALSE)</f>
        <v>2019.4379879999999</v>
      </c>
      <c r="V59" s="8">
        <f>VLOOKUP($B59,floorspace!$B$4:$O$12,'shell factors calc'!V$2+1,FALSE)</f>
        <v>962.05139199999996</v>
      </c>
      <c r="W59" s="8">
        <f>VLOOKUP($B59,floorspace!$B$4:$O$12,'shell factors calc'!W$2+1,FALSE)</f>
        <v>1967.076904</v>
      </c>
      <c r="X59" s="8">
        <f>VLOOKUP($B59,floorspace!$B$4:$O$12,'shell factors calc'!X$2+1,FALSE)</f>
        <v>1929.18335</v>
      </c>
      <c r="Y59" s="8">
        <f>VLOOKUP($B59,floorspace!$B$4:$O$12,'shell factors calc'!Y$2+1,FALSE)</f>
        <v>816.88464399999998</v>
      </c>
      <c r="Z59">
        <f t="shared" si="0"/>
        <v>0.71886180750094819</v>
      </c>
    </row>
    <row r="60" spans="1:26" x14ac:dyDescent="0.2">
      <c r="A60" s="5" t="s">
        <v>45</v>
      </c>
      <c r="B60" s="5" t="s">
        <v>37</v>
      </c>
      <c r="C60" s="6" t="s">
        <v>30</v>
      </c>
      <c r="D60" s="7">
        <v>0.59350000000000003</v>
      </c>
      <c r="E60">
        <v>0.556975</v>
      </c>
      <c r="F60">
        <v>0.72696300000000003</v>
      </c>
      <c r="G60">
        <v>0.33554600000000001</v>
      </c>
      <c r="H60">
        <v>0.74196899999999999</v>
      </c>
      <c r="I60">
        <v>0.45838099999999998</v>
      </c>
      <c r="J60">
        <v>0.511212</v>
      </c>
      <c r="K60">
        <v>0.66504200000000002</v>
      </c>
      <c r="L60">
        <v>0.71089000000000002</v>
      </c>
      <c r="M60">
        <v>1.399683</v>
      </c>
      <c r="N60">
        <v>0.55304299999999995</v>
      </c>
      <c r="O60" s="8">
        <f>VLOOKUP($B60,floorspace!$B$4:$O$12,'shell factors calc'!O$2+1,FALSE)</f>
        <v>1185.1273189999999</v>
      </c>
      <c r="P60" s="8">
        <f>VLOOKUP($B60,floorspace!$B$4:$O$12,'shell factors calc'!P$2+1,FALSE)</f>
        <v>1901.63501</v>
      </c>
      <c r="Q60" s="8">
        <f>VLOOKUP($B60,floorspace!$B$4:$O$12,'shell factors calc'!Q$2+1,FALSE)</f>
        <v>53.974445000000003</v>
      </c>
      <c r="R60" s="8">
        <f>VLOOKUP($B60,floorspace!$B$4:$O$12,'shell factors calc'!R$2+1,FALSE)</f>
        <v>76.057404000000005</v>
      </c>
      <c r="S60" s="8">
        <f>VLOOKUP($B60,floorspace!$B$4:$O$12,'shell factors calc'!S$2+1,FALSE)</f>
        <v>260.10995500000001</v>
      </c>
      <c r="T60" s="8">
        <f>VLOOKUP($B60,floorspace!$B$4:$O$12,'shell factors calc'!T$2+1,FALSE)</f>
        <v>871.65142800000001</v>
      </c>
      <c r="U60" s="8">
        <f>VLOOKUP($B60,floorspace!$B$4:$O$12,'shell factors calc'!U$2+1,FALSE)</f>
        <v>2019.4379879999999</v>
      </c>
      <c r="V60" s="8">
        <f>VLOOKUP($B60,floorspace!$B$4:$O$12,'shell factors calc'!V$2+1,FALSE)</f>
        <v>962.05139199999996</v>
      </c>
      <c r="W60" s="8">
        <f>VLOOKUP($B60,floorspace!$B$4:$O$12,'shell factors calc'!W$2+1,FALSE)</f>
        <v>1967.076904</v>
      </c>
      <c r="X60" s="8">
        <f>VLOOKUP($B60,floorspace!$B$4:$O$12,'shell factors calc'!X$2+1,FALSE)</f>
        <v>1929.18335</v>
      </c>
      <c r="Y60" s="8">
        <f>VLOOKUP($B60,floorspace!$B$4:$O$12,'shell factors calc'!Y$2+1,FALSE)</f>
        <v>816.88464399999998</v>
      </c>
      <c r="Z60">
        <f t="shared" si="0"/>
        <v>0.71761674319796931</v>
      </c>
    </row>
    <row r="61" spans="1:26" x14ac:dyDescent="0.2">
      <c r="A61" s="5" t="s">
        <v>45</v>
      </c>
      <c r="B61" s="5" t="s">
        <v>37</v>
      </c>
      <c r="C61" s="6" t="s">
        <v>31</v>
      </c>
      <c r="D61" s="7">
        <v>0.587781</v>
      </c>
      <c r="E61">
        <v>0.55066000000000004</v>
      </c>
      <c r="F61">
        <v>0.72311000000000003</v>
      </c>
      <c r="G61">
        <v>0.32642900000000002</v>
      </c>
      <c r="H61">
        <v>0.73786700000000005</v>
      </c>
      <c r="I61">
        <v>0.44988499999999998</v>
      </c>
      <c r="J61">
        <v>0.50367600000000001</v>
      </c>
      <c r="K61">
        <v>0.660412</v>
      </c>
      <c r="L61">
        <v>0.70669000000000004</v>
      </c>
      <c r="M61">
        <v>1.4244490000000001</v>
      </c>
      <c r="N61">
        <v>0.54678499999999997</v>
      </c>
      <c r="O61" s="8">
        <f>VLOOKUP($B61,floorspace!$B$4:$O$12,'shell factors calc'!O$2+1,FALSE)</f>
        <v>1185.1273189999999</v>
      </c>
      <c r="P61" s="8">
        <f>VLOOKUP($B61,floorspace!$B$4:$O$12,'shell factors calc'!P$2+1,FALSE)</f>
        <v>1901.63501</v>
      </c>
      <c r="Q61" s="8">
        <f>VLOOKUP($B61,floorspace!$B$4:$O$12,'shell factors calc'!Q$2+1,FALSE)</f>
        <v>53.974445000000003</v>
      </c>
      <c r="R61" s="8">
        <f>VLOOKUP($B61,floorspace!$B$4:$O$12,'shell factors calc'!R$2+1,FALSE)</f>
        <v>76.057404000000005</v>
      </c>
      <c r="S61" s="8">
        <f>VLOOKUP($B61,floorspace!$B$4:$O$12,'shell factors calc'!S$2+1,FALSE)</f>
        <v>260.10995500000001</v>
      </c>
      <c r="T61" s="8">
        <f>VLOOKUP($B61,floorspace!$B$4:$O$12,'shell factors calc'!T$2+1,FALSE)</f>
        <v>871.65142800000001</v>
      </c>
      <c r="U61" s="8">
        <f>VLOOKUP($B61,floorspace!$B$4:$O$12,'shell factors calc'!U$2+1,FALSE)</f>
        <v>2019.4379879999999</v>
      </c>
      <c r="V61" s="8">
        <f>VLOOKUP($B61,floorspace!$B$4:$O$12,'shell factors calc'!V$2+1,FALSE)</f>
        <v>962.05139199999996</v>
      </c>
      <c r="W61" s="8">
        <f>VLOOKUP($B61,floorspace!$B$4:$O$12,'shell factors calc'!W$2+1,FALSE)</f>
        <v>1967.076904</v>
      </c>
      <c r="X61" s="8">
        <f>VLOOKUP($B61,floorspace!$B$4:$O$12,'shell factors calc'!X$2+1,FALSE)</f>
        <v>1929.18335</v>
      </c>
      <c r="Y61" s="8">
        <f>VLOOKUP($B61,floorspace!$B$4:$O$12,'shell factors calc'!Y$2+1,FALSE)</f>
        <v>816.88464399999998</v>
      </c>
      <c r="Z61">
        <f t="shared" si="0"/>
        <v>0.71650168284128912</v>
      </c>
    </row>
    <row r="62" spans="1:26" x14ac:dyDescent="0.2">
      <c r="A62" s="5" t="s">
        <v>45</v>
      </c>
      <c r="B62" s="5" t="s">
        <v>37</v>
      </c>
      <c r="C62" s="6" t="s">
        <v>32</v>
      </c>
      <c r="D62" s="7">
        <v>0.582117</v>
      </c>
      <c r="E62">
        <v>0.54441600000000001</v>
      </c>
      <c r="F62">
        <v>0.71927799999999997</v>
      </c>
      <c r="G62">
        <v>0.31756000000000001</v>
      </c>
      <c r="H62">
        <v>0.73378600000000005</v>
      </c>
      <c r="I62">
        <v>0.44154700000000002</v>
      </c>
      <c r="J62">
        <v>0.496251</v>
      </c>
      <c r="K62">
        <v>0.65581400000000001</v>
      </c>
      <c r="L62">
        <v>0.702515</v>
      </c>
      <c r="M62">
        <v>1.4496530000000001</v>
      </c>
      <c r="N62">
        <v>0.54059699999999999</v>
      </c>
      <c r="O62" s="8">
        <f>VLOOKUP($B62,floorspace!$B$4:$O$12,'shell factors calc'!O$2+1,FALSE)</f>
        <v>1185.1273189999999</v>
      </c>
      <c r="P62" s="8">
        <f>VLOOKUP($B62,floorspace!$B$4:$O$12,'shell factors calc'!P$2+1,FALSE)</f>
        <v>1901.63501</v>
      </c>
      <c r="Q62" s="8">
        <f>VLOOKUP($B62,floorspace!$B$4:$O$12,'shell factors calc'!Q$2+1,FALSE)</f>
        <v>53.974445000000003</v>
      </c>
      <c r="R62" s="8">
        <f>VLOOKUP($B62,floorspace!$B$4:$O$12,'shell factors calc'!R$2+1,FALSE)</f>
        <v>76.057404000000005</v>
      </c>
      <c r="S62" s="8">
        <f>VLOOKUP($B62,floorspace!$B$4:$O$12,'shell factors calc'!S$2+1,FALSE)</f>
        <v>260.10995500000001</v>
      </c>
      <c r="T62" s="8">
        <f>VLOOKUP($B62,floorspace!$B$4:$O$12,'shell factors calc'!T$2+1,FALSE)</f>
        <v>871.65142800000001</v>
      </c>
      <c r="U62" s="8">
        <f>VLOOKUP($B62,floorspace!$B$4:$O$12,'shell factors calc'!U$2+1,FALSE)</f>
        <v>2019.4379879999999</v>
      </c>
      <c r="V62" s="8">
        <f>VLOOKUP($B62,floorspace!$B$4:$O$12,'shell factors calc'!V$2+1,FALSE)</f>
        <v>962.05139199999996</v>
      </c>
      <c r="W62" s="8">
        <f>VLOOKUP($B62,floorspace!$B$4:$O$12,'shell factors calc'!W$2+1,FALSE)</f>
        <v>1967.076904</v>
      </c>
      <c r="X62" s="8">
        <f>VLOOKUP($B62,floorspace!$B$4:$O$12,'shell factors calc'!X$2+1,FALSE)</f>
        <v>1929.18335</v>
      </c>
      <c r="Y62" s="8">
        <f>VLOOKUP($B62,floorspace!$B$4:$O$12,'shell factors calc'!Y$2+1,FALSE)</f>
        <v>816.88464399999998</v>
      </c>
      <c r="Z62">
        <f t="shared" si="0"/>
        <v>0.71551695850518549</v>
      </c>
    </row>
    <row r="63" spans="1:26" x14ac:dyDescent="0.2">
      <c r="A63" s="5" t="s">
        <v>45</v>
      </c>
      <c r="B63" s="5" t="s">
        <v>37</v>
      </c>
      <c r="C63" s="6" t="s">
        <v>33</v>
      </c>
      <c r="D63" s="7">
        <v>0.57650699999999999</v>
      </c>
      <c r="E63">
        <v>0.53824300000000003</v>
      </c>
      <c r="F63">
        <v>0.71546500000000002</v>
      </c>
      <c r="G63">
        <v>0.30893199999999998</v>
      </c>
      <c r="H63">
        <v>0.72972899999999996</v>
      </c>
      <c r="I63">
        <v>0.433363</v>
      </c>
      <c r="J63">
        <v>0.48893500000000001</v>
      </c>
      <c r="K63">
        <v>0.65124800000000005</v>
      </c>
      <c r="L63">
        <v>0.69836500000000001</v>
      </c>
      <c r="M63">
        <v>1.4753039999999999</v>
      </c>
      <c r="N63">
        <v>0.53447999999999996</v>
      </c>
      <c r="O63" s="8">
        <f>VLOOKUP($B63,floorspace!$B$4:$O$12,'shell factors calc'!O$2+1,FALSE)</f>
        <v>1185.1273189999999</v>
      </c>
      <c r="P63" s="8">
        <f>VLOOKUP($B63,floorspace!$B$4:$O$12,'shell factors calc'!P$2+1,FALSE)</f>
        <v>1901.63501</v>
      </c>
      <c r="Q63" s="8">
        <f>VLOOKUP($B63,floorspace!$B$4:$O$12,'shell factors calc'!Q$2+1,FALSE)</f>
        <v>53.974445000000003</v>
      </c>
      <c r="R63" s="8">
        <f>VLOOKUP($B63,floorspace!$B$4:$O$12,'shell factors calc'!R$2+1,FALSE)</f>
        <v>76.057404000000005</v>
      </c>
      <c r="S63" s="8">
        <f>VLOOKUP($B63,floorspace!$B$4:$O$12,'shell factors calc'!S$2+1,FALSE)</f>
        <v>260.10995500000001</v>
      </c>
      <c r="T63" s="8">
        <f>VLOOKUP($B63,floorspace!$B$4:$O$12,'shell factors calc'!T$2+1,FALSE)</f>
        <v>871.65142800000001</v>
      </c>
      <c r="U63" s="8">
        <f>VLOOKUP($B63,floorspace!$B$4:$O$12,'shell factors calc'!U$2+1,FALSE)</f>
        <v>2019.4379879999999</v>
      </c>
      <c r="V63" s="8">
        <f>VLOOKUP($B63,floorspace!$B$4:$O$12,'shell factors calc'!V$2+1,FALSE)</f>
        <v>962.05139199999996</v>
      </c>
      <c r="W63" s="8">
        <f>VLOOKUP($B63,floorspace!$B$4:$O$12,'shell factors calc'!W$2+1,FALSE)</f>
        <v>1967.076904</v>
      </c>
      <c r="X63" s="8">
        <f>VLOOKUP($B63,floorspace!$B$4:$O$12,'shell factors calc'!X$2+1,FALSE)</f>
        <v>1929.18335</v>
      </c>
      <c r="Y63" s="8">
        <f>VLOOKUP($B63,floorspace!$B$4:$O$12,'shell factors calc'!Y$2+1,FALSE)</f>
        <v>816.88464399999998</v>
      </c>
      <c r="Z63">
        <f t="shared" si="0"/>
        <v>0.71466336806007824</v>
      </c>
    </row>
    <row r="64" spans="1:26" x14ac:dyDescent="0.2">
      <c r="A64" s="5" t="s">
        <v>45</v>
      </c>
      <c r="B64" s="5" t="s">
        <v>37</v>
      </c>
      <c r="C64" s="6" t="s">
        <v>34</v>
      </c>
      <c r="D64" s="7">
        <v>0.57095099999999999</v>
      </c>
      <c r="E64">
        <v>0.53213900000000003</v>
      </c>
      <c r="F64">
        <v>0.71167400000000003</v>
      </c>
      <c r="G64">
        <v>0.300539</v>
      </c>
      <c r="H64">
        <v>0.72569399999999995</v>
      </c>
      <c r="I64">
        <v>0.42533100000000001</v>
      </c>
      <c r="J64">
        <v>0.48172799999999999</v>
      </c>
      <c r="K64">
        <v>0.64671400000000001</v>
      </c>
      <c r="L64">
        <v>0.69423900000000005</v>
      </c>
      <c r="M64">
        <v>1.5014080000000001</v>
      </c>
      <c r="N64">
        <v>0.52843200000000001</v>
      </c>
      <c r="O64" s="8">
        <f>VLOOKUP($B64,floorspace!$B$4:$O$12,'shell factors calc'!O$2+1,FALSE)</f>
        <v>1185.1273189999999</v>
      </c>
      <c r="P64" s="8">
        <f>VLOOKUP($B64,floorspace!$B$4:$O$12,'shell factors calc'!P$2+1,FALSE)</f>
        <v>1901.63501</v>
      </c>
      <c r="Q64" s="8">
        <f>VLOOKUP($B64,floorspace!$B$4:$O$12,'shell factors calc'!Q$2+1,FALSE)</f>
        <v>53.974445000000003</v>
      </c>
      <c r="R64" s="8">
        <f>VLOOKUP($B64,floorspace!$B$4:$O$12,'shell factors calc'!R$2+1,FALSE)</f>
        <v>76.057404000000005</v>
      </c>
      <c r="S64" s="8">
        <f>VLOOKUP($B64,floorspace!$B$4:$O$12,'shell factors calc'!S$2+1,FALSE)</f>
        <v>260.10995500000001</v>
      </c>
      <c r="T64" s="8">
        <f>VLOOKUP($B64,floorspace!$B$4:$O$12,'shell factors calc'!T$2+1,FALSE)</f>
        <v>871.65142800000001</v>
      </c>
      <c r="U64" s="8">
        <f>VLOOKUP($B64,floorspace!$B$4:$O$12,'shell factors calc'!U$2+1,FALSE)</f>
        <v>2019.4379879999999</v>
      </c>
      <c r="V64" s="8">
        <f>VLOOKUP($B64,floorspace!$B$4:$O$12,'shell factors calc'!V$2+1,FALSE)</f>
        <v>962.05139199999996</v>
      </c>
      <c r="W64" s="8">
        <f>VLOOKUP($B64,floorspace!$B$4:$O$12,'shell factors calc'!W$2+1,FALSE)</f>
        <v>1967.076904</v>
      </c>
      <c r="X64" s="8">
        <f>VLOOKUP($B64,floorspace!$B$4:$O$12,'shell factors calc'!X$2+1,FALSE)</f>
        <v>1929.18335</v>
      </c>
      <c r="Y64" s="8">
        <f>VLOOKUP($B64,floorspace!$B$4:$O$12,'shell factors calc'!Y$2+1,FALSE)</f>
        <v>816.88464399999998</v>
      </c>
      <c r="Z64">
        <f t="shared" si="0"/>
        <v>0.71394104544390713</v>
      </c>
    </row>
    <row r="65" spans="1:26" x14ac:dyDescent="0.2">
      <c r="A65" s="5" t="s">
        <v>45</v>
      </c>
      <c r="B65" s="5" t="s">
        <v>37</v>
      </c>
      <c r="C65" s="6" t="s">
        <v>35</v>
      </c>
      <c r="D65" s="7">
        <v>0.56544899999999998</v>
      </c>
      <c r="E65">
        <v>0.52610500000000004</v>
      </c>
      <c r="F65">
        <v>0.70790200000000003</v>
      </c>
      <c r="G65">
        <v>0.29237400000000002</v>
      </c>
      <c r="H65">
        <v>0.72168100000000002</v>
      </c>
      <c r="I65">
        <v>0.41744700000000001</v>
      </c>
      <c r="J65">
        <v>0.47462700000000002</v>
      </c>
      <c r="K65">
        <v>0.64221099999999998</v>
      </c>
      <c r="L65">
        <v>0.690137</v>
      </c>
      <c r="M65">
        <v>1.5279739999999999</v>
      </c>
      <c r="N65">
        <v>0.52245200000000003</v>
      </c>
      <c r="O65" s="8">
        <f>VLOOKUP($B65,floorspace!$B$4:$O$12,'shell factors calc'!O$2+1,FALSE)</f>
        <v>1185.1273189999999</v>
      </c>
      <c r="P65" s="8">
        <f>VLOOKUP($B65,floorspace!$B$4:$O$12,'shell factors calc'!P$2+1,FALSE)</f>
        <v>1901.63501</v>
      </c>
      <c r="Q65" s="8">
        <f>VLOOKUP($B65,floorspace!$B$4:$O$12,'shell factors calc'!Q$2+1,FALSE)</f>
        <v>53.974445000000003</v>
      </c>
      <c r="R65" s="8">
        <f>VLOOKUP($B65,floorspace!$B$4:$O$12,'shell factors calc'!R$2+1,FALSE)</f>
        <v>76.057404000000005</v>
      </c>
      <c r="S65" s="8">
        <f>VLOOKUP($B65,floorspace!$B$4:$O$12,'shell factors calc'!S$2+1,FALSE)</f>
        <v>260.10995500000001</v>
      </c>
      <c r="T65" s="8">
        <f>VLOOKUP($B65,floorspace!$B$4:$O$12,'shell factors calc'!T$2+1,FALSE)</f>
        <v>871.65142800000001</v>
      </c>
      <c r="U65" s="8">
        <f>VLOOKUP($B65,floorspace!$B$4:$O$12,'shell factors calc'!U$2+1,FALSE)</f>
        <v>2019.4379879999999</v>
      </c>
      <c r="V65" s="8">
        <f>VLOOKUP($B65,floorspace!$B$4:$O$12,'shell factors calc'!V$2+1,FALSE)</f>
        <v>962.05139199999996</v>
      </c>
      <c r="W65" s="8">
        <f>VLOOKUP($B65,floorspace!$B$4:$O$12,'shell factors calc'!W$2+1,FALSE)</f>
        <v>1967.076904</v>
      </c>
      <c r="X65" s="8">
        <f>VLOOKUP($B65,floorspace!$B$4:$O$12,'shell factors calc'!X$2+1,FALSE)</f>
        <v>1929.18335</v>
      </c>
      <c r="Y65" s="8">
        <f>VLOOKUP($B65,floorspace!$B$4:$O$12,'shell factors calc'!Y$2+1,FALSE)</f>
        <v>816.88464399999998</v>
      </c>
      <c r="Z65">
        <f t="shared" si="0"/>
        <v>0.71335059233316989</v>
      </c>
    </row>
    <row r="66" spans="1:26" x14ac:dyDescent="0.2">
      <c r="A66" s="5" t="s">
        <v>45</v>
      </c>
      <c r="B66" s="1" t="s">
        <v>37</v>
      </c>
      <c r="C66" s="2" t="s">
        <v>36</v>
      </c>
      <c r="D66" s="4">
        <v>0.56000000000000005</v>
      </c>
      <c r="E66">
        <v>0.52014000000000005</v>
      </c>
      <c r="F66">
        <v>0.70415000000000005</v>
      </c>
      <c r="G66">
        <v>0.28443000000000002</v>
      </c>
      <c r="H66">
        <v>0.71769000000000005</v>
      </c>
      <c r="I66">
        <v>0.40971000000000002</v>
      </c>
      <c r="J66">
        <v>0.46762999999999999</v>
      </c>
      <c r="K66">
        <v>0.63773999999999997</v>
      </c>
      <c r="L66">
        <v>0.68606</v>
      </c>
      <c r="M66">
        <v>1.55501</v>
      </c>
      <c r="N66">
        <v>0.51654</v>
      </c>
      <c r="O66" s="8">
        <f>VLOOKUP($B66,floorspace!$B$4:$O$12,'shell factors calc'!O$2+1,FALSE)</f>
        <v>1185.1273189999999</v>
      </c>
      <c r="P66" s="8">
        <f>VLOOKUP($B66,floorspace!$B$4:$O$12,'shell factors calc'!P$2+1,FALSE)</f>
        <v>1901.63501</v>
      </c>
      <c r="Q66" s="8">
        <f>VLOOKUP($B66,floorspace!$B$4:$O$12,'shell factors calc'!Q$2+1,FALSE)</f>
        <v>53.974445000000003</v>
      </c>
      <c r="R66" s="8">
        <f>VLOOKUP($B66,floorspace!$B$4:$O$12,'shell factors calc'!R$2+1,FALSE)</f>
        <v>76.057404000000005</v>
      </c>
      <c r="S66" s="8">
        <f>VLOOKUP($B66,floorspace!$B$4:$O$12,'shell factors calc'!S$2+1,FALSE)</f>
        <v>260.10995500000001</v>
      </c>
      <c r="T66" s="8">
        <f>VLOOKUP($B66,floorspace!$B$4:$O$12,'shell factors calc'!T$2+1,FALSE)</f>
        <v>871.65142800000001</v>
      </c>
      <c r="U66" s="8">
        <f>VLOOKUP($B66,floorspace!$B$4:$O$12,'shell factors calc'!U$2+1,FALSE)</f>
        <v>2019.4379879999999</v>
      </c>
      <c r="V66" s="8">
        <f>VLOOKUP($B66,floorspace!$B$4:$O$12,'shell factors calc'!V$2+1,FALSE)</f>
        <v>962.05139199999996</v>
      </c>
      <c r="W66" s="8">
        <f>VLOOKUP($B66,floorspace!$B$4:$O$12,'shell factors calc'!W$2+1,FALSE)</f>
        <v>1967.076904</v>
      </c>
      <c r="X66" s="8">
        <f>VLOOKUP($B66,floorspace!$B$4:$O$12,'shell factors calc'!X$2+1,FALSE)</f>
        <v>1929.18335</v>
      </c>
      <c r="Y66" s="8">
        <f>VLOOKUP($B66,floorspace!$B$4:$O$12,'shell factors calc'!Y$2+1,FALSE)</f>
        <v>816.88464399999998</v>
      </c>
      <c r="Z66">
        <f t="shared" si="0"/>
        <v>0.71289282967963374</v>
      </c>
    </row>
    <row r="67" spans="1:26" x14ac:dyDescent="0.2">
      <c r="A67" s="5" t="s">
        <v>45</v>
      </c>
      <c r="B67" s="5" t="s">
        <v>38</v>
      </c>
      <c r="C67" s="6" t="s">
        <v>5</v>
      </c>
      <c r="D67" s="7">
        <v>0.84238299999999999</v>
      </c>
      <c r="E67">
        <v>0.79003100000000004</v>
      </c>
      <c r="F67">
        <v>0.87005900000000003</v>
      </c>
      <c r="G67">
        <v>0.60178699999999996</v>
      </c>
      <c r="H67">
        <v>0.96831999999999996</v>
      </c>
      <c r="I67">
        <v>0.79939499999999997</v>
      </c>
      <c r="J67">
        <v>0.75448400000000004</v>
      </c>
      <c r="K67">
        <v>0.93715400000000004</v>
      </c>
      <c r="L67">
        <v>0.92963399999999996</v>
      </c>
      <c r="M67">
        <v>0.685554</v>
      </c>
      <c r="N67">
        <v>0.78269</v>
      </c>
      <c r="O67" s="8">
        <f>VLOOKUP($B67,floorspace!$B$4:$O$12,'shell factors calc'!O$2+1,FALSE)</f>
        <v>2310.141357</v>
      </c>
      <c r="P67" s="8">
        <f>VLOOKUP($B67,floorspace!$B$4:$O$12,'shell factors calc'!P$2+1,FALSE)</f>
        <v>2408.3359380000002</v>
      </c>
      <c r="Q67" s="8">
        <f>VLOOKUP($B67,floorspace!$B$4:$O$12,'shell factors calc'!Q$2+1,FALSE)</f>
        <v>276.88534499999997</v>
      </c>
      <c r="R67" s="8">
        <f>VLOOKUP($B67,floorspace!$B$4:$O$12,'shell factors calc'!R$2+1,FALSE)</f>
        <v>212.81033300000001</v>
      </c>
      <c r="S67" s="8">
        <f>VLOOKUP($B67,floorspace!$B$4:$O$12,'shell factors calc'!S$2+1,FALSE)</f>
        <v>561.85345500000005</v>
      </c>
      <c r="T67" s="8">
        <f>VLOOKUP($B67,floorspace!$B$4:$O$12,'shell factors calc'!T$2+1,FALSE)</f>
        <v>1051.820923</v>
      </c>
      <c r="U67" s="8">
        <f>VLOOKUP($B67,floorspace!$B$4:$O$12,'shell factors calc'!U$2+1,FALSE)</f>
        <v>1563.5035399999999</v>
      </c>
      <c r="V67" s="8">
        <f>VLOOKUP($B67,floorspace!$B$4:$O$12,'shell factors calc'!V$2+1,FALSE)</f>
        <v>1452.933716</v>
      </c>
      <c r="W67" s="8">
        <f>VLOOKUP($B67,floorspace!$B$4:$O$12,'shell factors calc'!W$2+1,FALSE)</f>
        <v>3021.5776369999999</v>
      </c>
      <c r="X67" s="8">
        <f>VLOOKUP($B67,floorspace!$B$4:$O$12,'shell factors calc'!X$2+1,FALSE)</f>
        <v>3411.5915530000002</v>
      </c>
      <c r="Y67" s="8">
        <f>VLOOKUP($B67,floorspace!$B$4:$O$12,'shell factors calc'!Y$2+1,FALSE)</f>
        <v>941.76892099999998</v>
      </c>
      <c r="Z67">
        <f t="shared" ref="Z67:Z128" si="1">SUMPRODUCT(D67:N67,O67:Y67)/SUM(O67:Y67)</f>
        <v>0.814995378517402</v>
      </c>
    </row>
    <row r="68" spans="1:26" x14ac:dyDescent="0.2">
      <c r="A68" s="5" t="s">
        <v>45</v>
      </c>
      <c r="B68" s="5" t="s">
        <v>38</v>
      </c>
      <c r="C68" s="6" t="s">
        <v>6</v>
      </c>
      <c r="D68" s="7">
        <v>0.83892999999999995</v>
      </c>
      <c r="E68">
        <v>0.78532999999999997</v>
      </c>
      <c r="F68">
        <v>0.86111000000000004</v>
      </c>
      <c r="G68">
        <v>0.59347000000000005</v>
      </c>
      <c r="H68">
        <v>0.96747000000000005</v>
      </c>
      <c r="I68">
        <v>0.79383000000000004</v>
      </c>
      <c r="J68">
        <v>0.74827999999999995</v>
      </c>
      <c r="K68">
        <v>0.93581999999999999</v>
      </c>
      <c r="L68">
        <v>0.92801999999999996</v>
      </c>
      <c r="M68">
        <v>0.70316999999999996</v>
      </c>
      <c r="N68">
        <v>0.77790999999999999</v>
      </c>
      <c r="O68" s="8">
        <f>VLOOKUP($B68,floorspace!$B$4:$O$12,'shell factors calc'!O$2+1,FALSE)</f>
        <v>2310.141357</v>
      </c>
      <c r="P68" s="8">
        <f>VLOOKUP($B68,floorspace!$B$4:$O$12,'shell factors calc'!P$2+1,FALSE)</f>
        <v>2408.3359380000002</v>
      </c>
      <c r="Q68" s="8">
        <f>VLOOKUP($B68,floorspace!$B$4:$O$12,'shell factors calc'!Q$2+1,FALSE)</f>
        <v>276.88534499999997</v>
      </c>
      <c r="R68" s="8">
        <f>VLOOKUP($B68,floorspace!$B$4:$O$12,'shell factors calc'!R$2+1,FALSE)</f>
        <v>212.81033300000001</v>
      </c>
      <c r="S68" s="8">
        <f>VLOOKUP($B68,floorspace!$B$4:$O$12,'shell factors calc'!S$2+1,FALSE)</f>
        <v>561.85345500000005</v>
      </c>
      <c r="T68" s="8">
        <f>VLOOKUP($B68,floorspace!$B$4:$O$12,'shell factors calc'!T$2+1,FALSE)</f>
        <v>1051.820923</v>
      </c>
      <c r="U68" s="8">
        <f>VLOOKUP($B68,floorspace!$B$4:$O$12,'shell factors calc'!U$2+1,FALSE)</f>
        <v>1563.5035399999999</v>
      </c>
      <c r="V68" s="8">
        <f>VLOOKUP($B68,floorspace!$B$4:$O$12,'shell factors calc'!V$2+1,FALSE)</f>
        <v>1452.933716</v>
      </c>
      <c r="W68" s="8">
        <f>VLOOKUP($B68,floorspace!$B$4:$O$12,'shell factors calc'!W$2+1,FALSE)</f>
        <v>3021.5776369999999</v>
      </c>
      <c r="X68" s="8">
        <f>VLOOKUP($B68,floorspace!$B$4:$O$12,'shell factors calc'!X$2+1,FALSE)</f>
        <v>3411.5915530000002</v>
      </c>
      <c r="Y68" s="8">
        <f>VLOOKUP($B68,floorspace!$B$4:$O$12,'shell factors calc'!Y$2+1,FALSE)</f>
        <v>941.76892099999998</v>
      </c>
      <c r="Z68">
        <f t="shared" si="1"/>
        <v>0.81553012270477299</v>
      </c>
    </row>
    <row r="69" spans="1:26" x14ac:dyDescent="0.2">
      <c r="A69" s="5" t="s">
        <v>45</v>
      </c>
      <c r="B69" s="5" t="s">
        <v>38</v>
      </c>
      <c r="C69" s="6" t="s">
        <v>7</v>
      </c>
      <c r="D69" s="7">
        <v>0.83541100000000001</v>
      </c>
      <c r="E69">
        <v>0.780497</v>
      </c>
      <c r="F69">
        <v>0.85347700000000004</v>
      </c>
      <c r="G69">
        <v>0.58454200000000001</v>
      </c>
      <c r="H69">
        <v>0.96662099999999995</v>
      </c>
      <c r="I69">
        <v>0.78807700000000003</v>
      </c>
      <c r="J69">
        <v>0.74182099999999995</v>
      </c>
      <c r="K69">
        <v>0.93447499999999994</v>
      </c>
      <c r="L69">
        <v>0.926396</v>
      </c>
      <c r="M69">
        <v>0.71884199999999998</v>
      </c>
      <c r="N69">
        <v>0.77298900000000004</v>
      </c>
      <c r="O69" s="8">
        <f>VLOOKUP($B69,floorspace!$B$4:$O$12,'shell factors calc'!O$2+1,FALSE)</f>
        <v>2310.141357</v>
      </c>
      <c r="P69" s="8">
        <f>VLOOKUP($B69,floorspace!$B$4:$O$12,'shell factors calc'!P$2+1,FALSE)</f>
        <v>2408.3359380000002</v>
      </c>
      <c r="Q69" s="8">
        <f>VLOOKUP($B69,floorspace!$B$4:$O$12,'shell factors calc'!Q$2+1,FALSE)</f>
        <v>276.88534499999997</v>
      </c>
      <c r="R69" s="8">
        <f>VLOOKUP($B69,floorspace!$B$4:$O$12,'shell factors calc'!R$2+1,FALSE)</f>
        <v>212.81033300000001</v>
      </c>
      <c r="S69" s="8">
        <f>VLOOKUP($B69,floorspace!$B$4:$O$12,'shell factors calc'!S$2+1,FALSE)</f>
        <v>561.85345500000005</v>
      </c>
      <c r="T69" s="8">
        <f>VLOOKUP($B69,floorspace!$B$4:$O$12,'shell factors calc'!T$2+1,FALSE)</f>
        <v>1051.820923</v>
      </c>
      <c r="U69" s="8">
        <f>VLOOKUP($B69,floorspace!$B$4:$O$12,'shell factors calc'!U$2+1,FALSE)</f>
        <v>1563.5035399999999</v>
      </c>
      <c r="V69" s="8">
        <f>VLOOKUP($B69,floorspace!$B$4:$O$12,'shell factors calc'!V$2+1,FALSE)</f>
        <v>1452.933716</v>
      </c>
      <c r="W69" s="8">
        <f>VLOOKUP($B69,floorspace!$B$4:$O$12,'shell factors calc'!W$2+1,FALSE)</f>
        <v>3021.5776369999999</v>
      </c>
      <c r="X69" s="8">
        <f>VLOOKUP($B69,floorspace!$B$4:$O$12,'shell factors calc'!X$2+1,FALSE)</f>
        <v>3411.5915530000002</v>
      </c>
      <c r="Y69" s="8">
        <f>VLOOKUP($B69,floorspace!$B$4:$O$12,'shell factors calc'!Y$2+1,FALSE)</f>
        <v>941.76892099999998</v>
      </c>
      <c r="Z69">
        <f t="shared" si="1"/>
        <v>0.81562084713332628</v>
      </c>
    </row>
    <row r="70" spans="1:26" x14ac:dyDescent="0.2">
      <c r="A70" s="5" t="s">
        <v>45</v>
      </c>
      <c r="B70" s="5" t="s">
        <v>38</v>
      </c>
      <c r="C70" s="6" t="s">
        <v>8</v>
      </c>
      <c r="D70" s="7">
        <v>0.83190699999999995</v>
      </c>
      <c r="E70">
        <v>0.77569399999999999</v>
      </c>
      <c r="F70">
        <v>0.84591099999999997</v>
      </c>
      <c r="G70">
        <v>0.57574899999999996</v>
      </c>
      <c r="H70">
        <v>0.96577199999999996</v>
      </c>
      <c r="I70">
        <v>0.78236600000000001</v>
      </c>
      <c r="J70">
        <v>0.73541699999999999</v>
      </c>
      <c r="K70">
        <v>0.93313299999999999</v>
      </c>
      <c r="L70">
        <v>0.92477500000000001</v>
      </c>
      <c r="M70">
        <v>0.73486300000000004</v>
      </c>
      <c r="N70">
        <v>0.7681</v>
      </c>
      <c r="O70" s="8">
        <f>VLOOKUP($B70,floorspace!$B$4:$O$12,'shell factors calc'!O$2+1,FALSE)</f>
        <v>2310.141357</v>
      </c>
      <c r="P70" s="8">
        <f>VLOOKUP($B70,floorspace!$B$4:$O$12,'shell factors calc'!P$2+1,FALSE)</f>
        <v>2408.3359380000002</v>
      </c>
      <c r="Q70" s="8">
        <f>VLOOKUP($B70,floorspace!$B$4:$O$12,'shell factors calc'!Q$2+1,FALSE)</f>
        <v>276.88534499999997</v>
      </c>
      <c r="R70" s="8">
        <f>VLOOKUP($B70,floorspace!$B$4:$O$12,'shell factors calc'!R$2+1,FALSE)</f>
        <v>212.81033300000001</v>
      </c>
      <c r="S70" s="8">
        <f>VLOOKUP($B70,floorspace!$B$4:$O$12,'shell factors calc'!S$2+1,FALSE)</f>
        <v>561.85345500000005</v>
      </c>
      <c r="T70" s="8">
        <f>VLOOKUP($B70,floorspace!$B$4:$O$12,'shell factors calc'!T$2+1,FALSE)</f>
        <v>1051.820923</v>
      </c>
      <c r="U70" s="8">
        <f>VLOOKUP($B70,floorspace!$B$4:$O$12,'shell factors calc'!U$2+1,FALSE)</f>
        <v>1563.5035399999999</v>
      </c>
      <c r="V70" s="8">
        <f>VLOOKUP($B70,floorspace!$B$4:$O$12,'shell factors calc'!V$2+1,FALSE)</f>
        <v>1452.933716</v>
      </c>
      <c r="W70" s="8">
        <f>VLOOKUP($B70,floorspace!$B$4:$O$12,'shell factors calc'!W$2+1,FALSE)</f>
        <v>3021.5776369999999</v>
      </c>
      <c r="X70" s="8">
        <f>VLOOKUP($B70,floorspace!$B$4:$O$12,'shell factors calc'!X$2+1,FALSE)</f>
        <v>3411.5915530000002</v>
      </c>
      <c r="Y70" s="8">
        <f>VLOOKUP($B70,floorspace!$B$4:$O$12,'shell factors calc'!Y$2+1,FALSE)</f>
        <v>941.76892099999998</v>
      </c>
      <c r="Z70">
        <f t="shared" si="1"/>
        <v>0.81579979197832531</v>
      </c>
    </row>
    <row r="71" spans="1:26" x14ac:dyDescent="0.2">
      <c r="A71" s="5" t="s">
        <v>45</v>
      </c>
      <c r="B71" s="5" t="s">
        <v>38</v>
      </c>
      <c r="C71" s="6" t="s">
        <v>9</v>
      </c>
      <c r="D71" s="7">
        <v>0.82841799999999999</v>
      </c>
      <c r="E71">
        <v>0.77092099999999997</v>
      </c>
      <c r="F71">
        <v>0.83841200000000005</v>
      </c>
      <c r="G71">
        <v>0.56708800000000004</v>
      </c>
      <c r="H71">
        <v>0.964924</v>
      </c>
      <c r="I71">
        <v>0.77669600000000005</v>
      </c>
      <c r="J71">
        <v>0.72906899999999997</v>
      </c>
      <c r="K71">
        <v>0.93179199999999995</v>
      </c>
      <c r="L71">
        <v>0.92315700000000001</v>
      </c>
      <c r="M71">
        <v>0.75124199999999997</v>
      </c>
      <c r="N71">
        <v>0.76324099999999995</v>
      </c>
      <c r="O71" s="8">
        <f>VLOOKUP($B71,floorspace!$B$4:$O$12,'shell factors calc'!O$2+1,FALSE)</f>
        <v>2310.141357</v>
      </c>
      <c r="P71" s="8">
        <f>VLOOKUP($B71,floorspace!$B$4:$O$12,'shell factors calc'!P$2+1,FALSE)</f>
        <v>2408.3359380000002</v>
      </c>
      <c r="Q71" s="8">
        <f>VLOOKUP($B71,floorspace!$B$4:$O$12,'shell factors calc'!Q$2+1,FALSE)</f>
        <v>276.88534499999997</v>
      </c>
      <c r="R71" s="8">
        <f>VLOOKUP($B71,floorspace!$B$4:$O$12,'shell factors calc'!R$2+1,FALSE)</f>
        <v>212.81033300000001</v>
      </c>
      <c r="S71" s="8">
        <f>VLOOKUP($B71,floorspace!$B$4:$O$12,'shell factors calc'!S$2+1,FALSE)</f>
        <v>561.85345500000005</v>
      </c>
      <c r="T71" s="8">
        <f>VLOOKUP($B71,floorspace!$B$4:$O$12,'shell factors calc'!T$2+1,FALSE)</f>
        <v>1051.820923</v>
      </c>
      <c r="U71" s="8">
        <f>VLOOKUP($B71,floorspace!$B$4:$O$12,'shell factors calc'!U$2+1,FALSE)</f>
        <v>1563.5035399999999</v>
      </c>
      <c r="V71" s="8">
        <f>VLOOKUP($B71,floorspace!$B$4:$O$12,'shell factors calc'!V$2+1,FALSE)</f>
        <v>1452.933716</v>
      </c>
      <c r="W71" s="8">
        <f>VLOOKUP($B71,floorspace!$B$4:$O$12,'shell factors calc'!W$2+1,FALSE)</f>
        <v>3021.5776369999999</v>
      </c>
      <c r="X71" s="8">
        <f>VLOOKUP($B71,floorspace!$B$4:$O$12,'shell factors calc'!X$2+1,FALSE)</f>
        <v>3411.5915530000002</v>
      </c>
      <c r="Y71" s="8">
        <f>VLOOKUP($B71,floorspace!$B$4:$O$12,'shell factors calc'!Y$2+1,FALSE)</f>
        <v>941.76892099999998</v>
      </c>
      <c r="Z71">
        <f t="shared" si="1"/>
        <v>0.81606848804107379</v>
      </c>
    </row>
    <row r="72" spans="1:26" x14ac:dyDescent="0.2">
      <c r="A72" s="5" t="s">
        <v>45</v>
      </c>
      <c r="B72" s="5" t="s">
        <v>38</v>
      </c>
      <c r="C72" s="6" t="s">
        <v>10</v>
      </c>
      <c r="D72" s="7">
        <v>0.82494400000000001</v>
      </c>
      <c r="E72">
        <v>0.766177</v>
      </c>
      <c r="F72">
        <v>0.83098000000000005</v>
      </c>
      <c r="G72">
        <v>0.55855699999999997</v>
      </c>
      <c r="H72">
        <v>0.96407699999999996</v>
      </c>
      <c r="I72">
        <v>0.77106699999999995</v>
      </c>
      <c r="J72">
        <v>0.72277599999999997</v>
      </c>
      <c r="K72">
        <v>0.93045299999999997</v>
      </c>
      <c r="L72">
        <v>0.92154199999999997</v>
      </c>
      <c r="M72">
        <v>0.76798500000000003</v>
      </c>
      <c r="N72">
        <v>0.758413</v>
      </c>
      <c r="O72" s="8">
        <f>VLOOKUP($B72,floorspace!$B$4:$O$12,'shell factors calc'!O$2+1,FALSE)</f>
        <v>2310.141357</v>
      </c>
      <c r="P72" s="8">
        <f>VLOOKUP($B72,floorspace!$B$4:$O$12,'shell factors calc'!P$2+1,FALSE)</f>
        <v>2408.3359380000002</v>
      </c>
      <c r="Q72" s="8">
        <f>VLOOKUP($B72,floorspace!$B$4:$O$12,'shell factors calc'!Q$2+1,FALSE)</f>
        <v>276.88534499999997</v>
      </c>
      <c r="R72" s="8">
        <f>VLOOKUP($B72,floorspace!$B$4:$O$12,'shell factors calc'!R$2+1,FALSE)</f>
        <v>212.81033300000001</v>
      </c>
      <c r="S72" s="8">
        <f>VLOOKUP($B72,floorspace!$B$4:$O$12,'shell factors calc'!S$2+1,FALSE)</f>
        <v>561.85345500000005</v>
      </c>
      <c r="T72" s="8">
        <f>VLOOKUP($B72,floorspace!$B$4:$O$12,'shell factors calc'!T$2+1,FALSE)</f>
        <v>1051.820923</v>
      </c>
      <c r="U72" s="8">
        <f>VLOOKUP($B72,floorspace!$B$4:$O$12,'shell factors calc'!U$2+1,FALSE)</f>
        <v>1563.5035399999999</v>
      </c>
      <c r="V72" s="8">
        <f>VLOOKUP($B72,floorspace!$B$4:$O$12,'shell factors calc'!V$2+1,FALSE)</f>
        <v>1452.933716</v>
      </c>
      <c r="W72" s="8">
        <f>VLOOKUP($B72,floorspace!$B$4:$O$12,'shell factors calc'!W$2+1,FALSE)</f>
        <v>3021.5776369999999</v>
      </c>
      <c r="X72" s="8">
        <f>VLOOKUP($B72,floorspace!$B$4:$O$12,'shell factors calc'!X$2+1,FALSE)</f>
        <v>3411.5915530000002</v>
      </c>
      <c r="Y72" s="8">
        <f>VLOOKUP($B72,floorspace!$B$4:$O$12,'shell factors calc'!Y$2+1,FALSE)</f>
        <v>941.76892099999998</v>
      </c>
      <c r="Z72">
        <f t="shared" si="1"/>
        <v>0.81642800814751015</v>
      </c>
    </row>
    <row r="73" spans="1:26" x14ac:dyDescent="0.2">
      <c r="A73" s="5" t="s">
        <v>45</v>
      </c>
      <c r="B73" s="5" t="s">
        <v>38</v>
      </c>
      <c r="C73" s="6" t="s">
        <v>11</v>
      </c>
      <c r="D73" s="7">
        <v>0.82148299999999996</v>
      </c>
      <c r="E73">
        <v>0.76146199999999997</v>
      </c>
      <c r="F73">
        <v>0.82361399999999996</v>
      </c>
      <c r="G73">
        <v>0.55015400000000003</v>
      </c>
      <c r="H73">
        <v>0.96323099999999995</v>
      </c>
      <c r="I73">
        <v>0.76547900000000002</v>
      </c>
      <c r="J73">
        <v>0.71653699999999998</v>
      </c>
      <c r="K73">
        <v>0.92911600000000005</v>
      </c>
      <c r="L73">
        <v>0.91993000000000003</v>
      </c>
      <c r="M73">
        <v>0.78510100000000005</v>
      </c>
      <c r="N73">
        <v>0.75361599999999995</v>
      </c>
      <c r="O73" s="8">
        <f>VLOOKUP($B73,floorspace!$B$4:$O$12,'shell factors calc'!O$2+1,FALSE)</f>
        <v>2310.141357</v>
      </c>
      <c r="P73" s="8">
        <f>VLOOKUP($B73,floorspace!$B$4:$O$12,'shell factors calc'!P$2+1,FALSE)</f>
        <v>2408.3359380000002</v>
      </c>
      <c r="Q73" s="8">
        <f>VLOOKUP($B73,floorspace!$B$4:$O$12,'shell factors calc'!Q$2+1,FALSE)</f>
        <v>276.88534499999997</v>
      </c>
      <c r="R73" s="8">
        <f>VLOOKUP($B73,floorspace!$B$4:$O$12,'shell factors calc'!R$2+1,FALSE)</f>
        <v>212.81033300000001</v>
      </c>
      <c r="S73" s="8">
        <f>VLOOKUP($B73,floorspace!$B$4:$O$12,'shell factors calc'!S$2+1,FALSE)</f>
        <v>561.85345500000005</v>
      </c>
      <c r="T73" s="8">
        <f>VLOOKUP($B73,floorspace!$B$4:$O$12,'shell factors calc'!T$2+1,FALSE)</f>
        <v>1051.820923</v>
      </c>
      <c r="U73" s="8">
        <f>VLOOKUP($B73,floorspace!$B$4:$O$12,'shell factors calc'!U$2+1,FALSE)</f>
        <v>1563.5035399999999</v>
      </c>
      <c r="V73" s="8">
        <f>VLOOKUP($B73,floorspace!$B$4:$O$12,'shell factors calc'!V$2+1,FALSE)</f>
        <v>1452.933716</v>
      </c>
      <c r="W73" s="8">
        <f>VLOOKUP($B73,floorspace!$B$4:$O$12,'shell factors calc'!W$2+1,FALSE)</f>
        <v>3021.5776369999999</v>
      </c>
      <c r="X73" s="8">
        <f>VLOOKUP($B73,floorspace!$B$4:$O$12,'shell factors calc'!X$2+1,FALSE)</f>
        <v>3411.5915530000002</v>
      </c>
      <c r="Y73" s="8">
        <f>VLOOKUP($B73,floorspace!$B$4:$O$12,'shell factors calc'!Y$2+1,FALSE)</f>
        <v>941.76892099999998</v>
      </c>
      <c r="Z73">
        <f t="shared" si="1"/>
        <v>0.81687973600317842</v>
      </c>
    </row>
    <row r="74" spans="1:26" x14ac:dyDescent="0.2">
      <c r="A74" s="5" t="s">
        <v>45</v>
      </c>
      <c r="B74" s="5" t="s">
        <v>38</v>
      </c>
      <c r="C74" s="6" t="s">
        <v>12</v>
      </c>
      <c r="D74" s="7">
        <v>0.81803800000000004</v>
      </c>
      <c r="E74">
        <v>0.75677700000000003</v>
      </c>
      <c r="F74">
        <v>0.81631200000000004</v>
      </c>
      <c r="G74">
        <v>0.54187799999999997</v>
      </c>
      <c r="H74">
        <v>0.96238500000000005</v>
      </c>
      <c r="I74">
        <v>0.75993100000000002</v>
      </c>
      <c r="J74">
        <v>0.71035199999999998</v>
      </c>
      <c r="K74">
        <v>0.92778099999999997</v>
      </c>
      <c r="L74">
        <v>0.91832000000000003</v>
      </c>
      <c r="M74">
        <v>0.80259999999999998</v>
      </c>
      <c r="N74">
        <v>0.74884799999999996</v>
      </c>
      <c r="O74" s="8">
        <f>VLOOKUP($B74,floorspace!$B$4:$O$12,'shell factors calc'!O$2+1,FALSE)</f>
        <v>2310.141357</v>
      </c>
      <c r="P74" s="8">
        <f>VLOOKUP($B74,floorspace!$B$4:$O$12,'shell factors calc'!P$2+1,FALSE)</f>
        <v>2408.3359380000002</v>
      </c>
      <c r="Q74" s="8">
        <f>VLOOKUP($B74,floorspace!$B$4:$O$12,'shell factors calc'!Q$2+1,FALSE)</f>
        <v>276.88534499999997</v>
      </c>
      <c r="R74" s="8">
        <f>VLOOKUP($B74,floorspace!$B$4:$O$12,'shell factors calc'!R$2+1,FALSE)</f>
        <v>212.81033300000001</v>
      </c>
      <c r="S74" s="8">
        <f>VLOOKUP($B74,floorspace!$B$4:$O$12,'shell factors calc'!S$2+1,FALSE)</f>
        <v>561.85345500000005</v>
      </c>
      <c r="T74" s="8">
        <f>VLOOKUP($B74,floorspace!$B$4:$O$12,'shell factors calc'!T$2+1,FALSE)</f>
        <v>1051.820923</v>
      </c>
      <c r="U74" s="8">
        <f>VLOOKUP($B74,floorspace!$B$4:$O$12,'shell factors calc'!U$2+1,FALSE)</f>
        <v>1563.5035399999999</v>
      </c>
      <c r="V74" s="8">
        <f>VLOOKUP($B74,floorspace!$B$4:$O$12,'shell factors calc'!V$2+1,FALSE)</f>
        <v>1452.933716</v>
      </c>
      <c r="W74" s="8">
        <f>VLOOKUP($B74,floorspace!$B$4:$O$12,'shell factors calc'!W$2+1,FALSE)</f>
        <v>3021.5776369999999</v>
      </c>
      <c r="X74" s="8">
        <f>VLOOKUP($B74,floorspace!$B$4:$O$12,'shell factors calc'!X$2+1,FALSE)</f>
        <v>3411.5915530000002</v>
      </c>
      <c r="Y74" s="8">
        <f>VLOOKUP($B74,floorspace!$B$4:$O$12,'shell factors calc'!Y$2+1,FALSE)</f>
        <v>941.76892099999998</v>
      </c>
      <c r="Z74">
        <f t="shared" si="1"/>
        <v>0.81742577285926554</v>
      </c>
    </row>
    <row r="75" spans="1:26" x14ac:dyDescent="0.2">
      <c r="A75" s="5" t="s">
        <v>45</v>
      </c>
      <c r="B75" s="5" t="s">
        <v>38</v>
      </c>
      <c r="C75" s="6" t="s">
        <v>13</v>
      </c>
      <c r="D75" s="7">
        <v>0.81460699999999997</v>
      </c>
      <c r="E75">
        <v>0.75212000000000001</v>
      </c>
      <c r="F75">
        <v>0.80907600000000002</v>
      </c>
      <c r="G75">
        <v>0.53372600000000003</v>
      </c>
      <c r="H75">
        <v>0.96153999999999995</v>
      </c>
      <c r="I75">
        <v>0.75442399999999998</v>
      </c>
      <c r="J75">
        <v>0.70421999999999996</v>
      </c>
      <c r="K75">
        <v>0.92644800000000005</v>
      </c>
      <c r="L75">
        <v>0.916713</v>
      </c>
      <c r="M75">
        <v>0.820488</v>
      </c>
      <c r="N75">
        <v>0.744112</v>
      </c>
      <c r="O75" s="8">
        <f>VLOOKUP($B75,floorspace!$B$4:$O$12,'shell factors calc'!O$2+1,FALSE)</f>
        <v>2310.141357</v>
      </c>
      <c r="P75" s="8">
        <f>VLOOKUP($B75,floorspace!$B$4:$O$12,'shell factors calc'!P$2+1,FALSE)</f>
        <v>2408.3359380000002</v>
      </c>
      <c r="Q75" s="8">
        <f>VLOOKUP($B75,floorspace!$B$4:$O$12,'shell factors calc'!Q$2+1,FALSE)</f>
        <v>276.88534499999997</v>
      </c>
      <c r="R75" s="8">
        <f>VLOOKUP($B75,floorspace!$B$4:$O$12,'shell factors calc'!R$2+1,FALSE)</f>
        <v>212.81033300000001</v>
      </c>
      <c r="S75" s="8">
        <f>VLOOKUP($B75,floorspace!$B$4:$O$12,'shell factors calc'!S$2+1,FALSE)</f>
        <v>561.85345500000005</v>
      </c>
      <c r="T75" s="8">
        <f>VLOOKUP($B75,floorspace!$B$4:$O$12,'shell factors calc'!T$2+1,FALSE)</f>
        <v>1051.820923</v>
      </c>
      <c r="U75" s="8">
        <f>VLOOKUP($B75,floorspace!$B$4:$O$12,'shell factors calc'!U$2+1,FALSE)</f>
        <v>1563.5035399999999</v>
      </c>
      <c r="V75" s="8">
        <f>VLOOKUP($B75,floorspace!$B$4:$O$12,'shell factors calc'!V$2+1,FALSE)</f>
        <v>1452.933716</v>
      </c>
      <c r="W75" s="8">
        <f>VLOOKUP($B75,floorspace!$B$4:$O$12,'shell factors calc'!W$2+1,FALSE)</f>
        <v>3021.5776369999999</v>
      </c>
      <c r="X75" s="8">
        <f>VLOOKUP($B75,floorspace!$B$4:$O$12,'shell factors calc'!X$2+1,FALSE)</f>
        <v>3411.5915530000002</v>
      </c>
      <c r="Y75" s="8">
        <f>VLOOKUP($B75,floorspace!$B$4:$O$12,'shell factors calc'!Y$2+1,FALSE)</f>
        <v>941.76892099999998</v>
      </c>
      <c r="Z75">
        <f t="shared" si="1"/>
        <v>0.81806709732331806</v>
      </c>
    </row>
    <row r="76" spans="1:26" x14ac:dyDescent="0.2">
      <c r="A76" s="5" t="s">
        <v>45</v>
      </c>
      <c r="B76" s="5" t="s">
        <v>38</v>
      </c>
      <c r="C76" s="6" t="s">
        <v>14</v>
      </c>
      <c r="D76" s="7">
        <v>0.81118999999999997</v>
      </c>
      <c r="E76">
        <v>0.74749100000000002</v>
      </c>
      <c r="F76">
        <v>0.80190399999999995</v>
      </c>
      <c r="G76">
        <v>0.52569699999999997</v>
      </c>
      <c r="H76">
        <v>0.96069599999999999</v>
      </c>
      <c r="I76">
        <v>0.74895599999999996</v>
      </c>
      <c r="J76">
        <v>0.69814100000000001</v>
      </c>
      <c r="K76">
        <v>0.92511699999999997</v>
      </c>
      <c r="L76">
        <v>0.91510899999999995</v>
      </c>
      <c r="M76">
        <v>0.83877400000000002</v>
      </c>
      <c r="N76">
        <v>0.73940499999999998</v>
      </c>
      <c r="O76" s="8">
        <f>VLOOKUP($B76,floorspace!$B$4:$O$12,'shell factors calc'!O$2+1,FALSE)</f>
        <v>2310.141357</v>
      </c>
      <c r="P76" s="8">
        <f>VLOOKUP($B76,floorspace!$B$4:$O$12,'shell factors calc'!P$2+1,FALSE)</f>
        <v>2408.3359380000002</v>
      </c>
      <c r="Q76" s="8">
        <f>VLOOKUP($B76,floorspace!$B$4:$O$12,'shell factors calc'!Q$2+1,FALSE)</f>
        <v>276.88534499999997</v>
      </c>
      <c r="R76" s="8">
        <f>VLOOKUP($B76,floorspace!$B$4:$O$12,'shell factors calc'!R$2+1,FALSE)</f>
        <v>212.81033300000001</v>
      </c>
      <c r="S76" s="8">
        <f>VLOOKUP($B76,floorspace!$B$4:$O$12,'shell factors calc'!S$2+1,FALSE)</f>
        <v>561.85345500000005</v>
      </c>
      <c r="T76" s="8">
        <f>VLOOKUP($B76,floorspace!$B$4:$O$12,'shell factors calc'!T$2+1,FALSE)</f>
        <v>1051.820923</v>
      </c>
      <c r="U76" s="8">
        <f>VLOOKUP($B76,floorspace!$B$4:$O$12,'shell factors calc'!U$2+1,FALSE)</f>
        <v>1563.5035399999999</v>
      </c>
      <c r="V76" s="8">
        <f>VLOOKUP($B76,floorspace!$B$4:$O$12,'shell factors calc'!V$2+1,FALSE)</f>
        <v>1452.933716</v>
      </c>
      <c r="W76" s="8">
        <f>VLOOKUP($B76,floorspace!$B$4:$O$12,'shell factors calc'!W$2+1,FALSE)</f>
        <v>3021.5776369999999</v>
      </c>
      <c r="X76" s="8">
        <f>VLOOKUP($B76,floorspace!$B$4:$O$12,'shell factors calc'!X$2+1,FALSE)</f>
        <v>3411.5915530000002</v>
      </c>
      <c r="Y76" s="8">
        <f>VLOOKUP($B76,floorspace!$B$4:$O$12,'shell factors calc'!Y$2+1,FALSE)</f>
        <v>941.76892099999998</v>
      </c>
      <c r="Z76">
        <f t="shared" si="1"/>
        <v>0.81880516227808497</v>
      </c>
    </row>
    <row r="77" spans="1:26" x14ac:dyDescent="0.2">
      <c r="A77" s="5" t="s">
        <v>45</v>
      </c>
      <c r="B77" s="5" t="s">
        <v>38</v>
      </c>
      <c r="C77" s="6" t="s">
        <v>15</v>
      </c>
      <c r="D77" s="7">
        <v>0.80778799999999995</v>
      </c>
      <c r="E77">
        <v>0.742892</v>
      </c>
      <c r="F77">
        <v>0.79479500000000003</v>
      </c>
      <c r="G77">
        <v>0.51778900000000005</v>
      </c>
      <c r="H77">
        <v>0.95985299999999996</v>
      </c>
      <c r="I77">
        <v>0.74352799999999997</v>
      </c>
      <c r="J77">
        <v>0.69211400000000001</v>
      </c>
      <c r="K77">
        <v>0.92378700000000002</v>
      </c>
      <c r="L77">
        <v>0.91350799999999999</v>
      </c>
      <c r="M77">
        <v>0.85746900000000004</v>
      </c>
      <c r="N77">
        <v>0.73472700000000002</v>
      </c>
      <c r="O77" s="8">
        <f>VLOOKUP($B77,floorspace!$B$4:$O$12,'shell factors calc'!O$2+1,FALSE)</f>
        <v>2310.141357</v>
      </c>
      <c r="P77" s="8">
        <f>VLOOKUP($B77,floorspace!$B$4:$O$12,'shell factors calc'!P$2+1,FALSE)</f>
        <v>2408.3359380000002</v>
      </c>
      <c r="Q77" s="8">
        <f>VLOOKUP($B77,floorspace!$B$4:$O$12,'shell factors calc'!Q$2+1,FALSE)</f>
        <v>276.88534499999997</v>
      </c>
      <c r="R77" s="8">
        <f>VLOOKUP($B77,floorspace!$B$4:$O$12,'shell factors calc'!R$2+1,FALSE)</f>
        <v>212.81033300000001</v>
      </c>
      <c r="S77" s="8">
        <f>VLOOKUP($B77,floorspace!$B$4:$O$12,'shell factors calc'!S$2+1,FALSE)</f>
        <v>561.85345500000005</v>
      </c>
      <c r="T77" s="8">
        <f>VLOOKUP($B77,floorspace!$B$4:$O$12,'shell factors calc'!T$2+1,FALSE)</f>
        <v>1051.820923</v>
      </c>
      <c r="U77" s="8">
        <f>VLOOKUP($B77,floorspace!$B$4:$O$12,'shell factors calc'!U$2+1,FALSE)</f>
        <v>1563.5035399999999</v>
      </c>
      <c r="V77" s="8">
        <f>VLOOKUP($B77,floorspace!$B$4:$O$12,'shell factors calc'!V$2+1,FALSE)</f>
        <v>1452.933716</v>
      </c>
      <c r="W77" s="8">
        <f>VLOOKUP($B77,floorspace!$B$4:$O$12,'shell factors calc'!W$2+1,FALSE)</f>
        <v>3021.5776369999999</v>
      </c>
      <c r="X77" s="8">
        <f>VLOOKUP($B77,floorspace!$B$4:$O$12,'shell factors calc'!X$2+1,FALSE)</f>
        <v>3411.5915530000002</v>
      </c>
      <c r="Y77" s="8">
        <f>VLOOKUP($B77,floorspace!$B$4:$O$12,'shell factors calc'!Y$2+1,FALSE)</f>
        <v>941.76892099999998</v>
      </c>
      <c r="Z77">
        <f t="shared" si="1"/>
        <v>0.81964240696453028</v>
      </c>
    </row>
    <row r="78" spans="1:26" x14ac:dyDescent="0.2">
      <c r="A78" s="5" t="s">
        <v>45</v>
      </c>
      <c r="B78" s="5" t="s">
        <v>38</v>
      </c>
      <c r="C78" s="6" t="s">
        <v>16</v>
      </c>
      <c r="D78" s="7">
        <v>0.8044</v>
      </c>
      <c r="E78">
        <v>0.73831999999999998</v>
      </c>
      <c r="F78">
        <v>0.78774999999999995</v>
      </c>
      <c r="G78">
        <v>0.51</v>
      </c>
      <c r="H78">
        <v>0.95901000000000003</v>
      </c>
      <c r="I78">
        <v>0.73814000000000002</v>
      </c>
      <c r="J78">
        <v>0.68613999999999997</v>
      </c>
      <c r="K78">
        <v>0.92245999999999995</v>
      </c>
      <c r="L78">
        <v>0.91191</v>
      </c>
      <c r="M78">
        <v>0.87658000000000003</v>
      </c>
      <c r="N78">
        <v>0.73007999999999995</v>
      </c>
      <c r="O78" s="8">
        <f>VLOOKUP($B78,floorspace!$B$4:$O$12,'shell factors calc'!O$2+1,FALSE)</f>
        <v>2310.141357</v>
      </c>
      <c r="P78" s="8">
        <f>VLOOKUP($B78,floorspace!$B$4:$O$12,'shell factors calc'!P$2+1,FALSE)</f>
        <v>2408.3359380000002</v>
      </c>
      <c r="Q78" s="8">
        <f>VLOOKUP($B78,floorspace!$B$4:$O$12,'shell factors calc'!Q$2+1,FALSE)</f>
        <v>276.88534499999997</v>
      </c>
      <c r="R78" s="8">
        <f>VLOOKUP($B78,floorspace!$B$4:$O$12,'shell factors calc'!R$2+1,FALSE)</f>
        <v>212.81033300000001</v>
      </c>
      <c r="S78" s="8">
        <f>VLOOKUP($B78,floorspace!$B$4:$O$12,'shell factors calc'!S$2+1,FALSE)</f>
        <v>561.85345500000005</v>
      </c>
      <c r="T78" s="8">
        <f>VLOOKUP($B78,floorspace!$B$4:$O$12,'shell factors calc'!T$2+1,FALSE)</f>
        <v>1051.820923</v>
      </c>
      <c r="U78" s="8">
        <f>VLOOKUP($B78,floorspace!$B$4:$O$12,'shell factors calc'!U$2+1,FALSE)</f>
        <v>1563.5035399999999</v>
      </c>
      <c r="V78" s="8">
        <f>VLOOKUP($B78,floorspace!$B$4:$O$12,'shell factors calc'!V$2+1,FALSE)</f>
        <v>1452.933716</v>
      </c>
      <c r="W78" s="8">
        <f>VLOOKUP($B78,floorspace!$B$4:$O$12,'shell factors calc'!W$2+1,FALSE)</f>
        <v>3021.5776369999999</v>
      </c>
      <c r="X78" s="8">
        <f>VLOOKUP($B78,floorspace!$B$4:$O$12,'shell factors calc'!X$2+1,FALSE)</f>
        <v>3411.5915530000002</v>
      </c>
      <c r="Y78" s="8">
        <f>VLOOKUP($B78,floorspace!$B$4:$O$12,'shell factors calc'!Y$2+1,FALSE)</f>
        <v>941.76892099999998</v>
      </c>
      <c r="Z78">
        <f t="shared" si="1"/>
        <v>0.82057999260110015</v>
      </c>
    </row>
    <row r="79" spans="1:26" x14ac:dyDescent="0.2">
      <c r="A79" s="5" t="s">
        <v>45</v>
      </c>
      <c r="B79" s="5" t="s">
        <v>38</v>
      </c>
      <c r="C79" s="6" t="s">
        <v>17</v>
      </c>
      <c r="D79" s="7">
        <v>0.80089600000000005</v>
      </c>
      <c r="E79">
        <v>0.73350400000000004</v>
      </c>
      <c r="F79">
        <v>0.78348600000000002</v>
      </c>
      <c r="G79">
        <v>0.50101300000000004</v>
      </c>
      <c r="H79">
        <v>0.95816500000000004</v>
      </c>
      <c r="I79">
        <v>0.732402</v>
      </c>
      <c r="J79">
        <v>0.67969100000000005</v>
      </c>
      <c r="K79">
        <v>0.921122</v>
      </c>
      <c r="L79">
        <v>0.91029300000000002</v>
      </c>
      <c r="M79">
        <v>0.89247500000000002</v>
      </c>
      <c r="N79">
        <v>0.72517399999999999</v>
      </c>
      <c r="O79" s="8">
        <f>VLOOKUP($B79,floorspace!$B$4:$O$12,'shell factors calc'!O$2+1,FALSE)</f>
        <v>2310.141357</v>
      </c>
      <c r="P79" s="8">
        <f>VLOOKUP($B79,floorspace!$B$4:$O$12,'shell factors calc'!P$2+1,FALSE)</f>
        <v>2408.3359380000002</v>
      </c>
      <c r="Q79" s="8">
        <f>VLOOKUP($B79,floorspace!$B$4:$O$12,'shell factors calc'!Q$2+1,FALSE)</f>
        <v>276.88534499999997</v>
      </c>
      <c r="R79" s="8">
        <f>VLOOKUP($B79,floorspace!$B$4:$O$12,'shell factors calc'!R$2+1,FALSE)</f>
        <v>212.81033300000001</v>
      </c>
      <c r="S79" s="8">
        <f>VLOOKUP($B79,floorspace!$B$4:$O$12,'shell factors calc'!S$2+1,FALSE)</f>
        <v>561.85345500000005</v>
      </c>
      <c r="T79" s="8">
        <f>VLOOKUP($B79,floorspace!$B$4:$O$12,'shell factors calc'!T$2+1,FALSE)</f>
        <v>1051.820923</v>
      </c>
      <c r="U79" s="8">
        <f>VLOOKUP($B79,floorspace!$B$4:$O$12,'shell factors calc'!U$2+1,FALSE)</f>
        <v>1563.5035399999999</v>
      </c>
      <c r="V79" s="8">
        <f>VLOOKUP($B79,floorspace!$B$4:$O$12,'shell factors calc'!V$2+1,FALSE)</f>
        <v>1452.933716</v>
      </c>
      <c r="W79" s="8">
        <f>VLOOKUP($B79,floorspace!$B$4:$O$12,'shell factors calc'!W$2+1,FALSE)</f>
        <v>3021.5776369999999</v>
      </c>
      <c r="X79" s="8">
        <f>VLOOKUP($B79,floorspace!$B$4:$O$12,'shell factors calc'!X$2+1,FALSE)</f>
        <v>3411.5915530000002</v>
      </c>
      <c r="Y79" s="8">
        <f>VLOOKUP($B79,floorspace!$B$4:$O$12,'shell factors calc'!Y$2+1,FALSE)</f>
        <v>941.76892099999998</v>
      </c>
      <c r="Z79">
        <f t="shared" si="1"/>
        <v>0.82077736513220234</v>
      </c>
    </row>
    <row r="80" spans="1:26" x14ac:dyDescent="0.2">
      <c r="A80" s="5" t="s">
        <v>45</v>
      </c>
      <c r="B80" s="5" t="s">
        <v>38</v>
      </c>
      <c r="C80" s="6" t="s">
        <v>18</v>
      </c>
      <c r="D80" s="7">
        <v>0.79740800000000001</v>
      </c>
      <c r="E80">
        <v>0.72872000000000003</v>
      </c>
      <c r="F80">
        <v>0.77924400000000005</v>
      </c>
      <c r="G80">
        <v>0.49218400000000001</v>
      </c>
      <c r="H80">
        <v>0.95731999999999995</v>
      </c>
      <c r="I80">
        <v>0.72670900000000005</v>
      </c>
      <c r="J80">
        <v>0.67330299999999998</v>
      </c>
      <c r="K80">
        <v>0.91978700000000002</v>
      </c>
      <c r="L80">
        <v>0.90867900000000001</v>
      </c>
      <c r="M80">
        <v>0.90865899999999999</v>
      </c>
      <c r="N80">
        <v>0.720302</v>
      </c>
      <c r="O80" s="8">
        <f>VLOOKUP($B80,floorspace!$B$4:$O$12,'shell factors calc'!O$2+1,FALSE)</f>
        <v>2310.141357</v>
      </c>
      <c r="P80" s="8">
        <f>VLOOKUP($B80,floorspace!$B$4:$O$12,'shell factors calc'!P$2+1,FALSE)</f>
        <v>2408.3359380000002</v>
      </c>
      <c r="Q80" s="8">
        <f>VLOOKUP($B80,floorspace!$B$4:$O$12,'shell factors calc'!Q$2+1,FALSE)</f>
        <v>276.88534499999997</v>
      </c>
      <c r="R80" s="8">
        <f>VLOOKUP($B80,floorspace!$B$4:$O$12,'shell factors calc'!R$2+1,FALSE)</f>
        <v>212.81033300000001</v>
      </c>
      <c r="S80" s="8">
        <f>VLOOKUP($B80,floorspace!$B$4:$O$12,'shell factors calc'!S$2+1,FALSE)</f>
        <v>561.85345500000005</v>
      </c>
      <c r="T80" s="8">
        <f>VLOOKUP($B80,floorspace!$B$4:$O$12,'shell factors calc'!T$2+1,FALSE)</f>
        <v>1051.820923</v>
      </c>
      <c r="U80" s="8">
        <f>VLOOKUP($B80,floorspace!$B$4:$O$12,'shell factors calc'!U$2+1,FALSE)</f>
        <v>1563.5035399999999</v>
      </c>
      <c r="V80" s="8">
        <f>VLOOKUP($B80,floorspace!$B$4:$O$12,'shell factors calc'!V$2+1,FALSE)</f>
        <v>1452.933716</v>
      </c>
      <c r="W80" s="8">
        <f>VLOOKUP($B80,floorspace!$B$4:$O$12,'shell factors calc'!W$2+1,FALSE)</f>
        <v>3021.5776369999999</v>
      </c>
      <c r="X80" s="8">
        <f>VLOOKUP($B80,floorspace!$B$4:$O$12,'shell factors calc'!X$2+1,FALSE)</f>
        <v>3411.5915530000002</v>
      </c>
      <c r="Y80" s="8">
        <f>VLOOKUP($B80,floorspace!$B$4:$O$12,'shell factors calc'!Y$2+1,FALSE)</f>
        <v>941.76892099999998</v>
      </c>
      <c r="Z80">
        <f t="shared" si="1"/>
        <v>0.82105187858208251</v>
      </c>
    </row>
    <row r="81" spans="1:26" x14ac:dyDescent="0.2">
      <c r="A81" s="5" t="s">
        <v>45</v>
      </c>
      <c r="B81" s="5" t="s">
        <v>38</v>
      </c>
      <c r="C81" s="6" t="s">
        <v>19</v>
      </c>
      <c r="D81" s="7">
        <v>0.79393400000000003</v>
      </c>
      <c r="E81">
        <v>0.723966</v>
      </c>
      <c r="F81">
        <v>0.77502599999999999</v>
      </c>
      <c r="G81">
        <v>0.48351100000000002</v>
      </c>
      <c r="H81">
        <v>0.95647599999999999</v>
      </c>
      <c r="I81">
        <v>0.72106099999999995</v>
      </c>
      <c r="J81">
        <v>0.66697399999999996</v>
      </c>
      <c r="K81">
        <v>0.91845299999999996</v>
      </c>
      <c r="L81">
        <v>0.90706799999999999</v>
      </c>
      <c r="M81">
        <v>0.92513500000000004</v>
      </c>
      <c r="N81">
        <v>0.71546200000000004</v>
      </c>
      <c r="O81" s="8">
        <f>VLOOKUP($B81,floorspace!$B$4:$O$12,'shell factors calc'!O$2+1,FALSE)</f>
        <v>2310.141357</v>
      </c>
      <c r="P81" s="8">
        <f>VLOOKUP($B81,floorspace!$B$4:$O$12,'shell factors calc'!P$2+1,FALSE)</f>
        <v>2408.3359380000002</v>
      </c>
      <c r="Q81" s="8">
        <f>VLOOKUP($B81,floorspace!$B$4:$O$12,'shell factors calc'!Q$2+1,FALSE)</f>
        <v>276.88534499999997</v>
      </c>
      <c r="R81" s="8">
        <f>VLOOKUP($B81,floorspace!$B$4:$O$12,'shell factors calc'!R$2+1,FALSE)</f>
        <v>212.81033300000001</v>
      </c>
      <c r="S81" s="8">
        <f>VLOOKUP($B81,floorspace!$B$4:$O$12,'shell factors calc'!S$2+1,FALSE)</f>
        <v>561.85345500000005</v>
      </c>
      <c r="T81" s="8">
        <f>VLOOKUP($B81,floorspace!$B$4:$O$12,'shell factors calc'!T$2+1,FALSE)</f>
        <v>1051.820923</v>
      </c>
      <c r="U81" s="8">
        <f>VLOOKUP($B81,floorspace!$B$4:$O$12,'shell factors calc'!U$2+1,FALSE)</f>
        <v>1563.5035399999999</v>
      </c>
      <c r="V81" s="8">
        <f>VLOOKUP($B81,floorspace!$B$4:$O$12,'shell factors calc'!V$2+1,FALSE)</f>
        <v>1452.933716</v>
      </c>
      <c r="W81" s="8">
        <f>VLOOKUP($B81,floorspace!$B$4:$O$12,'shell factors calc'!W$2+1,FALSE)</f>
        <v>3021.5776369999999</v>
      </c>
      <c r="X81" s="8">
        <f>VLOOKUP($B81,floorspace!$B$4:$O$12,'shell factors calc'!X$2+1,FALSE)</f>
        <v>3411.5915530000002</v>
      </c>
      <c r="Y81" s="8">
        <f>VLOOKUP($B81,floorspace!$B$4:$O$12,'shell factors calc'!Y$2+1,FALSE)</f>
        <v>941.76892099999998</v>
      </c>
      <c r="Z81">
        <f t="shared" si="1"/>
        <v>0.82140315948268572</v>
      </c>
    </row>
    <row r="82" spans="1:26" x14ac:dyDescent="0.2">
      <c r="A82" s="5" t="s">
        <v>45</v>
      </c>
      <c r="B82" s="5" t="s">
        <v>38</v>
      </c>
      <c r="C82" s="6" t="s">
        <v>20</v>
      </c>
      <c r="D82" s="7">
        <v>0.79047599999999996</v>
      </c>
      <c r="E82">
        <v>0.71924399999999999</v>
      </c>
      <c r="F82">
        <v>0.77083000000000002</v>
      </c>
      <c r="G82">
        <v>0.47499000000000002</v>
      </c>
      <c r="H82">
        <v>0.95563299999999995</v>
      </c>
      <c r="I82">
        <v>0.71545599999999998</v>
      </c>
      <c r="J82">
        <v>0.66070499999999999</v>
      </c>
      <c r="K82">
        <v>0.91712099999999996</v>
      </c>
      <c r="L82">
        <v>0.90546000000000004</v>
      </c>
      <c r="M82">
        <v>0.94191100000000005</v>
      </c>
      <c r="N82">
        <v>0.71065400000000001</v>
      </c>
      <c r="O82" s="8">
        <f>VLOOKUP($B82,floorspace!$B$4:$O$12,'shell factors calc'!O$2+1,FALSE)</f>
        <v>2310.141357</v>
      </c>
      <c r="P82" s="8">
        <f>VLOOKUP($B82,floorspace!$B$4:$O$12,'shell factors calc'!P$2+1,FALSE)</f>
        <v>2408.3359380000002</v>
      </c>
      <c r="Q82" s="8">
        <f>VLOOKUP($B82,floorspace!$B$4:$O$12,'shell factors calc'!Q$2+1,FALSE)</f>
        <v>276.88534499999997</v>
      </c>
      <c r="R82" s="8">
        <f>VLOOKUP($B82,floorspace!$B$4:$O$12,'shell factors calc'!R$2+1,FALSE)</f>
        <v>212.81033300000001</v>
      </c>
      <c r="S82" s="8">
        <f>VLOOKUP($B82,floorspace!$B$4:$O$12,'shell factors calc'!S$2+1,FALSE)</f>
        <v>561.85345500000005</v>
      </c>
      <c r="T82" s="8">
        <f>VLOOKUP($B82,floorspace!$B$4:$O$12,'shell factors calc'!T$2+1,FALSE)</f>
        <v>1051.820923</v>
      </c>
      <c r="U82" s="8">
        <f>VLOOKUP($B82,floorspace!$B$4:$O$12,'shell factors calc'!U$2+1,FALSE)</f>
        <v>1563.5035399999999</v>
      </c>
      <c r="V82" s="8">
        <f>VLOOKUP($B82,floorspace!$B$4:$O$12,'shell factors calc'!V$2+1,FALSE)</f>
        <v>1452.933716</v>
      </c>
      <c r="W82" s="8">
        <f>VLOOKUP($B82,floorspace!$B$4:$O$12,'shell factors calc'!W$2+1,FALSE)</f>
        <v>3021.5776369999999</v>
      </c>
      <c r="X82" s="8">
        <f>VLOOKUP($B82,floorspace!$B$4:$O$12,'shell factors calc'!X$2+1,FALSE)</f>
        <v>3411.5915530000002</v>
      </c>
      <c r="Y82" s="8">
        <f>VLOOKUP($B82,floorspace!$B$4:$O$12,'shell factors calc'!Y$2+1,FALSE)</f>
        <v>941.76892099999998</v>
      </c>
      <c r="Z82">
        <f t="shared" si="1"/>
        <v>0.82183331304527885</v>
      </c>
    </row>
    <row r="83" spans="1:26" x14ac:dyDescent="0.2">
      <c r="A83" s="5" t="s">
        <v>45</v>
      </c>
      <c r="B83" s="5" t="s">
        <v>38</v>
      </c>
      <c r="C83" s="6" t="s">
        <v>21</v>
      </c>
      <c r="D83" s="7">
        <v>0.78703199999999995</v>
      </c>
      <c r="E83">
        <v>0.71455199999999996</v>
      </c>
      <c r="F83">
        <v>0.76665799999999995</v>
      </c>
      <c r="G83">
        <v>0.46661999999999998</v>
      </c>
      <c r="H83">
        <v>0.95479099999999995</v>
      </c>
      <c r="I83">
        <v>0.70989500000000005</v>
      </c>
      <c r="J83">
        <v>0.65449500000000005</v>
      </c>
      <c r="K83">
        <v>0.91579100000000002</v>
      </c>
      <c r="L83">
        <v>0.90385400000000005</v>
      </c>
      <c r="M83">
        <v>0.95899100000000004</v>
      </c>
      <c r="N83">
        <v>0.70587900000000003</v>
      </c>
      <c r="O83" s="8">
        <f>VLOOKUP($B83,floorspace!$B$4:$O$12,'shell factors calc'!O$2+1,FALSE)</f>
        <v>2310.141357</v>
      </c>
      <c r="P83" s="8">
        <f>VLOOKUP($B83,floorspace!$B$4:$O$12,'shell factors calc'!P$2+1,FALSE)</f>
        <v>2408.3359380000002</v>
      </c>
      <c r="Q83" s="8">
        <f>VLOOKUP($B83,floorspace!$B$4:$O$12,'shell factors calc'!Q$2+1,FALSE)</f>
        <v>276.88534499999997</v>
      </c>
      <c r="R83" s="8">
        <f>VLOOKUP($B83,floorspace!$B$4:$O$12,'shell factors calc'!R$2+1,FALSE)</f>
        <v>212.81033300000001</v>
      </c>
      <c r="S83" s="8">
        <f>VLOOKUP($B83,floorspace!$B$4:$O$12,'shell factors calc'!S$2+1,FALSE)</f>
        <v>561.85345500000005</v>
      </c>
      <c r="T83" s="8">
        <f>VLOOKUP($B83,floorspace!$B$4:$O$12,'shell factors calc'!T$2+1,FALSE)</f>
        <v>1051.820923</v>
      </c>
      <c r="U83" s="8">
        <f>VLOOKUP($B83,floorspace!$B$4:$O$12,'shell factors calc'!U$2+1,FALSE)</f>
        <v>1563.5035399999999</v>
      </c>
      <c r="V83" s="8">
        <f>VLOOKUP($B83,floorspace!$B$4:$O$12,'shell factors calc'!V$2+1,FALSE)</f>
        <v>1452.933716</v>
      </c>
      <c r="W83" s="8">
        <f>VLOOKUP($B83,floorspace!$B$4:$O$12,'shell factors calc'!W$2+1,FALSE)</f>
        <v>3021.5776369999999</v>
      </c>
      <c r="X83" s="8">
        <f>VLOOKUP($B83,floorspace!$B$4:$O$12,'shell factors calc'!X$2+1,FALSE)</f>
        <v>3411.5915530000002</v>
      </c>
      <c r="Y83" s="8">
        <f>VLOOKUP($B83,floorspace!$B$4:$O$12,'shell factors calc'!Y$2+1,FALSE)</f>
        <v>941.76892099999998</v>
      </c>
      <c r="Z83">
        <f t="shared" si="1"/>
        <v>0.82234245307078568</v>
      </c>
    </row>
    <row r="84" spans="1:26" x14ac:dyDescent="0.2">
      <c r="A84" s="5" t="s">
        <v>45</v>
      </c>
      <c r="B84" s="5" t="s">
        <v>38</v>
      </c>
      <c r="C84" s="6" t="s">
        <v>22</v>
      </c>
      <c r="D84" s="7">
        <v>0.78360399999999997</v>
      </c>
      <c r="E84">
        <v>0.70989100000000005</v>
      </c>
      <c r="F84">
        <v>0.76250700000000005</v>
      </c>
      <c r="G84">
        <v>0.458397</v>
      </c>
      <c r="H84">
        <v>0.95394900000000005</v>
      </c>
      <c r="I84">
        <v>0.70437700000000003</v>
      </c>
      <c r="J84">
        <v>0.64834400000000003</v>
      </c>
      <c r="K84">
        <v>0.91446300000000003</v>
      </c>
      <c r="L84">
        <v>0.90225200000000005</v>
      </c>
      <c r="M84">
        <v>0.97638000000000003</v>
      </c>
      <c r="N84">
        <v>0.70113599999999998</v>
      </c>
      <c r="O84" s="8">
        <f>VLOOKUP($B84,floorspace!$B$4:$O$12,'shell factors calc'!O$2+1,FALSE)</f>
        <v>2310.141357</v>
      </c>
      <c r="P84" s="8">
        <f>VLOOKUP($B84,floorspace!$B$4:$O$12,'shell factors calc'!P$2+1,FALSE)</f>
        <v>2408.3359380000002</v>
      </c>
      <c r="Q84" s="8">
        <f>VLOOKUP($B84,floorspace!$B$4:$O$12,'shell factors calc'!Q$2+1,FALSE)</f>
        <v>276.88534499999997</v>
      </c>
      <c r="R84" s="8">
        <f>VLOOKUP($B84,floorspace!$B$4:$O$12,'shell factors calc'!R$2+1,FALSE)</f>
        <v>212.81033300000001</v>
      </c>
      <c r="S84" s="8">
        <f>VLOOKUP($B84,floorspace!$B$4:$O$12,'shell factors calc'!S$2+1,FALSE)</f>
        <v>561.85345500000005</v>
      </c>
      <c r="T84" s="8">
        <f>VLOOKUP($B84,floorspace!$B$4:$O$12,'shell factors calc'!T$2+1,FALSE)</f>
        <v>1051.820923</v>
      </c>
      <c r="U84" s="8">
        <f>VLOOKUP($B84,floorspace!$B$4:$O$12,'shell factors calc'!U$2+1,FALSE)</f>
        <v>1563.5035399999999</v>
      </c>
      <c r="V84" s="8">
        <f>VLOOKUP($B84,floorspace!$B$4:$O$12,'shell factors calc'!V$2+1,FALSE)</f>
        <v>1452.933716</v>
      </c>
      <c r="W84" s="8">
        <f>VLOOKUP($B84,floorspace!$B$4:$O$12,'shell factors calc'!W$2+1,FALSE)</f>
        <v>3021.5776369999999</v>
      </c>
      <c r="X84" s="8">
        <f>VLOOKUP($B84,floorspace!$B$4:$O$12,'shell factors calc'!X$2+1,FALSE)</f>
        <v>3411.5915530000002</v>
      </c>
      <c r="Y84" s="8">
        <f>VLOOKUP($B84,floorspace!$B$4:$O$12,'shell factors calc'!Y$2+1,FALSE)</f>
        <v>941.76892099999998</v>
      </c>
      <c r="Z84">
        <f t="shared" si="1"/>
        <v>0.82293208377439275</v>
      </c>
    </row>
    <row r="85" spans="1:26" x14ac:dyDescent="0.2">
      <c r="A85" s="5" t="s">
        <v>45</v>
      </c>
      <c r="B85" s="5" t="s">
        <v>38</v>
      </c>
      <c r="C85" s="6" t="s">
        <v>23</v>
      </c>
      <c r="D85" s="7">
        <v>0.78019099999999997</v>
      </c>
      <c r="E85">
        <v>0.70526100000000003</v>
      </c>
      <c r="F85">
        <v>0.75838000000000005</v>
      </c>
      <c r="G85">
        <v>0.45031900000000002</v>
      </c>
      <c r="H85">
        <v>0.95310799999999996</v>
      </c>
      <c r="I85">
        <v>0.69890099999999999</v>
      </c>
      <c r="J85">
        <v>0.64224999999999999</v>
      </c>
      <c r="K85">
        <v>0.91313699999999998</v>
      </c>
      <c r="L85">
        <v>0.90065200000000001</v>
      </c>
      <c r="M85">
        <v>0.994085</v>
      </c>
      <c r="N85">
        <v>0.69642499999999996</v>
      </c>
      <c r="O85" s="8">
        <f>VLOOKUP($B85,floorspace!$B$4:$O$12,'shell factors calc'!O$2+1,FALSE)</f>
        <v>2310.141357</v>
      </c>
      <c r="P85" s="8">
        <f>VLOOKUP($B85,floorspace!$B$4:$O$12,'shell factors calc'!P$2+1,FALSE)</f>
        <v>2408.3359380000002</v>
      </c>
      <c r="Q85" s="8">
        <f>VLOOKUP($B85,floorspace!$B$4:$O$12,'shell factors calc'!Q$2+1,FALSE)</f>
        <v>276.88534499999997</v>
      </c>
      <c r="R85" s="8">
        <f>VLOOKUP($B85,floorspace!$B$4:$O$12,'shell factors calc'!R$2+1,FALSE)</f>
        <v>212.81033300000001</v>
      </c>
      <c r="S85" s="8">
        <f>VLOOKUP($B85,floorspace!$B$4:$O$12,'shell factors calc'!S$2+1,FALSE)</f>
        <v>561.85345500000005</v>
      </c>
      <c r="T85" s="8">
        <f>VLOOKUP($B85,floorspace!$B$4:$O$12,'shell factors calc'!T$2+1,FALSE)</f>
        <v>1051.820923</v>
      </c>
      <c r="U85" s="8">
        <f>VLOOKUP($B85,floorspace!$B$4:$O$12,'shell factors calc'!U$2+1,FALSE)</f>
        <v>1563.5035399999999</v>
      </c>
      <c r="V85" s="8">
        <f>VLOOKUP($B85,floorspace!$B$4:$O$12,'shell factors calc'!V$2+1,FALSE)</f>
        <v>1452.933716</v>
      </c>
      <c r="W85" s="8">
        <f>VLOOKUP($B85,floorspace!$B$4:$O$12,'shell factors calc'!W$2+1,FALSE)</f>
        <v>3021.5776369999999</v>
      </c>
      <c r="X85" s="8">
        <f>VLOOKUP($B85,floorspace!$B$4:$O$12,'shell factors calc'!X$2+1,FALSE)</f>
        <v>3411.5915530000002</v>
      </c>
      <c r="Y85" s="8">
        <f>VLOOKUP($B85,floorspace!$B$4:$O$12,'shell factors calc'!Y$2+1,FALSE)</f>
        <v>941.76892099999998</v>
      </c>
      <c r="Z85">
        <f t="shared" si="1"/>
        <v>0.82360292064704921</v>
      </c>
    </row>
    <row r="86" spans="1:26" x14ac:dyDescent="0.2">
      <c r="A86" s="5" t="s">
        <v>45</v>
      </c>
      <c r="B86" s="5" t="s">
        <v>38</v>
      </c>
      <c r="C86" s="6" t="s">
        <v>24</v>
      </c>
      <c r="D86" s="7">
        <v>0.77679299999999996</v>
      </c>
      <c r="E86">
        <v>0.70066099999999998</v>
      </c>
      <c r="F86">
        <v>0.754274</v>
      </c>
      <c r="G86">
        <v>0.442384</v>
      </c>
      <c r="H86">
        <v>0.952268</v>
      </c>
      <c r="I86">
        <v>0.693469</v>
      </c>
      <c r="J86">
        <v>0.63621300000000003</v>
      </c>
      <c r="K86">
        <v>0.91181299999999998</v>
      </c>
      <c r="L86">
        <v>0.89905500000000005</v>
      </c>
      <c r="M86">
        <v>1.012111</v>
      </c>
      <c r="N86">
        <v>0.69174500000000005</v>
      </c>
      <c r="O86" s="8">
        <f>VLOOKUP($B86,floorspace!$B$4:$O$12,'shell factors calc'!O$2+1,FALSE)</f>
        <v>2310.141357</v>
      </c>
      <c r="P86" s="8">
        <f>VLOOKUP($B86,floorspace!$B$4:$O$12,'shell factors calc'!P$2+1,FALSE)</f>
        <v>2408.3359380000002</v>
      </c>
      <c r="Q86" s="8">
        <f>VLOOKUP($B86,floorspace!$B$4:$O$12,'shell factors calc'!Q$2+1,FALSE)</f>
        <v>276.88534499999997</v>
      </c>
      <c r="R86" s="8">
        <f>VLOOKUP($B86,floorspace!$B$4:$O$12,'shell factors calc'!R$2+1,FALSE)</f>
        <v>212.81033300000001</v>
      </c>
      <c r="S86" s="8">
        <f>VLOOKUP($B86,floorspace!$B$4:$O$12,'shell factors calc'!S$2+1,FALSE)</f>
        <v>561.85345500000005</v>
      </c>
      <c r="T86" s="8">
        <f>VLOOKUP($B86,floorspace!$B$4:$O$12,'shell factors calc'!T$2+1,FALSE)</f>
        <v>1051.820923</v>
      </c>
      <c r="U86" s="8">
        <f>VLOOKUP($B86,floorspace!$B$4:$O$12,'shell factors calc'!U$2+1,FALSE)</f>
        <v>1563.5035399999999</v>
      </c>
      <c r="V86" s="8">
        <f>VLOOKUP($B86,floorspace!$B$4:$O$12,'shell factors calc'!V$2+1,FALSE)</f>
        <v>1452.933716</v>
      </c>
      <c r="W86" s="8">
        <f>VLOOKUP($B86,floorspace!$B$4:$O$12,'shell factors calc'!W$2+1,FALSE)</f>
        <v>3021.5776369999999</v>
      </c>
      <c r="X86" s="8">
        <f>VLOOKUP($B86,floorspace!$B$4:$O$12,'shell factors calc'!X$2+1,FALSE)</f>
        <v>3411.5915530000002</v>
      </c>
      <c r="Y86" s="8">
        <f>VLOOKUP($B86,floorspace!$B$4:$O$12,'shell factors calc'!Y$2+1,FALSE)</f>
        <v>941.76892099999998</v>
      </c>
      <c r="Z86">
        <f t="shared" si="1"/>
        <v>0.82435598481048122</v>
      </c>
    </row>
    <row r="87" spans="1:26" x14ac:dyDescent="0.2">
      <c r="A87" s="5" t="s">
        <v>45</v>
      </c>
      <c r="B87" s="5" t="s">
        <v>38</v>
      </c>
      <c r="C87" s="6" t="s">
        <v>25</v>
      </c>
      <c r="D87" s="7">
        <v>0.77340900000000001</v>
      </c>
      <c r="E87">
        <v>0.69608999999999999</v>
      </c>
      <c r="F87">
        <v>0.75019100000000005</v>
      </c>
      <c r="G87">
        <v>0.43458799999999997</v>
      </c>
      <c r="H87">
        <v>0.95142899999999997</v>
      </c>
      <c r="I87">
        <v>0.68807799999999997</v>
      </c>
      <c r="J87">
        <v>0.63023399999999996</v>
      </c>
      <c r="K87">
        <v>0.91049100000000005</v>
      </c>
      <c r="L87">
        <v>0.89746099999999995</v>
      </c>
      <c r="M87">
        <v>1.030464</v>
      </c>
      <c r="N87">
        <v>0.68709699999999996</v>
      </c>
      <c r="O87" s="8">
        <f>VLOOKUP($B87,floorspace!$B$4:$O$12,'shell factors calc'!O$2+1,FALSE)</f>
        <v>2310.141357</v>
      </c>
      <c r="P87" s="8">
        <f>VLOOKUP($B87,floorspace!$B$4:$O$12,'shell factors calc'!P$2+1,FALSE)</f>
        <v>2408.3359380000002</v>
      </c>
      <c r="Q87" s="8">
        <f>VLOOKUP($B87,floorspace!$B$4:$O$12,'shell factors calc'!Q$2+1,FALSE)</f>
        <v>276.88534499999997</v>
      </c>
      <c r="R87" s="8">
        <f>VLOOKUP($B87,floorspace!$B$4:$O$12,'shell factors calc'!R$2+1,FALSE)</f>
        <v>212.81033300000001</v>
      </c>
      <c r="S87" s="8">
        <f>VLOOKUP($B87,floorspace!$B$4:$O$12,'shell factors calc'!S$2+1,FALSE)</f>
        <v>561.85345500000005</v>
      </c>
      <c r="T87" s="8">
        <f>VLOOKUP($B87,floorspace!$B$4:$O$12,'shell factors calc'!T$2+1,FALSE)</f>
        <v>1051.820923</v>
      </c>
      <c r="U87" s="8">
        <f>VLOOKUP($B87,floorspace!$B$4:$O$12,'shell factors calc'!U$2+1,FALSE)</f>
        <v>1563.5035399999999</v>
      </c>
      <c r="V87" s="8">
        <f>VLOOKUP($B87,floorspace!$B$4:$O$12,'shell factors calc'!V$2+1,FALSE)</f>
        <v>1452.933716</v>
      </c>
      <c r="W87" s="8">
        <f>VLOOKUP($B87,floorspace!$B$4:$O$12,'shell factors calc'!W$2+1,FALSE)</f>
        <v>3021.5776369999999</v>
      </c>
      <c r="X87" s="8">
        <f>VLOOKUP($B87,floorspace!$B$4:$O$12,'shell factors calc'!X$2+1,FALSE)</f>
        <v>3411.5915530000002</v>
      </c>
      <c r="Y87" s="8">
        <f>VLOOKUP($B87,floorspace!$B$4:$O$12,'shell factors calc'!Y$2+1,FALSE)</f>
        <v>941.76892099999998</v>
      </c>
      <c r="Z87">
        <f t="shared" si="1"/>
        <v>0.82519213626698518</v>
      </c>
    </row>
    <row r="88" spans="1:26" x14ac:dyDescent="0.2">
      <c r="A88" s="5" t="s">
        <v>45</v>
      </c>
      <c r="B88" s="5" t="s">
        <v>38</v>
      </c>
      <c r="C88" s="6" t="s">
        <v>26</v>
      </c>
      <c r="D88" s="7">
        <v>0.77003999999999995</v>
      </c>
      <c r="E88">
        <v>0.69155</v>
      </c>
      <c r="F88">
        <v>0.74612999999999996</v>
      </c>
      <c r="G88">
        <v>0.42692999999999998</v>
      </c>
      <c r="H88">
        <v>0.95059000000000005</v>
      </c>
      <c r="I88">
        <v>0.68272999999999995</v>
      </c>
      <c r="J88">
        <v>0.62431000000000003</v>
      </c>
      <c r="K88">
        <v>0.90917000000000003</v>
      </c>
      <c r="L88">
        <v>0.89587000000000006</v>
      </c>
      <c r="M88">
        <v>1.04915</v>
      </c>
      <c r="N88">
        <v>0.68247999999999998</v>
      </c>
      <c r="O88" s="8">
        <f>VLOOKUP($B88,floorspace!$B$4:$O$12,'shell factors calc'!O$2+1,FALSE)</f>
        <v>2310.141357</v>
      </c>
      <c r="P88" s="8">
        <f>VLOOKUP($B88,floorspace!$B$4:$O$12,'shell factors calc'!P$2+1,FALSE)</f>
        <v>2408.3359380000002</v>
      </c>
      <c r="Q88" s="8">
        <f>VLOOKUP($B88,floorspace!$B$4:$O$12,'shell factors calc'!Q$2+1,FALSE)</f>
        <v>276.88534499999997</v>
      </c>
      <c r="R88" s="8">
        <f>VLOOKUP($B88,floorspace!$B$4:$O$12,'shell factors calc'!R$2+1,FALSE)</f>
        <v>212.81033300000001</v>
      </c>
      <c r="S88" s="8">
        <f>VLOOKUP($B88,floorspace!$B$4:$O$12,'shell factors calc'!S$2+1,FALSE)</f>
        <v>561.85345500000005</v>
      </c>
      <c r="T88" s="8">
        <f>VLOOKUP($B88,floorspace!$B$4:$O$12,'shell factors calc'!T$2+1,FALSE)</f>
        <v>1051.820923</v>
      </c>
      <c r="U88" s="8">
        <f>VLOOKUP($B88,floorspace!$B$4:$O$12,'shell factors calc'!U$2+1,FALSE)</f>
        <v>1563.5035399999999</v>
      </c>
      <c r="V88" s="8">
        <f>VLOOKUP($B88,floorspace!$B$4:$O$12,'shell factors calc'!V$2+1,FALSE)</f>
        <v>1452.933716</v>
      </c>
      <c r="W88" s="8">
        <f>VLOOKUP($B88,floorspace!$B$4:$O$12,'shell factors calc'!W$2+1,FALSE)</f>
        <v>3021.5776369999999</v>
      </c>
      <c r="X88" s="8">
        <f>VLOOKUP($B88,floorspace!$B$4:$O$12,'shell factors calc'!X$2+1,FALSE)</f>
        <v>3411.5915530000002</v>
      </c>
      <c r="Y88" s="8">
        <f>VLOOKUP($B88,floorspace!$B$4:$O$12,'shell factors calc'!Y$2+1,FALSE)</f>
        <v>941.76892099999998</v>
      </c>
      <c r="Z88">
        <f t="shared" si="1"/>
        <v>0.82611262773038274</v>
      </c>
    </row>
    <row r="89" spans="1:26" x14ac:dyDescent="0.2">
      <c r="A89" s="5" t="s">
        <v>45</v>
      </c>
      <c r="B89" s="5" t="s">
        <v>38</v>
      </c>
      <c r="C89" s="6" t="s">
        <v>27</v>
      </c>
      <c r="D89" s="7">
        <v>0.76655099999999998</v>
      </c>
      <c r="E89">
        <v>0.68674800000000003</v>
      </c>
      <c r="F89">
        <v>0.74209099999999995</v>
      </c>
      <c r="G89">
        <v>0.41784100000000002</v>
      </c>
      <c r="H89">
        <v>0.94974999999999998</v>
      </c>
      <c r="I89">
        <v>0.67700499999999997</v>
      </c>
      <c r="J89">
        <v>0.61786700000000006</v>
      </c>
      <c r="K89">
        <v>0.90783899999999995</v>
      </c>
      <c r="L89">
        <v>0.894262</v>
      </c>
      <c r="M89">
        <v>1.0651740000000001</v>
      </c>
      <c r="N89">
        <v>0.677589</v>
      </c>
      <c r="O89" s="8">
        <f>VLOOKUP($B89,floorspace!$B$4:$O$12,'shell factors calc'!O$2+1,FALSE)</f>
        <v>2310.141357</v>
      </c>
      <c r="P89" s="8">
        <f>VLOOKUP($B89,floorspace!$B$4:$O$12,'shell factors calc'!P$2+1,FALSE)</f>
        <v>2408.3359380000002</v>
      </c>
      <c r="Q89" s="8">
        <f>VLOOKUP($B89,floorspace!$B$4:$O$12,'shell factors calc'!Q$2+1,FALSE)</f>
        <v>276.88534499999997</v>
      </c>
      <c r="R89" s="8">
        <f>VLOOKUP($B89,floorspace!$B$4:$O$12,'shell factors calc'!R$2+1,FALSE)</f>
        <v>212.81033300000001</v>
      </c>
      <c r="S89" s="8">
        <f>VLOOKUP($B89,floorspace!$B$4:$O$12,'shell factors calc'!S$2+1,FALSE)</f>
        <v>561.85345500000005</v>
      </c>
      <c r="T89" s="8">
        <f>VLOOKUP($B89,floorspace!$B$4:$O$12,'shell factors calc'!T$2+1,FALSE)</f>
        <v>1051.820923</v>
      </c>
      <c r="U89" s="8">
        <f>VLOOKUP($B89,floorspace!$B$4:$O$12,'shell factors calc'!U$2+1,FALSE)</f>
        <v>1563.5035399999999</v>
      </c>
      <c r="V89" s="8">
        <f>VLOOKUP($B89,floorspace!$B$4:$O$12,'shell factors calc'!V$2+1,FALSE)</f>
        <v>1452.933716</v>
      </c>
      <c r="W89" s="8">
        <f>VLOOKUP($B89,floorspace!$B$4:$O$12,'shell factors calc'!W$2+1,FALSE)</f>
        <v>3021.5776369999999</v>
      </c>
      <c r="X89" s="8">
        <f>VLOOKUP($B89,floorspace!$B$4:$O$12,'shell factors calc'!X$2+1,FALSE)</f>
        <v>3411.5915530000002</v>
      </c>
      <c r="Y89" s="8">
        <f>VLOOKUP($B89,floorspace!$B$4:$O$12,'shell factors calc'!Y$2+1,FALSE)</f>
        <v>941.76892099999998</v>
      </c>
      <c r="Z89">
        <f t="shared" si="1"/>
        <v>0.8263463915823791</v>
      </c>
    </row>
    <row r="90" spans="1:26" x14ac:dyDescent="0.2">
      <c r="A90" s="5" t="s">
        <v>45</v>
      </c>
      <c r="B90" s="5" t="s">
        <v>38</v>
      </c>
      <c r="C90" s="6" t="s">
        <v>28</v>
      </c>
      <c r="D90" s="7">
        <v>0.76307700000000001</v>
      </c>
      <c r="E90">
        <v>0.681979</v>
      </c>
      <c r="F90">
        <v>0.73807400000000001</v>
      </c>
      <c r="G90">
        <v>0.408945</v>
      </c>
      <c r="H90">
        <v>0.94891000000000003</v>
      </c>
      <c r="I90">
        <v>0.67132700000000001</v>
      </c>
      <c r="J90">
        <v>0.61148999999999998</v>
      </c>
      <c r="K90">
        <v>0.90651099999999996</v>
      </c>
      <c r="L90">
        <v>0.89265700000000003</v>
      </c>
      <c r="M90">
        <v>1.0814440000000001</v>
      </c>
      <c r="N90">
        <v>0.67273400000000005</v>
      </c>
      <c r="O90" s="8">
        <f>VLOOKUP($B90,floorspace!$B$4:$O$12,'shell factors calc'!O$2+1,FALSE)</f>
        <v>2310.141357</v>
      </c>
      <c r="P90" s="8">
        <f>VLOOKUP($B90,floorspace!$B$4:$O$12,'shell factors calc'!P$2+1,FALSE)</f>
        <v>2408.3359380000002</v>
      </c>
      <c r="Q90" s="8">
        <f>VLOOKUP($B90,floorspace!$B$4:$O$12,'shell factors calc'!Q$2+1,FALSE)</f>
        <v>276.88534499999997</v>
      </c>
      <c r="R90" s="8">
        <f>VLOOKUP($B90,floorspace!$B$4:$O$12,'shell factors calc'!R$2+1,FALSE)</f>
        <v>212.81033300000001</v>
      </c>
      <c r="S90" s="8">
        <f>VLOOKUP($B90,floorspace!$B$4:$O$12,'shell factors calc'!S$2+1,FALSE)</f>
        <v>561.85345500000005</v>
      </c>
      <c r="T90" s="8">
        <f>VLOOKUP($B90,floorspace!$B$4:$O$12,'shell factors calc'!T$2+1,FALSE)</f>
        <v>1051.820923</v>
      </c>
      <c r="U90" s="8">
        <f>VLOOKUP($B90,floorspace!$B$4:$O$12,'shell factors calc'!U$2+1,FALSE)</f>
        <v>1563.5035399999999</v>
      </c>
      <c r="V90" s="8">
        <f>VLOOKUP($B90,floorspace!$B$4:$O$12,'shell factors calc'!V$2+1,FALSE)</f>
        <v>1452.933716</v>
      </c>
      <c r="W90" s="8">
        <f>VLOOKUP($B90,floorspace!$B$4:$O$12,'shell factors calc'!W$2+1,FALSE)</f>
        <v>3021.5776369999999</v>
      </c>
      <c r="X90" s="8">
        <f>VLOOKUP($B90,floorspace!$B$4:$O$12,'shell factors calc'!X$2+1,FALSE)</f>
        <v>3411.5915530000002</v>
      </c>
      <c r="Y90" s="8">
        <f>VLOOKUP($B90,floorspace!$B$4:$O$12,'shell factors calc'!Y$2+1,FALSE)</f>
        <v>941.76892099999998</v>
      </c>
      <c r="Z90">
        <f t="shared" si="1"/>
        <v>0.82664989813463052</v>
      </c>
    </row>
    <row r="91" spans="1:26" x14ac:dyDescent="0.2">
      <c r="A91" s="5" t="s">
        <v>45</v>
      </c>
      <c r="B91" s="5" t="s">
        <v>38</v>
      </c>
      <c r="C91" s="6" t="s">
        <v>29</v>
      </c>
      <c r="D91" s="7">
        <v>0.75961900000000004</v>
      </c>
      <c r="E91">
        <v>0.67724300000000004</v>
      </c>
      <c r="F91">
        <v>0.73407900000000004</v>
      </c>
      <c r="G91">
        <v>0.40023900000000001</v>
      </c>
      <c r="H91">
        <v>0.948071</v>
      </c>
      <c r="I91">
        <v>0.66569800000000001</v>
      </c>
      <c r="J91">
        <v>0.60517900000000002</v>
      </c>
      <c r="K91">
        <v>0.90518399999999999</v>
      </c>
      <c r="L91">
        <v>0.89105500000000004</v>
      </c>
      <c r="M91">
        <v>1.0979620000000001</v>
      </c>
      <c r="N91">
        <v>0.66791299999999998</v>
      </c>
      <c r="O91" s="8">
        <f>VLOOKUP($B91,floorspace!$B$4:$O$12,'shell factors calc'!O$2+1,FALSE)</f>
        <v>2310.141357</v>
      </c>
      <c r="P91" s="8">
        <f>VLOOKUP($B91,floorspace!$B$4:$O$12,'shell factors calc'!P$2+1,FALSE)</f>
        <v>2408.3359380000002</v>
      </c>
      <c r="Q91" s="8">
        <f>VLOOKUP($B91,floorspace!$B$4:$O$12,'shell factors calc'!Q$2+1,FALSE)</f>
        <v>276.88534499999997</v>
      </c>
      <c r="R91" s="8">
        <f>VLOOKUP($B91,floorspace!$B$4:$O$12,'shell factors calc'!R$2+1,FALSE)</f>
        <v>212.81033300000001</v>
      </c>
      <c r="S91" s="8">
        <f>VLOOKUP($B91,floorspace!$B$4:$O$12,'shell factors calc'!S$2+1,FALSE)</f>
        <v>561.85345500000005</v>
      </c>
      <c r="T91" s="8">
        <f>VLOOKUP($B91,floorspace!$B$4:$O$12,'shell factors calc'!T$2+1,FALSE)</f>
        <v>1051.820923</v>
      </c>
      <c r="U91" s="8">
        <f>VLOOKUP($B91,floorspace!$B$4:$O$12,'shell factors calc'!U$2+1,FALSE)</f>
        <v>1563.5035399999999</v>
      </c>
      <c r="V91" s="8">
        <f>VLOOKUP($B91,floorspace!$B$4:$O$12,'shell factors calc'!V$2+1,FALSE)</f>
        <v>1452.933716</v>
      </c>
      <c r="W91" s="8">
        <f>VLOOKUP($B91,floorspace!$B$4:$O$12,'shell factors calc'!W$2+1,FALSE)</f>
        <v>3021.5776369999999</v>
      </c>
      <c r="X91" s="8">
        <f>VLOOKUP($B91,floorspace!$B$4:$O$12,'shell factors calc'!X$2+1,FALSE)</f>
        <v>3411.5915530000002</v>
      </c>
      <c r="Y91" s="8">
        <f>VLOOKUP($B91,floorspace!$B$4:$O$12,'shell factors calc'!Y$2+1,FALSE)</f>
        <v>941.76892099999998</v>
      </c>
      <c r="Z91">
        <f t="shared" si="1"/>
        <v>0.82702351750861813</v>
      </c>
    </row>
    <row r="92" spans="1:26" x14ac:dyDescent="0.2">
      <c r="A92" s="5" t="s">
        <v>45</v>
      </c>
      <c r="B92" s="5" t="s">
        <v>38</v>
      </c>
      <c r="C92" s="6" t="s">
        <v>30</v>
      </c>
      <c r="D92" s="7">
        <v>0.75617699999999999</v>
      </c>
      <c r="E92">
        <v>0.67254000000000003</v>
      </c>
      <c r="F92">
        <v>0.730105</v>
      </c>
      <c r="G92">
        <v>0.39171800000000001</v>
      </c>
      <c r="H92">
        <v>0.94723299999999999</v>
      </c>
      <c r="I92">
        <v>0.66011500000000001</v>
      </c>
      <c r="J92">
        <v>0.59893399999999997</v>
      </c>
      <c r="K92">
        <v>0.90385899999999997</v>
      </c>
      <c r="L92">
        <v>0.88945600000000002</v>
      </c>
      <c r="M92">
        <v>1.1147320000000001</v>
      </c>
      <c r="N92">
        <v>0.66312599999999999</v>
      </c>
      <c r="O92" s="8">
        <f>VLOOKUP($B92,floorspace!$B$4:$O$12,'shell factors calc'!O$2+1,FALSE)</f>
        <v>2310.141357</v>
      </c>
      <c r="P92" s="8">
        <f>VLOOKUP($B92,floorspace!$B$4:$O$12,'shell factors calc'!P$2+1,FALSE)</f>
        <v>2408.3359380000002</v>
      </c>
      <c r="Q92" s="8">
        <f>VLOOKUP($B92,floorspace!$B$4:$O$12,'shell factors calc'!Q$2+1,FALSE)</f>
        <v>276.88534499999997</v>
      </c>
      <c r="R92" s="8">
        <f>VLOOKUP($B92,floorspace!$B$4:$O$12,'shell factors calc'!R$2+1,FALSE)</f>
        <v>212.81033300000001</v>
      </c>
      <c r="S92" s="8">
        <f>VLOOKUP($B92,floorspace!$B$4:$O$12,'shell factors calc'!S$2+1,FALSE)</f>
        <v>561.85345500000005</v>
      </c>
      <c r="T92" s="8">
        <f>VLOOKUP($B92,floorspace!$B$4:$O$12,'shell factors calc'!T$2+1,FALSE)</f>
        <v>1051.820923</v>
      </c>
      <c r="U92" s="8">
        <f>VLOOKUP($B92,floorspace!$B$4:$O$12,'shell factors calc'!U$2+1,FALSE)</f>
        <v>1563.5035399999999</v>
      </c>
      <c r="V92" s="8">
        <f>VLOOKUP($B92,floorspace!$B$4:$O$12,'shell factors calc'!V$2+1,FALSE)</f>
        <v>1452.933716</v>
      </c>
      <c r="W92" s="8">
        <f>VLOOKUP($B92,floorspace!$B$4:$O$12,'shell factors calc'!W$2+1,FALSE)</f>
        <v>3021.5776369999999</v>
      </c>
      <c r="X92" s="8">
        <f>VLOOKUP($B92,floorspace!$B$4:$O$12,'shell factors calc'!X$2+1,FALSE)</f>
        <v>3411.5915530000002</v>
      </c>
      <c r="Y92" s="8">
        <f>VLOOKUP($B92,floorspace!$B$4:$O$12,'shell factors calc'!Y$2+1,FALSE)</f>
        <v>941.76892099999998</v>
      </c>
      <c r="Z92">
        <f t="shared" si="1"/>
        <v>0.82746786567848696</v>
      </c>
    </row>
    <row r="93" spans="1:26" x14ac:dyDescent="0.2">
      <c r="A93" s="5" t="s">
        <v>45</v>
      </c>
      <c r="B93" s="5" t="s">
        <v>38</v>
      </c>
      <c r="C93" s="6" t="s">
        <v>31</v>
      </c>
      <c r="D93" s="7">
        <v>0.75275099999999995</v>
      </c>
      <c r="E93">
        <v>0.66786999999999996</v>
      </c>
      <c r="F93">
        <v>0.72615300000000005</v>
      </c>
      <c r="G93">
        <v>0.38337900000000003</v>
      </c>
      <c r="H93">
        <v>0.94639600000000002</v>
      </c>
      <c r="I93">
        <v>0.65458000000000005</v>
      </c>
      <c r="J93">
        <v>0.59275199999999995</v>
      </c>
      <c r="K93">
        <v>0.902536</v>
      </c>
      <c r="L93">
        <v>0.88785899999999995</v>
      </c>
      <c r="M93">
        <v>1.131758</v>
      </c>
      <c r="N93">
        <v>0.65837400000000001</v>
      </c>
      <c r="O93" s="8">
        <f>VLOOKUP($B93,floorspace!$B$4:$O$12,'shell factors calc'!O$2+1,FALSE)</f>
        <v>2310.141357</v>
      </c>
      <c r="P93" s="8">
        <f>VLOOKUP($B93,floorspace!$B$4:$O$12,'shell factors calc'!P$2+1,FALSE)</f>
        <v>2408.3359380000002</v>
      </c>
      <c r="Q93" s="8">
        <f>VLOOKUP($B93,floorspace!$B$4:$O$12,'shell factors calc'!Q$2+1,FALSE)</f>
        <v>276.88534499999997</v>
      </c>
      <c r="R93" s="8">
        <f>VLOOKUP($B93,floorspace!$B$4:$O$12,'shell factors calc'!R$2+1,FALSE)</f>
        <v>212.81033300000001</v>
      </c>
      <c r="S93" s="8">
        <f>VLOOKUP($B93,floorspace!$B$4:$O$12,'shell factors calc'!S$2+1,FALSE)</f>
        <v>561.85345500000005</v>
      </c>
      <c r="T93" s="8">
        <f>VLOOKUP($B93,floorspace!$B$4:$O$12,'shell factors calc'!T$2+1,FALSE)</f>
        <v>1051.820923</v>
      </c>
      <c r="U93" s="8">
        <f>VLOOKUP($B93,floorspace!$B$4:$O$12,'shell factors calc'!U$2+1,FALSE)</f>
        <v>1563.5035399999999</v>
      </c>
      <c r="V93" s="8">
        <f>VLOOKUP($B93,floorspace!$B$4:$O$12,'shell factors calc'!V$2+1,FALSE)</f>
        <v>1452.933716</v>
      </c>
      <c r="W93" s="8">
        <f>VLOOKUP($B93,floorspace!$B$4:$O$12,'shell factors calc'!W$2+1,FALSE)</f>
        <v>3021.5776369999999</v>
      </c>
      <c r="X93" s="8">
        <f>VLOOKUP($B93,floorspace!$B$4:$O$12,'shell factors calc'!X$2+1,FALSE)</f>
        <v>3411.5915530000002</v>
      </c>
      <c r="Y93" s="8">
        <f>VLOOKUP($B93,floorspace!$B$4:$O$12,'shell factors calc'!Y$2+1,FALSE)</f>
        <v>941.76892099999998</v>
      </c>
      <c r="Z93">
        <f t="shared" si="1"/>
        <v>0.82798344331417051</v>
      </c>
    </row>
    <row r="94" spans="1:26" x14ac:dyDescent="0.2">
      <c r="A94" s="5" t="s">
        <v>45</v>
      </c>
      <c r="B94" s="5" t="s">
        <v>38</v>
      </c>
      <c r="C94" s="6" t="s">
        <v>32</v>
      </c>
      <c r="D94" s="7">
        <v>0.74934000000000001</v>
      </c>
      <c r="E94">
        <v>0.66323200000000004</v>
      </c>
      <c r="F94">
        <v>0.72222200000000003</v>
      </c>
      <c r="G94">
        <v>0.37521700000000002</v>
      </c>
      <c r="H94">
        <v>0.94555900000000004</v>
      </c>
      <c r="I94">
        <v>0.64908999999999994</v>
      </c>
      <c r="J94">
        <v>0.58663500000000002</v>
      </c>
      <c r="K94">
        <v>0.90121499999999999</v>
      </c>
      <c r="L94">
        <v>0.886266</v>
      </c>
      <c r="M94">
        <v>1.149044</v>
      </c>
      <c r="N94">
        <v>0.65365600000000001</v>
      </c>
      <c r="O94" s="8">
        <f>VLOOKUP($B94,floorspace!$B$4:$O$12,'shell factors calc'!O$2+1,FALSE)</f>
        <v>2310.141357</v>
      </c>
      <c r="P94" s="8">
        <f>VLOOKUP($B94,floorspace!$B$4:$O$12,'shell factors calc'!P$2+1,FALSE)</f>
        <v>2408.3359380000002</v>
      </c>
      <c r="Q94" s="8">
        <f>VLOOKUP($B94,floorspace!$B$4:$O$12,'shell factors calc'!Q$2+1,FALSE)</f>
        <v>276.88534499999997</v>
      </c>
      <c r="R94" s="8">
        <f>VLOOKUP($B94,floorspace!$B$4:$O$12,'shell factors calc'!R$2+1,FALSE)</f>
        <v>212.81033300000001</v>
      </c>
      <c r="S94" s="8">
        <f>VLOOKUP($B94,floorspace!$B$4:$O$12,'shell factors calc'!S$2+1,FALSE)</f>
        <v>561.85345500000005</v>
      </c>
      <c r="T94" s="8">
        <f>VLOOKUP($B94,floorspace!$B$4:$O$12,'shell factors calc'!T$2+1,FALSE)</f>
        <v>1051.820923</v>
      </c>
      <c r="U94" s="8">
        <f>VLOOKUP($B94,floorspace!$B$4:$O$12,'shell factors calc'!U$2+1,FALSE)</f>
        <v>1563.5035399999999</v>
      </c>
      <c r="V94" s="8">
        <f>VLOOKUP($B94,floorspace!$B$4:$O$12,'shell factors calc'!V$2+1,FALSE)</f>
        <v>1452.933716</v>
      </c>
      <c r="W94" s="8">
        <f>VLOOKUP($B94,floorspace!$B$4:$O$12,'shell factors calc'!W$2+1,FALSE)</f>
        <v>3021.5776369999999</v>
      </c>
      <c r="X94" s="8">
        <f>VLOOKUP($B94,floorspace!$B$4:$O$12,'shell factors calc'!X$2+1,FALSE)</f>
        <v>3411.5915530000002</v>
      </c>
      <c r="Y94" s="8">
        <f>VLOOKUP($B94,floorspace!$B$4:$O$12,'shell factors calc'!Y$2+1,FALSE)</f>
        <v>941.76892099999998</v>
      </c>
      <c r="Z94">
        <f t="shared" si="1"/>
        <v>0.82857095324914232</v>
      </c>
    </row>
    <row r="95" spans="1:26" x14ac:dyDescent="0.2">
      <c r="A95" s="5" t="s">
        <v>45</v>
      </c>
      <c r="B95" s="5" t="s">
        <v>38</v>
      </c>
      <c r="C95" s="6" t="s">
        <v>33</v>
      </c>
      <c r="D95" s="7">
        <v>0.74594400000000005</v>
      </c>
      <c r="E95">
        <v>0.65862600000000004</v>
      </c>
      <c r="F95">
        <v>0.71831199999999995</v>
      </c>
      <c r="G95">
        <v>0.36722900000000003</v>
      </c>
      <c r="H95">
        <v>0.94472299999999998</v>
      </c>
      <c r="I95">
        <v>0.64364699999999997</v>
      </c>
      <c r="J95">
        <v>0.58058100000000001</v>
      </c>
      <c r="K95">
        <v>0.89989600000000003</v>
      </c>
      <c r="L95">
        <v>0.88467499999999999</v>
      </c>
      <c r="M95">
        <v>1.1665939999999999</v>
      </c>
      <c r="N95">
        <v>0.64897199999999999</v>
      </c>
      <c r="O95" s="8">
        <f>VLOOKUP($B95,floorspace!$B$4:$O$12,'shell factors calc'!O$2+1,FALSE)</f>
        <v>2310.141357</v>
      </c>
      <c r="P95" s="8">
        <f>VLOOKUP($B95,floorspace!$B$4:$O$12,'shell factors calc'!P$2+1,FALSE)</f>
        <v>2408.3359380000002</v>
      </c>
      <c r="Q95" s="8">
        <f>VLOOKUP($B95,floorspace!$B$4:$O$12,'shell factors calc'!Q$2+1,FALSE)</f>
        <v>276.88534499999997</v>
      </c>
      <c r="R95" s="8">
        <f>VLOOKUP($B95,floorspace!$B$4:$O$12,'shell factors calc'!R$2+1,FALSE)</f>
        <v>212.81033300000001</v>
      </c>
      <c r="S95" s="8">
        <f>VLOOKUP($B95,floorspace!$B$4:$O$12,'shell factors calc'!S$2+1,FALSE)</f>
        <v>561.85345500000005</v>
      </c>
      <c r="T95" s="8">
        <f>VLOOKUP($B95,floorspace!$B$4:$O$12,'shell factors calc'!T$2+1,FALSE)</f>
        <v>1051.820923</v>
      </c>
      <c r="U95" s="8">
        <f>VLOOKUP($B95,floorspace!$B$4:$O$12,'shell factors calc'!U$2+1,FALSE)</f>
        <v>1563.5035399999999</v>
      </c>
      <c r="V95" s="8">
        <f>VLOOKUP($B95,floorspace!$B$4:$O$12,'shell factors calc'!V$2+1,FALSE)</f>
        <v>1452.933716</v>
      </c>
      <c r="W95" s="8">
        <f>VLOOKUP($B95,floorspace!$B$4:$O$12,'shell factors calc'!W$2+1,FALSE)</f>
        <v>3021.5776369999999</v>
      </c>
      <c r="X95" s="8">
        <f>VLOOKUP($B95,floorspace!$B$4:$O$12,'shell factors calc'!X$2+1,FALSE)</f>
        <v>3411.5915530000002</v>
      </c>
      <c r="Y95" s="8">
        <f>VLOOKUP($B95,floorspace!$B$4:$O$12,'shell factors calc'!Y$2+1,FALSE)</f>
        <v>941.76892099999998</v>
      </c>
      <c r="Z95">
        <f t="shared" si="1"/>
        <v>0.82923077328994477</v>
      </c>
    </row>
    <row r="96" spans="1:26" x14ac:dyDescent="0.2">
      <c r="A96" s="5" t="s">
        <v>45</v>
      </c>
      <c r="B96" s="5" t="s">
        <v>38</v>
      </c>
      <c r="C96" s="6" t="s">
        <v>34</v>
      </c>
      <c r="D96" s="7">
        <v>0.742564</v>
      </c>
      <c r="E96">
        <v>0.65405199999999997</v>
      </c>
      <c r="F96">
        <v>0.71442399999999995</v>
      </c>
      <c r="G96">
        <v>0.35941099999999998</v>
      </c>
      <c r="H96">
        <v>0.94388799999999995</v>
      </c>
      <c r="I96">
        <v>0.63824999999999998</v>
      </c>
      <c r="J96">
        <v>0.57458900000000002</v>
      </c>
      <c r="K96">
        <v>0.89857900000000002</v>
      </c>
      <c r="L96">
        <v>0.88308699999999996</v>
      </c>
      <c r="M96">
        <v>1.1844129999999999</v>
      </c>
      <c r="N96">
        <v>0.64432100000000003</v>
      </c>
      <c r="O96" s="8">
        <f>VLOOKUP($B96,floorspace!$B$4:$O$12,'shell factors calc'!O$2+1,FALSE)</f>
        <v>2310.141357</v>
      </c>
      <c r="P96" s="8">
        <f>VLOOKUP($B96,floorspace!$B$4:$O$12,'shell factors calc'!P$2+1,FALSE)</f>
        <v>2408.3359380000002</v>
      </c>
      <c r="Q96" s="8">
        <f>VLOOKUP($B96,floorspace!$B$4:$O$12,'shell factors calc'!Q$2+1,FALSE)</f>
        <v>276.88534499999997</v>
      </c>
      <c r="R96" s="8">
        <f>VLOOKUP($B96,floorspace!$B$4:$O$12,'shell factors calc'!R$2+1,FALSE)</f>
        <v>212.81033300000001</v>
      </c>
      <c r="S96" s="8">
        <f>VLOOKUP($B96,floorspace!$B$4:$O$12,'shell factors calc'!S$2+1,FALSE)</f>
        <v>561.85345500000005</v>
      </c>
      <c r="T96" s="8">
        <f>VLOOKUP($B96,floorspace!$B$4:$O$12,'shell factors calc'!T$2+1,FALSE)</f>
        <v>1051.820923</v>
      </c>
      <c r="U96" s="8">
        <f>VLOOKUP($B96,floorspace!$B$4:$O$12,'shell factors calc'!U$2+1,FALSE)</f>
        <v>1563.5035399999999</v>
      </c>
      <c r="V96" s="8">
        <f>VLOOKUP($B96,floorspace!$B$4:$O$12,'shell factors calc'!V$2+1,FALSE)</f>
        <v>1452.933716</v>
      </c>
      <c r="W96" s="8">
        <f>VLOOKUP($B96,floorspace!$B$4:$O$12,'shell factors calc'!W$2+1,FALSE)</f>
        <v>3021.5776369999999</v>
      </c>
      <c r="X96" s="8">
        <f>VLOOKUP($B96,floorspace!$B$4:$O$12,'shell factors calc'!X$2+1,FALSE)</f>
        <v>3411.5915530000002</v>
      </c>
      <c r="Y96" s="8">
        <f>VLOOKUP($B96,floorspace!$B$4:$O$12,'shell factors calc'!Y$2+1,FALSE)</f>
        <v>941.76892099999998</v>
      </c>
      <c r="Z96">
        <f t="shared" si="1"/>
        <v>0.82996396414599216</v>
      </c>
    </row>
    <row r="97" spans="1:26" x14ac:dyDescent="0.2">
      <c r="A97" s="5" t="s">
        <v>45</v>
      </c>
      <c r="B97" s="5" t="s">
        <v>38</v>
      </c>
      <c r="C97" s="6" t="s">
        <v>35</v>
      </c>
      <c r="D97" s="7">
        <v>0.73919900000000005</v>
      </c>
      <c r="E97">
        <v>0.64951000000000003</v>
      </c>
      <c r="F97">
        <v>0.71055599999999997</v>
      </c>
      <c r="G97">
        <v>0.35175899999999999</v>
      </c>
      <c r="H97">
        <v>0.94305399999999995</v>
      </c>
      <c r="I97">
        <v>0.63289700000000004</v>
      </c>
      <c r="J97">
        <v>0.56865900000000003</v>
      </c>
      <c r="K97">
        <v>0.89726300000000003</v>
      </c>
      <c r="L97">
        <v>0.88150200000000001</v>
      </c>
      <c r="M97">
        <v>1.2025030000000001</v>
      </c>
      <c r="N97">
        <v>0.63970400000000005</v>
      </c>
      <c r="O97" s="8">
        <f>VLOOKUP($B97,floorspace!$B$4:$O$12,'shell factors calc'!O$2+1,FALSE)</f>
        <v>2310.141357</v>
      </c>
      <c r="P97" s="8">
        <f>VLOOKUP($B97,floorspace!$B$4:$O$12,'shell factors calc'!P$2+1,FALSE)</f>
        <v>2408.3359380000002</v>
      </c>
      <c r="Q97" s="8">
        <f>VLOOKUP($B97,floorspace!$B$4:$O$12,'shell factors calc'!Q$2+1,FALSE)</f>
        <v>276.88534499999997</v>
      </c>
      <c r="R97" s="8">
        <f>VLOOKUP($B97,floorspace!$B$4:$O$12,'shell factors calc'!R$2+1,FALSE)</f>
        <v>212.81033300000001</v>
      </c>
      <c r="S97" s="8">
        <f>VLOOKUP($B97,floorspace!$B$4:$O$12,'shell factors calc'!S$2+1,FALSE)</f>
        <v>561.85345500000005</v>
      </c>
      <c r="T97" s="8">
        <f>VLOOKUP($B97,floorspace!$B$4:$O$12,'shell factors calc'!T$2+1,FALSE)</f>
        <v>1051.820923</v>
      </c>
      <c r="U97" s="8">
        <f>VLOOKUP($B97,floorspace!$B$4:$O$12,'shell factors calc'!U$2+1,FALSE)</f>
        <v>1563.5035399999999</v>
      </c>
      <c r="V97" s="8">
        <f>VLOOKUP($B97,floorspace!$B$4:$O$12,'shell factors calc'!V$2+1,FALSE)</f>
        <v>1452.933716</v>
      </c>
      <c r="W97" s="8">
        <f>VLOOKUP($B97,floorspace!$B$4:$O$12,'shell factors calc'!W$2+1,FALSE)</f>
        <v>3021.5776369999999</v>
      </c>
      <c r="X97" s="8">
        <f>VLOOKUP($B97,floorspace!$B$4:$O$12,'shell factors calc'!X$2+1,FALSE)</f>
        <v>3411.5915530000002</v>
      </c>
      <c r="Y97" s="8">
        <f>VLOOKUP($B97,floorspace!$B$4:$O$12,'shell factors calc'!Y$2+1,FALSE)</f>
        <v>941.76892099999998</v>
      </c>
      <c r="Z97">
        <f t="shared" si="1"/>
        <v>0.83077055447101744</v>
      </c>
    </row>
    <row r="98" spans="1:26" x14ac:dyDescent="0.2">
      <c r="A98" s="5" t="s">
        <v>45</v>
      </c>
      <c r="B98" s="1" t="s">
        <v>38</v>
      </c>
      <c r="C98" s="2" t="s">
        <v>36</v>
      </c>
      <c r="D98" s="4">
        <v>0.73585</v>
      </c>
      <c r="E98">
        <v>0.64500000000000002</v>
      </c>
      <c r="F98">
        <v>0.70670999999999995</v>
      </c>
      <c r="G98">
        <v>0.34427000000000002</v>
      </c>
      <c r="H98">
        <v>0.94221999999999995</v>
      </c>
      <c r="I98">
        <v>0.62758999999999998</v>
      </c>
      <c r="J98">
        <v>0.56279000000000001</v>
      </c>
      <c r="K98">
        <v>0.89595000000000002</v>
      </c>
      <c r="L98">
        <v>0.87992000000000004</v>
      </c>
      <c r="M98">
        <v>1.2208699999999999</v>
      </c>
      <c r="N98">
        <v>0.63512000000000002</v>
      </c>
      <c r="O98" s="8">
        <f>VLOOKUP($B98,floorspace!$B$4:$O$12,'shell factors calc'!O$2+1,FALSE)</f>
        <v>2310.141357</v>
      </c>
      <c r="P98" s="8">
        <f>VLOOKUP($B98,floorspace!$B$4:$O$12,'shell factors calc'!P$2+1,FALSE)</f>
        <v>2408.3359380000002</v>
      </c>
      <c r="Q98" s="8">
        <f>VLOOKUP($B98,floorspace!$B$4:$O$12,'shell factors calc'!Q$2+1,FALSE)</f>
        <v>276.88534499999997</v>
      </c>
      <c r="R98" s="8">
        <f>VLOOKUP($B98,floorspace!$B$4:$O$12,'shell factors calc'!R$2+1,FALSE)</f>
        <v>212.81033300000001</v>
      </c>
      <c r="S98" s="8">
        <f>VLOOKUP($B98,floorspace!$B$4:$O$12,'shell factors calc'!S$2+1,FALSE)</f>
        <v>561.85345500000005</v>
      </c>
      <c r="T98" s="8">
        <f>VLOOKUP($B98,floorspace!$B$4:$O$12,'shell factors calc'!T$2+1,FALSE)</f>
        <v>1051.820923</v>
      </c>
      <c r="U98" s="8">
        <f>VLOOKUP($B98,floorspace!$B$4:$O$12,'shell factors calc'!U$2+1,FALSE)</f>
        <v>1563.5035399999999</v>
      </c>
      <c r="V98" s="8">
        <f>VLOOKUP($B98,floorspace!$B$4:$O$12,'shell factors calc'!V$2+1,FALSE)</f>
        <v>1452.933716</v>
      </c>
      <c r="W98" s="8">
        <f>VLOOKUP($B98,floorspace!$B$4:$O$12,'shell factors calc'!W$2+1,FALSE)</f>
        <v>3021.5776369999999</v>
      </c>
      <c r="X98" s="8">
        <f>VLOOKUP($B98,floorspace!$B$4:$O$12,'shell factors calc'!X$2+1,FALSE)</f>
        <v>3411.5915530000002</v>
      </c>
      <c r="Y98" s="8">
        <f>VLOOKUP($B98,floorspace!$B$4:$O$12,'shell factors calc'!Y$2+1,FALSE)</f>
        <v>941.76892099999998</v>
      </c>
      <c r="Z98">
        <f t="shared" si="1"/>
        <v>0.83165197557245996</v>
      </c>
    </row>
    <row r="99" spans="1:26" x14ac:dyDescent="0.2">
      <c r="A99" s="5" t="s">
        <v>45</v>
      </c>
      <c r="B99" s="5" t="s">
        <v>39</v>
      </c>
      <c r="C99" s="6" t="s">
        <v>5</v>
      </c>
      <c r="D99" s="7">
        <v>0.77395899999999995</v>
      </c>
      <c r="E99">
        <v>0.75586500000000001</v>
      </c>
      <c r="F99">
        <v>0.87363599999999997</v>
      </c>
      <c r="G99">
        <v>0.56017899999999998</v>
      </c>
      <c r="H99">
        <v>0.83356300000000005</v>
      </c>
      <c r="I99">
        <v>0.70011100000000004</v>
      </c>
      <c r="J99">
        <v>0.77401900000000001</v>
      </c>
      <c r="K99">
        <v>0.79662299999999997</v>
      </c>
      <c r="L99">
        <v>0.70970299999999997</v>
      </c>
      <c r="M99">
        <v>0.60319100000000003</v>
      </c>
      <c r="N99">
        <v>0.75864100000000001</v>
      </c>
      <c r="O99" s="8">
        <f>VLOOKUP($B99,floorspace!$B$4:$O$12,'shell factors calc'!O$2+1,FALSE)</f>
        <v>976.43579099999999</v>
      </c>
      <c r="P99" s="8">
        <f>VLOOKUP($B99,floorspace!$B$4:$O$12,'shell factors calc'!P$2+1,FALSE)</f>
        <v>1383.6553960000001</v>
      </c>
      <c r="Q99" s="8">
        <f>VLOOKUP($B99,floorspace!$B$4:$O$12,'shell factors calc'!Q$2+1,FALSE)</f>
        <v>120.231117</v>
      </c>
      <c r="R99" s="8">
        <f>VLOOKUP($B99,floorspace!$B$4:$O$12,'shell factors calc'!R$2+1,FALSE)</f>
        <v>62.268970000000003</v>
      </c>
      <c r="S99" s="8">
        <f>VLOOKUP($B99,floorspace!$B$4:$O$12,'shell factors calc'!S$2+1,FALSE)</f>
        <v>136.81397999999999</v>
      </c>
      <c r="T99" s="8">
        <f>VLOOKUP($B99,floorspace!$B$4:$O$12,'shell factors calc'!T$2+1,FALSE)</f>
        <v>578.51654099999996</v>
      </c>
      <c r="U99" s="8">
        <f>VLOOKUP($B99,floorspace!$B$4:$O$12,'shell factors calc'!U$2+1,FALSE)</f>
        <v>696.50329599999998</v>
      </c>
      <c r="V99" s="8">
        <f>VLOOKUP($B99,floorspace!$B$4:$O$12,'shell factors calc'!V$2+1,FALSE)</f>
        <v>787.38818400000002</v>
      </c>
      <c r="W99" s="8">
        <f>VLOOKUP($B99,floorspace!$B$4:$O$12,'shell factors calc'!W$2+1,FALSE)</f>
        <v>1768.7573239999999</v>
      </c>
      <c r="X99" s="8">
        <f>VLOOKUP($B99,floorspace!$B$4:$O$12,'shell factors calc'!X$2+1,FALSE)</f>
        <v>1364.572754</v>
      </c>
      <c r="Y99" s="8">
        <f>VLOOKUP($B99,floorspace!$B$4:$O$12,'shell factors calc'!Y$2+1,FALSE)</f>
        <v>479.19305400000002</v>
      </c>
      <c r="Z99">
        <f t="shared" si="1"/>
        <v>0.72643124822272909</v>
      </c>
    </row>
    <row r="100" spans="1:26" x14ac:dyDescent="0.2">
      <c r="A100" s="5" t="s">
        <v>45</v>
      </c>
      <c r="B100" s="5" t="s">
        <v>39</v>
      </c>
      <c r="C100" s="6" t="s">
        <v>6</v>
      </c>
      <c r="D100" s="7">
        <v>0.76898</v>
      </c>
      <c r="E100">
        <v>0.75039</v>
      </c>
      <c r="F100">
        <v>0.86495</v>
      </c>
      <c r="G100">
        <v>0.55101</v>
      </c>
      <c r="H100">
        <v>0.82911999999999997</v>
      </c>
      <c r="I100">
        <v>0.69184000000000001</v>
      </c>
      <c r="J100">
        <v>0.76831000000000005</v>
      </c>
      <c r="K100">
        <v>0.79227999999999998</v>
      </c>
      <c r="L100">
        <v>0.70296000000000003</v>
      </c>
      <c r="M100">
        <v>0.60640000000000005</v>
      </c>
      <c r="N100">
        <v>0.75263999999999998</v>
      </c>
      <c r="O100" s="8">
        <f>VLOOKUP($B100,floorspace!$B$4:$O$12,'shell factors calc'!O$2+1,FALSE)</f>
        <v>976.43579099999999</v>
      </c>
      <c r="P100" s="8">
        <f>VLOOKUP($B100,floorspace!$B$4:$O$12,'shell factors calc'!P$2+1,FALSE)</f>
        <v>1383.6553960000001</v>
      </c>
      <c r="Q100" s="8">
        <f>VLOOKUP($B100,floorspace!$B$4:$O$12,'shell factors calc'!Q$2+1,FALSE)</f>
        <v>120.231117</v>
      </c>
      <c r="R100" s="8">
        <f>VLOOKUP($B100,floorspace!$B$4:$O$12,'shell factors calc'!R$2+1,FALSE)</f>
        <v>62.268970000000003</v>
      </c>
      <c r="S100" s="8">
        <f>VLOOKUP($B100,floorspace!$B$4:$O$12,'shell factors calc'!S$2+1,FALSE)</f>
        <v>136.81397999999999</v>
      </c>
      <c r="T100" s="8">
        <f>VLOOKUP($B100,floorspace!$B$4:$O$12,'shell factors calc'!T$2+1,FALSE)</f>
        <v>578.51654099999996</v>
      </c>
      <c r="U100" s="8">
        <f>VLOOKUP($B100,floorspace!$B$4:$O$12,'shell factors calc'!U$2+1,FALSE)</f>
        <v>696.50329599999998</v>
      </c>
      <c r="V100" s="8">
        <f>VLOOKUP($B100,floorspace!$B$4:$O$12,'shell factors calc'!V$2+1,FALSE)</f>
        <v>787.38818400000002</v>
      </c>
      <c r="W100" s="8">
        <f>VLOOKUP($B100,floorspace!$B$4:$O$12,'shell factors calc'!W$2+1,FALSE)</f>
        <v>1768.7573239999999</v>
      </c>
      <c r="X100" s="8">
        <f>VLOOKUP($B100,floorspace!$B$4:$O$12,'shell factors calc'!X$2+1,FALSE)</f>
        <v>1364.572754</v>
      </c>
      <c r="Y100" s="8">
        <f>VLOOKUP($B100,floorspace!$B$4:$O$12,'shell factors calc'!Y$2+1,FALSE)</f>
        <v>479.19305400000002</v>
      </c>
      <c r="Z100">
        <f t="shared" si="1"/>
        <v>0.7219707321316623</v>
      </c>
    </row>
    <row r="101" spans="1:26" x14ac:dyDescent="0.2">
      <c r="A101" s="5" t="s">
        <v>45</v>
      </c>
      <c r="B101" s="5" t="s">
        <v>39</v>
      </c>
      <c r="C101" s="6" t="s">
        <v>7</v>
      </c>
      <c r="D101" s="7">
        <v>0.76384399999999997</v>
      </c>
      <c r="E101">
        <v>0.74472300000000002</v>
      </c>
      <c r="F101">
        <v>0.85808200000000001</v>
      </c>
      <c r="G101">
        <v>0.54101200000000005</v>
      </c>
      <c r="H101">
        <v>0.82456499999999999</v>
      </c>
      <c r="I101">
        <v>0.683064</v>
      </c>
      <c r="J101">
        <v>0.76239800000000002</v>
      </c>
      <c r="K101">
        <v>0.78782600000000003</v>
      </c>
      <c r="L101">
        <v>0.69589500000000004</v>
      </c>
      <c r="M101">
        <v>0.60951900000000003</v>
      </c>
      <c r="N101">
        <v>0.74641100000000005</v>
      </c>
      <c r="O101" s="8">
        <f>VLOOKUP($B101,floorspace!$B$4:$O$12,'shell factors calc'!O$2+1,FALSE)</f>
        <v>976.43579099999999</v>
      </c>
      <c r="P101" s="8">
        <f>VLOOKUP($B101,floorspace!$B$4:$O$12,'shell factors calc'!P$2+1,FALSE)</f>
        <v>1383.6553960000001</v>
      </c>
      <c r="Q101" s="8">
        <f>VLOOKUP($B101,floorspace!$B$4:$O$12,'shell factors calc'!Q$2+1,FALSE)</f>
        <v>120.231117</v>
      </c>
      <c r="R101" s="8">
        <f>VLOOKUP($B101,floorspace!$B$4:$O$12,'shell factors calc'!R$2+1,FALSE)</f>
        <v>62.268970000000003</v>
      </c>
      <c r="S101" s="8">
        <f>VLOOKUP($B101,floorspace!$B$4:$O$12,'shell factors calc'!S$2+1,FALSE)</f>
        <v>136.81397999999999</v>
      </c>
      <c r="T101" s="8">
        <f>VLOOKUP($B101,floorspace!$B$4:$O$12,'shell factors calc'!T$2+1,FALSE)</f>
        <v>578.51654099999996</v>
      </c>
      <c r="U101" s="8">
        <f>VLOOKUP($B101,floorspace!$B$4:$O$12,'shell factors calc'!U$2+1,FALSE)</f>
        <v>696.50329599999998</v>
      </c>
      <c r="V101" s="8">
        <f>VLOOKUP($B101,floorspace!$B$4:$O$12,'shell factors calc'!V$2+1,FALSE)</f>
        <v>787.38818400000002</v>
      </c>
      <c r="W101" s="8">
        <f>VLOOKUP($B101,floorspace!$B$4:$O$12,'shell factors calc'!W$2+1,FALSE)</f>
        <v>1768.7573239999999</v>
      </c>
      <c r="X101" s="8">
        <f>VLOOKUP($B101,floorspace!$B$4:$O$12,'shell factors calc'!X$2+1,FALSE)</f>
        <v>1364.572754</v>
      </c>
      <c r="Y101" s="8">
        <f>VLOOKUP($B101,floorspace!$B$4:$O$12,'shell factors calc'!Y$2+1,FALSE)</f>
        <v>479.19305400000002</v>
      </c>
      <c r="Z101">
        <f t="shared" si="1"/>
        <v>0.71731991070906898</v>
      </c>
    </row>
    <row r="102" spans="1:26" x14ac:dyDescent="0.2">
      <c r="A102" s="5" t="s">
        <v>45</v>
      </c>
      <c r="B102" s="5" t="s">
        <v>39</v>
      </c>
      <c r="C102" s="6" t="s">
        <v>8</v>
      </c>
      <c r="D102" s="7">
        <v>0.75874299999999995</v>
      </c>
      <c r="E102">
        <v>0.73909899999999995</v>
      </c>
      <c r="F102">
        <v>0.85126800000000002</v>
      </c>
      <c r="G102">
        <v>0.53119499999999997</v>
      </c>
      <c r="H102">
        <v>0.82003499999999996</v>
      </c>
      <c r="I102">
        <v>0.67439800000000005</v>
      </c>
      <c r="J102">
        <v>0.75653199999999998</v>
      </c>
      <c r="K102">
        <v>0.78339700000000001</v>
      </c>
      <c r="L102">
        <v>0.68890099999999999</v>
      </c>
      <c r="M102">
        <v>0.61265400000000003</v>
      </c>
      <c r="N102">
        <v>0.74023399999999995</v>
      </c>
      <c r="O102" s="8">
        <f>VLOOKUP($B102,floorspace!$B$4:$O$12,'shell factors calc'!O$2+1,FALSE)</f>
        <v>976.43579099999999</v>
      </c>
      <c r="P102" s="8">
        <f>VLOOKUP($B102,floorspace!$B$4:$O$12,'shell factors calc'!P$2+1,FALSE)</f>
        <v>1383.6553960000001</v>
      </c>
      <c r="Q102" s="8">
        <f>VLOOKUP($B102,floorspace!$B$4:$O$12,'shell factors calc'!Q$2+1,FALSE)</f>
        <v>120.231117</v>
      </c>
      <c r="R102" s="8">
        <f>VLOOKUP($B102,floorspace!$B$4:$O$12,'shell factors calc'!R$2+1,FALSE)</f>
        <v>62.268970000000003</v>
      </c>
      <c r="S102" s="8">
        <f>VLOOKUP($B102,floorspace!$B$4:$O$12,'shell factors calc'!S$2+1,FALSE)</f>
        <v>136.81397999999999</v>
      </c>
      <c r="T102" s="8">
        <f>VLOOKUP($B102,floorspace!$B$4:$O$12,'shell factors calc'!T$2+1,FALSE)</f>
        <v>578.51654099999996</v>
      </c>
      <c r="U102" s="8">
        <f>VLOOKUP($B102,floorspace!$B$4:$O$12,'shell factors calc'!U$2+1,FALSE)</f>
        <v>696.50329599999998</v>
      </c>
      <c r="V102" s="8">
        <f>VLOOKUP($B102,floorspace!$B$4:$O$12,'shell factors calc'!V$2+1,FALSE)</f>
        <v>787.38818400000002</v>
      </c>
      <c r="W102" s="8">
        <f>VLOOKUP($B102,floorspace!$B$4:$O$12,'shell factors calc'!W$2+1,FALSE)</f>
        <v>1768.7573239999999</v>
      </c>
      <c r="X102" s="8">
        <f>VLOOKUP($B102,floorspace!$B$4:$O$12,'shell factors calc'!X$2+1,FALSE)</f>
        <v>1364.572754</v>
      </c>
      <c r="Y102" s="8">
        <f>VLOOKUP($B102,floorspace!$B$4:$O$12,'shell factors calc'!Y$2+1,FALSE)</f>
        <v>479.19305400000002</v>
      </c>
      <c r="Z102">
        <f t="shared" si="1"/>
        <v>0.71271727379534489</v>
      </c>
    </row>
    <row r="103" spans="1:26" x14ac:dyDescent="0.2">
      <c r="A103" s="5" t="s">
        <v>45</v>
      </c>
      <c r="B103" s="5" t="s">
        <v>39</v>
      </c>
      <c r="C103" s="6" t="s">
        <v>9</v>
      </c>
      <c r="D103" s="7">
        <v>0.75367600000000001</v>
      </c>
      <c r="E103">
        <v>0.733518</v>
      </c>
      <c r="F103">
        <v>0.84450800000000004</v>
      </c>
      <c r="G103">
        <v>0.52155700000000005</v>
      </c>
      <c r="H103">
        <v>0.81552999999999998</v>
      </c>
      <c r="I103">
        <v>0.66584299999999996</v>
      </c>
      <c r="J103">
        <v>0.75071200000000005</v>
      </c>
      <c r="K103">
        <v>0.77899300000000005</v>
      </c>
      <c r="L103">
        <v>0.68197700000000006</v>
      </c>
      <c r="M103">
        <v>0.61580500000000005</v>
      </c>
      <c r="N103">
        <v>0.73410699999999995</v>
      </c>
      <c r="O103" s="8">
        <f>VLOOKUP($B103,floorspace!$B$4:$O$12,'shell factors calc'!O$2+1,FALSE)</f>
        <v>976.43579099999999</v>
      </c>
      <c r="P103" s="8">
        <f>VLOOKUP($B103,floorspace!$B$4:$O$12,'shell factors calc'!P$2+1,FALSE)</f>
        <v>1383.6553960000001</v>
      </c>
      <c r="Q103" s="8">
        <f>VLOOKUP($B103,floorspace!$B$4:$O$12,'shell factors calc'!Q$2+1,FALSE)</f>
        <v>120.231117</v>
      </c>
      <c r="R103" s="8">
        <f>VLOOKUP($B103,floorspace!$B$4:$O$12,'shell factors calc'!R$2+1,FALSE)</f>
        <v>62.268970000000003</v>
      </c>
      <c r="S103" s="8">
        <f>VLOOKUP($B103,floorspace!$B$4:$O$12,'shell factors calc'!S$2+1,FALSE)</f>
        <v>136.81397999999999</v>
      </c>
      <c r="T103" s="8">
        <f>VLOOKUP($B103,floorspace!$B$4:$O$12,'shell factors calc'!T$2+1,FALSE)</f>
        <v>578.51654099999996</v>
      </c>
      <c r="U103" s="8">
        <f>VLOOKUP($B103,floorspace!$B$4:$O$12,'shell factors calc'!U$2+1,FALSE)</f>
        <v>696.50329599999998</v>
      </c>
      <c r="V103" s="8">
        <f>VLOOKUP($B103,floorspace!$B$4:$O$12,'shell factors calc'!V$2+1,FALSE)</f>
        <v>787.38818400000002</v>
      </c>
      <c r="W103" s="8">
        <f>VLOOKUP($B103,floorspace!$B$4:$O$12,'shell factors calc'!W$2+1,FALSE)</f>
        <v>1768.7573239999999</v>
      </c>
      <c r="X103" s="8">
        <f>VLOOKUP($B103,floorspace!$B$4:$O$12,'shell factors calc'!X$2+1,FALSE)</f>
        <v>1364.572754</v>
      </c>
      <c r="Y103" s="8">
        <f>VLOOKUP($B103,floorspace!$B$4:$O$12,'shell factors calc'!Y$2+1,FALSE)</f>
        <v>479.19305400000002</v>
      </c>
      <c r="Z103">
        <f t="shared" si="1"/>
        <v>0.70816243241876853</v>
      </c>
    </row>
    <row r="104" spans="1:26" x14ac:dyDescent="0.2">
      <c r="A104" s="5" t="s">
        <v>45</v>
      </c>
      <c r="B104" s="5" t="s">
        <v>39</v>
      </c>
      <c r="C104" s="6" t="s">
        <v>10</v>
      </c>
      <c r="D104" s="7">
        <v>0.74864200000000003</v>
      </c>
      <c r="E104">
        <v>0.72797900000000004</v>
      </c>
      <c r="F104">
        <v>0.83780200000000005</v>
      </c>
      <c r="G104">
        <v>0.51209300000000002</v>
      </c>
      <c r="H104">
        <v>0.81105000000000005</v>
      </c>
      <c r="I104">
        <v>0.65739700000000001</v>
      </c>
      <c r="J104">
        <v>0.74493500000000001</v>
      </c>
      <c r="K104">
        <v>0.77461400000000002</v>
      </c>
      <c r="L104">
        <v>0.67512300000000003</v>
      </c>
      <c r="M104">
        <v>0.61897199999999997</v>
      </c>
      <c r="N104">
        <v>0.72803200000000001</v>
      </c>
      <c r="O104" s="8">
        <f>VLOOKUP($B104,floorspace!$B$4:$O$12,'shell factors calc'!O$2+1,FALSE)</f>
        <v>976.43579099999999</v>
      </c>
      <c r="P104" s="8">
        <f>VLOOKUP($B104,floorspace!$B$4:$O$12,'shell factors calc'!P$2+1,FALSE)</f>
        <v>1383.6553960000001</v>
      </c>
      <c r="Q104" s="8">
        <f>VLOOKUP($B104,floorspace!$B$4:$O$12,'shell factors calc'!Q$2+1,FALSE)</f>
        <v>120.231117</v>
      </c>
      <c r="R104" s="8">
        <f>VLOOKUP($B104,floorspace!$B$4:$O$12,'shell factors calc'!R$2+1,FALSE)</f>
        <v>62.268970000000003</v>
      </c>
      <c r="S104" s="8">
        <f>VLOOKUP($B104,floorspace!$B$4:$O$12,'shell factors calc'!S$2+1,FALSE)</f>
        <v>136.81397999999999</v>
      </c>
      <c r="T104" s="8">
        <f>VLOOKUP($B104,floorspace!$B$4:$O$12,'shell factors calc'!T$2+1,FALSE)</f>
        <v>578.51654099999996</v>
      </c>
      <c r="U104" s="8">
        <f>VLOOKUP($B104,floorspace!$B$4:$O$12,'shell factors calc'!U$2+1,FALSE)</f>
        <v>696.50329599999998</v>
      </c>
      <c r="V104" s="8">
        <f>VLOOKUP($B104,floorspace!$B$4:$O$12,'shell factors calc'!V$2+1,FALSE)</f>
        <v>787.38818400000002</v>
      </c>
      <c r="W104" s="8">
        <f>VLOOKUP($B104,floorspace!$B$4:$O$12,'shell factors calc'!W$2+1,FALSE)</f>
        <v>1768.7573239999999</v>
      </c>
      <c r="X104" s="8">
        <f>VLOOKUP($B104,floorspace!$B$4:$O$12,'shell factors calc'!X$2+1,FALSE)</f>
        <v>1364.572754</v>
      </c>
      <c r="Y104" s="8">
        <f>VLOOKUP($B104,floorspace!$B$4:$O$12,'shell factors calc'!Y$2+1,FALSE)</f>
        <v>479.19305400000002</v>
      </c>
      <c r="Z104">
        <f t="shared" si="1"/>
        <v>0.70365479292442046</v>
      </c>
    </row>
    <row r="105" spans="1:26" x14ac:dyDescent="0.2">
      <c r="A105" s="5" t="s">
        <v>45</v>
      </c>
      <c r="B105" s="5" t="s">
        <v>39</v>
      </c>
      <c r="C105" s="6" t="s">
        <v>11</v>
      </c>
      <c r="D105" s="7">
        <v>0.74364200000000003</v>
      </c>
      <c r="E105">
        <v>0.72248100000000004</v>
      </c>
      <c r="F105">
        <v>0.83114900000000003</v>
      </c>
      <c r="G105">
        <v>0.50280100000000005</v>
      </c>
      <c r="H105">
        <v>0.80659400000000003</v>
      </c>
      <c r="I105">
        <v>0.649057</v>
      </c>
      <c r="J105">
        <v>0.73920399999999997</v>
      </c>
      <c r="K105">
        <v>0.77025900000000003</v>
      </c>
      <c r="L105">
        <v>0.66833699999999996</v>
      </c>
      <c r="M105">
        <v>0.62215500000000001</v>
      </c>
      <c r="N105">
        <v>0.72200699999999995</v>
      </c>
      <c r="O105" s="8">
        <f>VLOOKUP($B105,floorspace!$B$4:$O$12,'shell factors calc'!O$2+1,FALSE)</f>
        <v>976.43579099999999</v>
      </c>
      <c r="P105" s="8">
        <f>VLOOKUP($B105,floorspace!$B$4:$O$12,'shell factors calc'!P$2+1,FALSE)</f>
        <v>1383.6553960000001</v>
      </c>
      <c r="Q105" s="8">
        <f>VLOOKUP($B105,floorspace!$B$4:$O$12,'shell factors calc'!Q$2+1,FALSE)</f>
        <v>120.231117</v>
      </c>
      <c r="R105" s="8">
        <f>VLOOKUP($B105,floorspace!$B$4:$O$12,'shell factors calc'!R$2+1,FALSE)</f>
        <v>62.268970000000003</v>
      </c>
      <c r="S105" s="8">
        <f>VLOOKUP($B105,floorspace!$B$4:$O$12,'shell factors calc'!S$2+1,FALSE)</f>
        <v>136.81397999999999</v>
      </c>
      <c r="T105" s="8">
        <f>VLOOKUP($B105,floorspace!$B$4:$O$12,'shell factors calc'!T$2+1,FALSE)</f>
        <v>578.51654099999996</v>
      </c>
      <c r="U105" s="8">
        <f>VLOOKUP($B105,floorspace!$B$4:$O$12,'shell factors calc'!U$2+1,FALSE)</f>
        <v>696.50329599999998</v>
      </c>
      <c r="V105" s="8">
        <f>VLOOKUP($B105,floorspace!$B$4:$O$12,'shell factors calc'!V$2+1,FALSE)</f>
        <v>787.38818400000002</v>
      </c>
      <c r="W105" s="8">
        <f>VLOOKUP($B105,floorspace!$B$4:$O$12,'shell factors calc'!W$2+1,FALSE)</f>
        <v>1768.7573239999999</v>
      </c>
      <c r="X105" s="8">
        <f>VLOOKUP($B105,floorspace!$B$4:$O$12,'shell factors calc'!X$2+1,FALSE)</f>
        <v>1364.572754</v>
      </c>
      <c r="Y105" s="8">
        <f>VLOOKUP($B105,floorspace!$B$4:$O$12,'shell factors calc'!Y$2+1,FALSE)</f>
        <v>479.19305400000002</v>
      </c>
      <c r="Z105">
        <f t="shared" si="1"/>
        <v>0.69919367086161133</v>
      </c>
    </row>
    <row r="106" spans="1:26" x14ac:dyDescent="0.2">
      <c r="A106" s="5" t="s">
        <v>45</v>
      </c>
      <c r="B106" s="5" t="s">
        <v>39</v>
      </c>
      <c r="C106" s="6" t="s">
        <v>12</v>
      </c>
      <c r="D106" s="7">
        <v>0.738676</v>
      </c>
      <c r="E106">
        <v>0.71702500000000002</v>
      </c>
      <c r="F106">
        <v>0.82455000000000001</v>
      </c>
      <c r="G106">
        <v>0.49367800000000001</v>
      </c>
      <c r="H106">
        <v>0.80216299999999996</v>
      </c>
      <c r="I106">
        <v>0.64082300000000003</v>
      </c>
      <c r="J106">
        <v>0.73351599999999995</v>
      </c>
      <c r="K106">
        <v>0.76592899999999997</v>
      </c>
      <c r="L106">
        <v>0.66161999999999999</v>
      </c>
      <c r="M106">
        <v>0.62535499999999999</v>
      </c>
      <c r="N106">
        <v>0.71603099999999997</v>
      </c>
      <c r="O106" s="8">
        <f>VLOOKUP($B106,floorspace!$B$4:$O$12,'shell factors calc'!O$2+1,FALSE)</f>
        <v>976.43579099999999</v>
      </c>
      <c r="P106" s="8">
        <f>VLOOKUP($B106,floorspace!$B$4:$O$12,'shell factors calc'!P$2+1,FALSE)</f>
        <v>1383.6553960000001</v>
      </c>
      <c r="Q106" s="8">
        <f>VLOOKUP($B106,floorspace!$B$4:$O$12,'shell factors calc'!Q$2+1,FALSE)</f>
        <v>120.231117</v>
      </c>
      <c r="R106" s="8">
        <f>VLOOKUP($B106,floorspace!$B$4:$O$12,'shell factors calc'!R$2+1,FALSE)</f>
        <v>62.268970000000003</v>
      </c>
      <c r="S106" s="8">
        <f>VLOOKUP($B106,floorspace!$B$4:$O$12,'shell factors calc'!S$2+1,FALSE)</f>
        <v>136.81397999999999</v>
      </c>
      <c r="T106" s="8">
        <f>VLOOKUP($B106,floorspace!$B$4:$O$12,'shell factors calc'!T$2+1,FALSE)</f>
        <v>578.51654099999996</v>
      </c>
      <c r="U106" s="8">
        <f>VLOOKUP($B106,floorspace!$B$4:$O$12,'shell factors calc'!U$2+1,FALSE)</f>
        <v>696.50329599999998</v>
      </c>
      <c r="V106" s="8">
        <f>VLOOKUP($B106,floorspace!$B$4:$O$12,'shell factors calc'!V$2+1,FALSE)</f>
        <v>787.38818400000002</v>
      </c>
      <c r="W106" s="8">
        <f>VLOOKUP($B106,floorspace!$B$4:$O$12,'shell factors calc'!W$2+1,FALSE)</f>
        <v>1768.7573239999999</v>
      </c>
      <c r="X106" s="8">
        <f>VLOOKUP($B106,floorspace!$B$4:$O$12,'shell factors calc'!X$2+1,FALSE)</f>
        <v>1364.572754</v>
      </c>
      <c r="Y106" s="8">
        <f>VLOOKUP($B106,floorspace!$B$4:$O$12,'shell factors calc'!Y$2+1,FALSE)</f>
        <v>479.19305400000002</v>
      </c>
      <c r="Z106">
        <f t="shared" si="1"/>
        <v>0.69477940209291189</v>
      </c>
    </row>
    <row r="107" spans="1:26" x14ac:dyDescent="0.2">
      <c r="A107" s="5" t="s">
        <v>45</v>
      </c>
      <c r="B107" s="5" t="s">
        <v>39</v>
      </c>
      <c r="C107" s="6" t="s">
        <v>13</v>
      </c>
      <c r="D107" s="7">
        <v>0.73374300000000003</v>
      </c>
      <c r="E107">
        <v>0.71160999999999996</v>
      </c>
      <c r="F107">
        <v>0.81800200000000001</v>
      </c>
      <c r="G107">
        <v>0.48471999999999998</v>
      </c>
      <c r="H107">
        <v>0.79775600000000002</v>
      </c>
      <c r="I107">
        <v>0.63269399999999998</v>
      </c>
      <c r="J107">
        <v>0.72787199999999996</v>
      </c>
      <c r="K107">
        <v>0.76162300000000005</v>
      </c>
      <c r="L107">
        <v>0.65497099999999997</v>
      </c>
      <c r="M107">
        <v>0.62857099999999999</v>
      </c>
      <c r="N107">
        <v>0.71010499999999999</v>
      </c>
      <c r="O107" s="8">
        <f>VLOOKUP($B107,floorspace!$B$4:$O$12,'shell factors calc'!O$2+1,FALSE)</f>
        <v>976.43579099999999</v>
      </c>
      <c r="P107" s="8">
        <f>VLOOKUP($B107,floorspace!$B$4:$O$12,'shell factors calc'!P$2+1,FALSE)</f>
        <v>1383.6553960000001</v>
      </c>
      <c r="Q107" s="8">
        <f>VLOOKUP($B107,floorspace!$B$4:$O$12,'shell factors calc'!Q$2+1,FALSE)</f>
        <v>120.231117</v>
      </c>
      <c r="R107" s="8">
        <f>VLOOKUP($B107,floorspace!$B$4:$O$12,'shell factors calc'!R$2+1,FALSE)</f>
        <v>62.268970000000003</v>
      </c>
      <c r="S107" s="8">
        <f>VLOOKUP($B107,floorspace!$B$4:$O$12,'shell factors calc'!S$2+1,FALSE)</f>
        <v>136.81397999999999</v>
      </c>
      <c r="T107" s="8">
        <f>VLOOKUP($B107,floorspace!$B$4:$O$12,'shell factors calc'!T$2+1,FALSE)</f>
        <v>578.51654099999996</v>
      </c>
      <c r="U107" s="8">
        <f>VLOOKUP($B107,floorspace!$B$4:$O$12,'shell factors calc'!U$2+1,FALSE)</f>
        <v>696.50329599999998</v>
      </c>
      <c r="V107" s="8">
        <f>VLOOKUP($B107,floorspace!$B$4:$O$12,'shell factors calc'!V$2+1,FALSE)</f>
        <v>787.38818400000002</v>
      </c>
      <c r="W107" s="8">
        <f>VLOOKUP($B107,floorspace!$B$4:$O$12,'shell factors calc'!W$2+1,FALSE)</f>
        <v>1768.7573239999999</v>
      </c>
      <c r="X107" s="8">
        <f>VLOOKUP($B107,floorspace!$B$4:$O$12,'shell factors calc'!X$2+1,FALSE)</f>
        <v>1364.572754</v>
      </c>
      <c r="Y107" s="8">
        <f>VLOOKUP($B107,floorspace!$B$4:$O$12,'shell factors calc'!Y$2+1,FALSE)</f>
        <v>479.19305400000002</v>
      </c>
      <c r="Z107">
        <f t="shared" si="1"/>
        <v>0.6904112169326716</v>
      </c>
    </row>
    <row r="108" spans="1:26" x14ac:dyDescent="0.2">
      <c r="A108" s="5" t="s">
        <v>45</v>
      </c>
      <c r="B108" s="5" t="s">
        <v>39</v>
      </c>
      <c r="C108" s="6" t="s">
        <v>14</v>
      </c>
      <c r="D108" s="7">
        <v>0.72884199999999999</v>
      </c>
      <c r="E108">
        <v>0.70623599999999997</v>
      </c>
      <c r="F108">
        <v>0.81150699999999998</v>
      </c>
      <c r="G108">
        <v>0.47592499999999999</v>
      </c>
      <c r="H108">
        <v>0.79337299999999999</v>
      </c>
      <c r="I108">
        <v>0.624668</v>
      </c>
      <c r="J108">
        <v>0.72227200000000003</v>
      </c>
      <c r="K108">
        <v>0.75734100000000004</v>
      </c>
      <c r="L108">
        <v>0.64838799999999996</v>
      </c>
      <c r="M108">
        <v>0.63180400000000003</v>
      </c>
      <c r="N108">
        <v>0.70422799999999997</v>
      </c>
      <c r="O108" s="8">
        <f>VLOOKUP($B108,floorspace!$B$4:$O$12,'shell factors calc'!O$2+1,FALSE)</f>
        <v>976.43579099999999</v>
      </c>
      <c r="P108" s="8">
        <f>VLOOKUP($B108,floorspace!$B$4:$O$12,'shell factors calc'!P$2+1,FALSE)</f>
        <v>1383.6553960000001</v>
      </c>
      <c r="Q108" s="8">
        <f>VLOOKUP($B108,floorspace!$B$4:$O$12,'shell factors calc'!Q$2+1,FALSE)</f>
        <v>120.231117</v>
      </c>
      <c r="R108" s="8">
        <f>VLOOKUP($B108,floorspace!$B$4:$O$12,'shell factors calc'!R$2+1,FALSE)</f>
        <v>62.268970000000003</v>
      </c>
      <c r="S108" s="8">
        <f>VLOOKUP($B108,floorspace!$B$4:$O$12,'shell factors calc'!S$2+1,FALSE)</f>
        <v>136.81397999999999</v>
      </c>
      <c r="T108" s="8">
        <f>VLOOKUP($B108,floorspace!$B$4:$O$12,'shell factors calc'!T$2+1,FALSE)</f>
        <v>578.51654099999996</v>
      </c>
      <c r="U108" s="8">
        <f>VLOOKUP($B108,floorspace!$B$4:$O$12,'shell factors calc'!U$2+1,FALSE)</f>
        <v>696.50329599999998</v>
      </c>
      <c r="V108" s="8">
        <f>VLOOKUP($B108,floorspace!$B$4:$O$12,'shell factors calc'!V$2+1,FALSE)</f>
        <v>787.38818400000002</v>
      </c>
      <c r="W108" s="8">
        <f>VLOOKUP($B108,floorspace!$B$4:$O$12,'shell factors calc'!W$2+1,FALSE)</f>
        <v>1768.7573239999999</v>
      </c>
      <c r="X108" s="8">
        <f>VLOOKUP($B108,floorspace!$B$4:$O$12,'shell factors calc'!X$2+1,FALSE)</f>
        <v>1364.572754</v>
      </c>
      <c r="Y108" s="8">
        <f>VLOOKUP($B108,floorspace!$B$4:$O$12,'shell factors calc'!Y$2+1,FALSE)</f>
        <v>479.19305400000002</v>
      </c>
      <c r="Z108">
        <f t="shared" si="1"/>
        <v>0.68608855642811462</v>
      </c>
    </row>
    <row r="109" spans="1:26" x14ac:dyDescent="0.2">
      <c r="A109" s="5" t="s">
        <v>45</v>
      </c>
      <c r="B109" s="5" t="s">
        <v>39</v>
      </c>
      <c r="C109" s="6" t="s">
        <v>15</v>
      </c>
      <c r="D109" s="7">
        <v>0.72397500000000004</v>
      </c>
      <c r="E109">
        <v>0.70090300000000005</v>
      </c>
      <c r="F109">
        <v>0.80506299999999997</v>
      </c>
      <c r="G109">
        <v>0.46728900000000001</v>
      </c>
      <c r="H109">
        <v>0.78901500000000002</v>
      </c>
      <c r="I109">
        <v>0.61674399999999996</v>
      </c>
      <c r="J109">
        <v>0.71671499999999999</v>
      </c>
      <c r="K109">
        <v>0.75308299999999995</v>
      </c>
      <c r="L109">
        <v>0.64187099999999997</v>
      </c>
      <c r="M109">
        <v>0.63505400000000001</v>
      </c>
      <c r="N109">
        <v>0.69840000000000002</v>
      </c>
      <c r="O109" s="8">
        <f>VLOOKUP($B109,floorspace!$B$4:$O$12,'shell factors calc'!O$2+1,FALSE)</f>
        <v>976.43579099999999</v>
      </c>
      <c r="P109" s="8">
        <f>VLOOKUP($B109,floorspace!$B$4:$O$12,'shell factors calc'!P$2+1,FALSE)</f>
        <v>1383.6553960000001</v>
      </c>
      <c r="Q109" s="8">
        <f>VLOOKUP($B109,floorspace!$B$4:$O$12,'shell factors calc'!Q$2+1,FALSE)</f>
        <v>120.231117</v>
      </c>
      <c r="R109" s="8">
        <f>VLOOKUP($B109,floorspace!$B$4:$O$12,'shell factors calc'!R$2+1,FALSE)</f>
        <v>62.268970000000003</v>
      </c>
      <c r="S109" s="8">
        <f>VLOOKUP($B109,floorspace!$B$4:$O$12,'shell factors calc'!S$2+1,FALSE)</f>
        <v>136.81397999999999</v>
      </c>
      <c r="T109" s="8">
        <f>VLOOKUP($B109,floorspace!$B$4:$O$12,'shell factors calc'!T$2+1,FALSE)</f>
        <v>578.51654099999996</v>
      </c>
      <c r="U109" s="8">
        <f>VLOOKUP($B109,floorspace!$B$4:$O$12,'shell factors calc'!U$2+1,FALSE)</f>
        <v>696.50329599999998</v>
      </c>
      <c r="V109" s="8">
        <f>VLOOKUP($B109,floorspace!$B$4:$O$12,'shell factors calc'!V$2+1,FALSE)</f>
        <v>787.38818400000002</v>
      </c>
      <c r="W109" s="8">
        <f>VLOOKUP($B109,floorspace!$B$4:$O$12,'shell factors calc'!W$2+1,FALSE)</f>
        <v>1768.7573239999999</v>
      </c>
      <c r="X109" s="8">
        <f>VLOOKUP($B109,floorspace!$B$4:$O$12,'shell factors calc'!X$2+1,FALSE)</f>
        <v>1364.572754</v>
      </c>
      <c r="Y109" s="8">
        <f>VLOOKUP($B109,floorspace!$B$4:$O$12,'shell factors calc'!Y$2+1,FALSE)</f>
        <v>479.19305400000002</v>
      </c>
      <c r="Z109">
        <f t="shared" si="1"/>
        <v>0.68181145949646838</v>
      </c>
    </row>
    <row r="110" spans="1:26" x14ac:dyDescent="0.2">
      <c r="A110" s="5" t="s">
        <v>45</v>
      </c>
      <c r="B110" s="5" t="s">
        <v>39</v>
      </c>
      <c r="C110" s="6" t="s">
        <v>16</v>
      </c>
      <c r="D110" s="7">
        <v>0.71914</v>
      </c>
      <c r="E110">
        <v>0.69560999999999995</v>
      </c>
      <c r="F110">
        <v>0.79866999999999999</v>
      </c>
      <c r="G110">
        <v>0.45881</v>
      </c>
      <c r="H110">
        <v>0.78468000000000004</v>
      </c>
      <c r="I110">
        <v>0.60892000000000002</v>
      </c>
      <c r="J110">
        <v>0.71120000000000005</v>
      </c>
      <c r="K110">
        <v>0.74885000000000002</v>
      </c>
      <c r="L110">
        <v>0.63541999999999998</v>
      </c>
      <c r="M110">
        <v>0.63832</v>
      </c>
      <c r="N110">
        <v>0.69262000000000001</v>
      </c>
      <c r="O110" s="8">
        <f>VLOOKUP($B110,floorspace!$B$4:$O$12,'shell factors calc'!O$2+1,FALSE)</f>
        <v>976.43579099999999</v>
      </c>
      <c r="P110" s="8">
        <f>VLOOKUP($B110,floorspace!$B$4:$O$12,'shell factors calc'!P$2+1,FALSE)</f>
        <v>1383.6553960000001</v>
      </c>
      <c r="Q110" s="8">
        <f>VLOOKUP($B110,floorspace!$B$4:$O$12,'shell factors calc'!Q$2+1,FALSE)</f>
        <v>120.231117</v>
      </c>
      <c r="R110" s="8">
        <f>VLOOKUP($B110,floorspace!$B$4:$O$12,'shell factors calc'!R$2+1,FALSE)</f>
        <v>62.268970000000003</v>
      </c>
      <c r="S110" s="8">
        <f>VLOOKUP($B110,floorspace!$B$4:$O$12,'shell factors calc'!S$2+1,FALSE)</f>
        <v>136.81397999999999</v>
      </c>
      <c r="T110" s="8">
        <f>VLOOKUP($B110,floorspace!$B$4:$O$12,'shell factors calc'!T$2+1,FALSE)</f>
        <v>578.51654099999996</v>
      </c>
      <c r="U110" s="8">
        <f>VLOOKUP($B110,floorspace!$B$4:$O$12,'shell factors calc'!U$2+1,FALSE)</f>
        <v>696.50329599999998</v>
      </c>
      <c r="V110" s="8">
        <f>VLOOKUP($B110,floorspace!$B$4:$O$12,'shell factors calc'!V$2+1,FALSE)</f>
        <v>787.38818400000002</v>
      </c>
      <c r="W110" s="8">
        <f>VLOOKUP($B110,floorspace!$B$4:$O$12,'shell factors calc'!W$2+1,FALSE)</f>
        <v>1768.7573239999999</v>
      </c>
      <c r="X110" s="8">
        <f>VLOOKUP($B110,floorspace!$B$4:$O$12,'shell factors calc'!X$2+1,FALSE)</f>
        <v>1364.572754</v>
      </c>
      <c r="Y110" s="8">
        <f>VLOOKUP($B110,floorspace!$B$4:$O$12,'shell factors calc'!Y$2+1,FALSE)</f>
        <v>479.19305400000002</v>
      </c>
      <c r="Z110">
        <f t="shared" si="1"/>
        <v>0.67757913078947796</v>
      </c>
    </row>
    <row r="111" spans="1:26" x14ac:dyDescent="0.2">
      <c r="A111" s="5" t="s">
        <v>45</v>
      </c>
      <c r="B111" s="5" t="s">
        <v>39</v>
      </c>
      <c r="C111" s="6" t="s">
        <v>17</v>
      </c>
      <c r="D111" s="7">
        <v>0.71401899999999996</v>
      </c>
      <c r="E111">
        <v>0.68995700000000004</v>
      </c>
      <c r="F111">
        <v>0.79473400000000005</v>
      </c>
      <c r="G111">
        <v>0.44868799999999998</v>
      </c>
      <c r="H111">
        <v>0.780142</v>
      </c>
      <c r="I111">
        <v>0.60011800000000004</v>
      </c>
      <c r="J111">
        <v>0.70530199999999998</v>
      </c>
      <c r="K111">
        <v>0.74441299999999999</v>
      </c>
      <c r="L111">
        <v>0.62835700000000005</v>
      </c>
      <c r="M111">
        <v>0.64142600000000005</v>
      </c>
      <c r="N111">
        <v>0.68640100000000004</v>
      </c>
      <c r="O111" s="8">
        <f>VLOOKUP($B111,floorspace!$B$4:$O$12,'shell factors calc'!O$2+1,FALSE)</f>
        <v>976.43579099999999</v>
      </c>
      <c r="P111" s="8">
        <f>VLOOKUP($B111,floorspace!$B$4:$O$12,'shell factors calc'!P$2+1,FALSE)</f>
        <v>1383.6553960000001</v>
      </c>
      <c r="Q111" s="8">
        <f>VLOOKUP($B111,floorspace!$B$4:$O$12,'shell factors calc'!Q$2+1,FALSE)</f>
        <v>120.231117</v>
      </c>
      <c r="R111" s="8">
        <f>VLOOKUP($B111,floorspace!$B$4:$O$12,'shell factors calc'!R$2+1,FALSE)</f>
        <v>62.268970000000003</v>
      </c>
      <c r="S111" s="8">
        <f>VLOOKUP($B111,floorspace!$B$4:$O$12,'shell factors calc'!S$2+1,FALSE)</f>
        <v>136.81397999999999</v>
      </c>
      <c r="T111" s="8">
        <f>VLOOKUP($B111,floorspace!$B$4:$O$12,'shell factors calc'!T$2+1,FALSE)</f>
        <v>578.51654099999996</v>
      </c>
      <c r="U111" s="8">
        <f>VLOOKUP($B111,floorspace!$B$4:$O$12,'shell factors calc'!U$2+1,FALSE)</f>
        <v>696.50329599999998</v>
      </c>
      <c r="V111" s="8">
        <f>VLOOKUP($B111,floorspace!$B$4:$O$12,'shell factors calc'!V$2+1,FALSE)</f>
        <v>787.38818400000002</v>
      </c>
      <c r="W111" s="8">
        <f>VLOOKUP($B111,floorspace!$B$4:$O$12,'shell factors calc'!W$2+1,FALSE)</f>
        <v>1768.7573239999999</v>
      </c>
      <c r="X111" s="8">
        <f>VLOOKUP($B111,floorspace!$B$4:$O$12,'shell factors calc'!X$2+1,FALSE)</f>
        <v>1364.572754</v>
      </c>
      <c r="Y111" s="8">
        <f>VLOOKUP($B111,floorspace!$B$4:$O$12,'shell factors calc'!Y$2+1,FALSE)</f>
        <v>479.19305400000002</v>
      </c>
      <c r="Z111">
        <f t="shared" si="1"/>
        <v>0.67297377378547174</v>
      </c>
    </row>
    <row r="112" spans="1:26" x14ac:dyDescent="0.2">
      <c r="A112" s="5" t="s">
        <v>45</v>
      </c>
      <c r="B112" s="5" t="s">
        <v>39</v>
      </c>
      <c r="C112" s="6" t="s">
        <v>18</v>
      </c>
      <c r="D112" s="7">
        <v>0.70893399999999995</v>
      </c>
      <c r="E112">
        <v>0.68434899999999999</v>
      </c>
      <c r="F112">
        <v>0.79081699999999999</v>
      </c>
      <c r="G112">
        <v>0.43878899999999998</v>
      </c>
      <c r="H112">
        <v>0.77563000000000004</v>
      </c>
      <c r="I112">
        <v>0.59144300000000005</v>
      </c>
      <c r="J112">
        <v>0.69945199999999996</v>
      </c>
      <c r="K112">
        <v>0.74000100000000002</v>
      </c>
      <c r="L112">
        <v>0.62137299999999995</v>
      </c>
      <c r="M112">
        <v>0.64454699999999998</v>
      </c>
      <c r="N112">
        <v>0.68023699999999998</v>
      </c>
      <c r="O112" s="8">
        <f>VLOOKUP($B112,floorspace!$B$4:$O$12,'shell factors calc'!O$2+1,FALSE)</f>
        <v>976.43579099999999</v>
      </c>
      <c r="P112" s="8">
        <f>VLOOKUP($B112,floorspace!$B$4:$O$12,'shell factors calc'!P$2+1,FALSE)</f>
        <v>1383.6553960000001</v>
      </c>
      <c r="Q112" s="8">
        <f>VLOOKUP($B112,floorspace!$B$4:$O$12,'shell factors calc'!Q$2+1,FALSE)</f>
        <v>120.231117</v>
      </c>
      <c r="R112" s="8">
        <f>VLOOKUP($B112,floorspace!$B$4:$O$12,'shell factors calc'!R$2+1,FALSE)</f>
        <v>62.268970000000003</v>
      </c>
      <c r="S112" s="8">
        <f>VLOOKUP($B112,floorspace!$B$4:$O$12,'shell factors calc'!S$2+1,FALSE)</f>
        <v>136.81397999999999</v>
      </c>
      <c r="T112" s="8">
        <f>VLOOKUP($B112,floorspace!$B$4:$O$12,'shell factors calc'!T$2+1,FALSE)</f>
        <v>578.51654099999996</v>
      </c>
      <c r="U112" s="8">
        <f>VLOOKUP($B112,floorspace!$B$4:$O$12,'shell factors calc'!U$2+1,FALSE)</f>
        <v>696.50329599999998</v>
      </c>
      <c r="V112" s="8">
        <f>VLOOKUP($B112,floorspace!$B$4:$O$12,'shell factors calc'!V$2+1,FALSE)</f>
        <v>787.38818400000002</v>
      </c>
      <c r="W112" s="8">
        <f>VLOOKUP($B112,floorspace!$B$4:$O$12,'shell factors calc'!W$2+1,FALSE)</f>
        <v>1768.7573239999999</v>
      </c>
      <c r="X112" s="8">
        <f>VLOOKUP($B112,floorspace!$B$4:$O$12,'shell factors calc'!X$2+1,FALSE)</f>
        <v>1364.572754</v>
      </c>
      <c r="Y112" s="8">
        <f>VLOOKUP($B112,floorspace!$B$4:$O$12,'shell factors calc'!Y$2+1,FALSE)</f>
        <v>479.19305400000002</v>
      </c>
      <c r="Z112">
        <f t="shared" si="1"/>
        <v>0.66841992155655894</v>
      </c>
    </row>
    <row r="113" spans="1:26" x14ac:dyDescent="0.2">
      <c r="A113" s="5" t="s">
        <v>45</v>
      </c>
      <c r="B113" s="5" t="s">
        <v>39</v>
      </c>
      <c r="C113" s="6" t="s">
        <v>19</v>
      </c>
      <c r="D113" s="7">
        <v>0.70388600000000001</v>
      </c>
      <c r="E113">
        <v>0.67878700000000003</v>
      </c>
      <c r="F113">
        <v>0.78691999999999995</v>
      </c>
      <c r="G113">
        <v>0.42910900000000002</v>
      </c>
      <c r="H113">
        <v>0.77114400000000005</v>
      </c>
      <c r="I113">
        <v>0.58289400000000002</v>
      </c>
      <c r="J113">
        <v>0.69365100000000002</v>
      </c>
      <c r="K113">
        <v>0.73561600000000005</v>
      </c>
      <c r="L113">
        <v>0.61446599999999996</v>
      </c>
      <c r="M113">
        <v>0.64768400000000004</v>
      </c>
      <c r="N113">
        <v>0.67412899999999998</v>
      </c>
      <c r="O113" s="8">
        <f>VLOOKUP($B113,floorspace!$B$4:$O$12,'shell factors calc'!O$2+1,FALSE)</f>
        <v>976.43579099999999</v>
      </c>
      <c r="P113" s="8">
        <f>VLOOKUP($B113,floorspace!$B$4:$O$12,'shell factors calc'!P$2+1,FALSE)</f>
        <v>1383.6553960000001</v>
      </c>
      <c r="Q113" s="8">
        <f>VLOOKUP($B113,floorspace!$B$4:$O$12,'shell factors calc'!Q$2+1,FALSE)</f>
        <v>120.231117</v>
      </c>
      <c r="R113" s="8">
        <f>VLOOKUP($B113,floorspace!$B$4:$O$12,'shell factors calc'!R$2+1,FALSE)</f>
        <v>62.268970000000003</v>
      </c>
      <c r="S113" s="8">
        <f>VLOOKUP($B113,floorspace!$B$4:$O$12,'shell factors calc'!S$2+1,FALSE)</f>
        <v>136.81397999999999</v>
      </c>
      <c r="T113" s="8">
        <f>VLOOKUP($B113,floorspace!$B$4:$O$12,'shell factors calc'!T$2+1,FALSE)</f>
        <v>578.51654099999996</v>
      </c>
      <c r="U113" s="8">
        <f>VLOOKUP($B113,floorspace!$B$4:$O$12,'shell factors calc'!U$2+1,FALSE)</f>
        <v>696.50329599999998</v>
      </c>
      <c r="V113" s="8">
        <f>VLOOKUP($B113,floorspace!$B$4:$O$12,'shell factors calc'!V$2+1,FALSE)</f>
        <v>787.38818400000002</v>
      </c>
      <c r="W113" s="8">
        <f>VLOOKUP($B113,floorspace!$B$4:$O$12,'shell factors calc'!W$2+1,FALSE)</f>
        <v>1768.7573239999999</v>
      </c>
      <c r="X113" s="8">
        <f>VLOOKUP($B113,floorspace!$B$4:$O$12,'shell factors calc'!X$2+1,FALSE)</f>
        <v>1364.572754</v>
      </c>
      <c r="Y113" s="8">
        <f>VLOOKUP($B113,floorspace!$B$4:$O$12,'shell factors calc'!Y$2+1,FALSE)</f>
        <v>479.19305400000002</v>
      </c>
      <c r="Z113">
        <f t="shared" si="1"/>
        <v>0.66391784106119123</v>
      </c>
    </row>
    <row r="114" spans="1:26" x14ac:dyDescent="0.2">
      <c r="A114" s="5" t="s">
        <v>45</v>
      </c>
      <c r="B114" s="5" t="s">
        <v>39</v>
      </c>
      <c r="C114" s="6" t="s">
        <v>20</v>
      </c>
      <c r="D114" s="7">
        <v>0.698874</v>
      </c>
      <c r="E114">
        <v>0.67327099999999995</v>
      </c>
      <c r="F114">
        <v>0.78304099999999999</v>
      </c>
      <c r="G114">
        <v>0.41964200000000002</v>
      </c>
      <c r="H114">
        <v>0.76668400000000003</v>
      </c>
      <c r="I114">
        <v>0.57446799999999998</v>
      </c>
      <c r="J114">
        <v>0.68789900000000004</v>
      </c>
      <c r="K114">
        <v>0.73125700000000005</v>
      </c>
      <c r="L114">
        <v>0.60763599999999995</v>
      </c>
      <c r="M114">
        <v>0.65083500000000005</v>
      </c>
      <c r="N114">
        <v>0.668076</v>
      </c>
      <c r="O114" s="8">
        <f>VLOOKUP($B114,floorspace!$B$4:$O$12,'shell factors calc'!O$2+1,FALSE)</f>
        <v>976.43579099999999</v>
      </c>
      <c r="P114" s="8">
        <f>VLOOKUP($B114,floorspace!$B$4:$O$12,'shell factors calc'!P$2+1,FALSE)</f>
        <v>1383.6553960000001</v>
      </c>
      <c r="Q114" s="8">
        <f>VLOOKUP($B114,floorspace!$B$4:$O$12,'shell factors calc'!Q$2+1,FALSE)</f>
        <v>120.231117</v>
      </c>
      <c r="R114" s="8">
        <f>VLOOKUP($B114,floorspace!$B$4:$O$12,'shell factors calc'!R$2+1,FALSE)</f>
        <v>62.268970000000003</v>
      </c>
      <c r="S114" s="8">
        <f>VLOOKUP($B114,floorspace!$B$4:$O$12,'shell factors calc'!S$2+1,FALSE)</f>
        <v>136.81397999999999</v>
      </c>
      <c r="T114" s="8">
        <f>VLOOKUP($B114,floorspace!$B$4:$O$12,'shell factors calc'!T$2+1,FALSE)</f>
        <v>578.51654099999996</v>
      </c>
      <c r="U114" s="8">
        <f>VLOOKUP($B114,floorspace!$B$4:$O$12,'shell factors calc'!U$2+1,FALSE)</f>
        <v>696.50329599999998</v>
      </c>
      <c r="V114" s="8">
        <f>VLOOKUP($B114,floorspace!$B$4:$O$12,'shell factors calc'!V$2+1,FALSE)</f>
        <v>787.38818400000002</v>
      </c>
      <c r="W114" s="8">
        <f>VLOOKUP($B114,floorspace!$B$4:$O$12,'shell factors calc'!W$2+1,FALSE)</f>
        <v>1768.7573239999999</v>
      </c>
      <c r="X114" s="8">
        <f>VLOOKUP($B114,floorspace!$B$4:$O$12,'shell factors calc'!X$2+1,FALSE)</f>
        <v>1364.572754</v>
      </c>
      <c r="Y114" s="8">
        <f>VLOOKUP($B114,floorspace!$B$4:$O$12,'shell factors calc'!Y$2+1,FALSE)</f>
        <v>479.19305400000002</v>
      </c>
      <c r="Z114">
        <f t="shared" si="1"/>
        <v>0.65946665589364817</v>
      </c>
    </row>
    <row r="115" spans="1:26" x14ac:dyDescent="0.2">
      <c r="A115" s="5" t="s">
        <v>45</v>
      </c>
      <c r="B115" s="5" t="s">
        <v>39</v>
      </c>
      <c r="C115" s="6" t="s">
        <v>21</v>
      </c>
      <c r="D115" s="7">
        <v>0.69389699999999999</v>
      </c>
      <c r="E115">
        <v>0.66779900000000003</v>
      </c>
      <c r="F115">
        <v>0.77918200000000004</v>
      </c>
      <c r="G115">
        <v>0.410385</v>
      </c>
      <c r="H115">
        <v>0.76224899999999995</v>
      </c>
      <c r="I115">
        <v>0.566164</v>
      </c>
      <c r="J115">
        <v>0.68219300000000005</v>
      </c>
      <c r="K115">
        <v>0.72692400000000001</v>
      </c>
      <c r="L115">
        <v>0.600881</v>
      </c>
      <c r="M115">
        <v>0.65400199999999997</v>
      </c>
      <c r="N115">
        <v>0.66207700000000003</v>
      </c>
      <c r="O115" s="8">
        <f>VLOOKUP($B115,floorspace!$B$4:$O$12,'shell factors calc'!O$2+1,FALSE)</f>
        <v>976.43579099999999</v>
      </c>
      <c r="P115" s="8">
        <f>VLOOKUP($B115,floorspace!$B$4:$O$12,'shell factors calc'!P$2+1,FALSE)</f>
        <v>1383.6553960000001</v>
      </c>
      <c r="Q115" s="8">
        <f>VLOOKUP($B115,floorspace!$B$4:$O$12,'shell factors calc'!Q$2+1,FALSE)</f>
        <v>120.231117</v>
      </c>
      <c r="R115" s="8">
        <f>VLOOKUP($B115,floorspace!$B$4:$O$12,'shell factors calc'!R$2+1,FALSE)</f>
        <v>62.268970000000003</v>
      </c>
      <c r="S115" s="8">
        <f>VLOOKUP($B115,floorspace!$B$4:$O$12,'shell factors calc'!S$2+1,FALSE)</f>
        <v>136.81397999999999</v>
      </c>
      <c r="T115" s="8">
        <f>VLOOKUP($B115,floorspace!$B$4:$O$12,'shell factors calc'!T$2+1,FALSE)</f>
        <v>578.51654099999996</v>
      </c>
      <c r="U115" s="8">
        <f>VLOOKUP($B115,floorspace!$B$4:$O$12,'shell factors calc'!U$2+1,FALSE)</f>
        <v>696.50329599999998</v>
      </c>
      <c r="V115" s="8">
        <f>VLOOKUP($B115,floorspace!$B$4:$O$12,'shell factors calc'!V$2+1,FALSE)</f>
        <v>787.38818400000002</v>
      </c>
      <c r="W115" s="8">
        <f>VLOOKUP($B115,floorspace!$B$4:$O$12,'shell factors calc'!W$2+1,FALSE)</f>
        <v>1768.7573239999999</v>
      </c>
      <c r="X115" s="8">
        <f>VLOOKUP($B115,floorspace!$B$4:$O$12,'shell factors calc'!X$2+1,FALSE)</f>
        <v>1364.572754</v>
      </c>
      <c r="Y115" s="8">
        <f>VLOOKUP($B115,floorspace!$B$4:$O$12,'shell factors calc'!Y$2+1,FALSE)</f>
        <v>479.19305400000002</v>
      </c>
      <c r="Z115">
        <f t="shared" si="1"/>
        <v>0.65506543450251964</v>
      </c>
    </row>
    <row r="116" spans="1:26" x14ac:dyDescent="0.2">
      <c r="A116" s="5" t="s">
        <v>45</v>
      </c>
      <c r="B116" s="5" t="s">
        <v>39</v>
      </c>
      <c r="C116" s="6" t="s">
        <v>22</v>
      </c>
      <c r="D116" s="7">
        <v>0.68895600000000001</v>
      </c>
      <c r="E116">
        <v>0.66237199999999996</v>
      </c>
      <c r="F116">
        <v>0.77534199999999998</v>
      </c>
      <c r="G116">
        <v>0.40133099999999999</v>
      </c>
      <c r="H116">
        <v>0.75784099999999999</v>
      </c>
      <c r="I116">
        <v>0.55798000000000003</v>
      </c>
      <c r="J116">
        <v>0.67653600000000003</v>
      </c>
      <c r="K116">
        <v>0.72261600000000004</v>
      </c>
      <c r="L116">
        <v>0.59420200000000001</v>
      </c>
      <c r="M116">
        <v>0.65718500000000002</v>
      </c>
      <c r="N116">
        <v>0.65613100000000002</v>
      </c>
      <c r="O116" s="8">
        <f>VLOOKUP($B116,floorspace!$B$4:$O$12,'shell factors calc'!O$2+1,FALSE)</f>
        <v>976.43579099999999</v>
      </c>
      <c r="P116" s="8">
        <f>VLOOKUP($B116,floorspace!$B$4:$O$12,'shell factors calc'!P$2+1,FALSE)</f>
        <v>1383.6553960000001</v>
      </c>
      <c r="Q116" s="8">
        <f>VLOOKUP($B116,floorspace!$B$4:$O$12,'shell factors calc'!Q$2+1,FALSE)</f>
        <v>120.231117</v>
      </c>
      <c r="R116" s="8">
        <f>VLOOKUP($B116,floorspace!$B$4:$O$12,'shell factors calc'!R$2+1,FALSE)</f>
        <v>62.268970000000003</v>
      </c>
      <c r="S116" s="8">
        <f>VLOOKUP($B116,floorspace!$B$4:$O$12,'shell factors calc'!S$2+1,FALSE)</f>
        <v>136.81397999999999</v>
      </c>
      <c r="T116" s="8">
        <f>VLOOKUP($B116,floorspace!$B$4:$O$12,'shell factors calc'!T$2+1,FALSE)</f>
        <v>578.51654099999996</v>
      </c>
      <c r="U116" s="8">
        <f>VLOOKUP($B116,floorspace!$B$4:$O$12,'shell factors calc'!U$2+1,FALSE)</f>
        <v>696.50329599999998</v>
      </c>
      <c r="V116" s="8">
        <f>VLOOKUP($B116,floorspace!$B$4:$O$12,'shell factors calc'!V$2+1,FALSE)</f>
        <v>787.38818400000002</v>
      </c>
      <c r="W116" s="8">
        <f>VLOOKUP($B116,floorspace!$B$4:$O$12,'shell factors calc'!W$2+1,FALSE)</f>
        <v>1768.7573239999999</v>
      </c>
      <c r="X116" s="8">
        <f>VLOOKUP($B116,floorspace!$B$4:$O$12,'shell factors calc'!X$2+1,FALSE)</f>
        <v>1364.572754</v>
      </c>
      <c r="Y116" s="8">
        <f>VLOOKUP($B116,floorspace!$B$4:$O$12,'shell factors calc'!Y$2+1,FALSE)</f>
        <v>479.19305400000002</v>
      </c>
      <c r="Z116">
        <f t="shared" si="1"/>
        <v>0.65071459729918979</v>
      </c>
    </row>
    <row r="117" spans="1:26" x14ac:dyDescent="0.2">
      <c r="A117" s="5" t="s">
        <v>45</v>
      </c>
      <c r="B117" s="5" t="s">
        <v>39</v>
      </c>
      <c r="C117" s="6" t="s">
        <v>23</v>
      </c>
      <c r="D117" s="7">
        <v>0.68405000000000005</v>
      </c>
      <c r="E117">
        <v>0.65698900000000005</v>
      </c>
      <c r="F117">
        <v>0.77152100000000001</v>
      </c>
      <c r="G117">
        <v>0.39247700000000002</v>
      </c>
      <c r="H117">
        <v>0.75345799999999996</v>
      </c>
      <c r="I117">
        <v>0.54991400000000001</v>
      </c>
      <c r="J117">
        <v>0.67092499999999999</v>
      </c>
      <c r="K117">
        <v>0.71833400000000003</v>
      </c>
      <c r="L117">
        <v>0.58759700000000004</v>
      </c>
      <c r="M117">
        <v>0.66038200000000002</v>
      </c>
      <c r="N117">
        <v>0.65024000000000004</v>
      </c>
      <c r="O117" s="8">
        <f>VLOOKUP($B117,floorspace!$B$4:$O$12,'shell factors calc'!O$2+1,FALSE)</f>
        <v>976.43579099999999</v>
      </c>
      <c r="P117" s="8">
        <f>VLOOKUP($B117,floorspace!$B$4:$O$12,'shell factors calc'!P$2+1,FALSE)</f>
        <v>1383.6553960000001</v>
      </c>
      <c r="Q117" s="8">
        <f>VLOOKUP($B117,floorspace!$B$4:$O$12,'shell factors calc'!Q$2+1,FALSE)</f>
        <v>120.231117</v>
      </c>
      <c r="R117" s="8">
        <f>VLOOKUP($B117,floorspace!$B$4:$O$12,'shell factors calc'!R$2+1,FALSE)</f>
        <v>62.268970000000003</v>
      </c>
      <c r="S117" s="8">
        <f>VLOOKUP($B117,floorspace!$B$4:$O$12,'shell factors calc'!S$2+1,FALSE)</f>
        <v>136.81397999999999</v>
      </c>
      <c r="T117" s="8">
        <f>VLOOKUP($B117,floorspace!$B$4:$O$12,'shell factors calc'!T$2+1,FALSE)</f>
        <v>578.51654099999996</v>
      </c>
      <c r="U117" s="8">
        <f>VLOOKUP($B117,floorspace!$B$4:$O$12,'shell factors calc'!U$2+1,FALSE)</f>
        <v>696.50329599999998</v>
      </c>
      <c r="V117" s="8">
        <f>VLOOKUP($B117,floorspace!$B$4:$O$12,'shell factors calc'!V$2+1,FALSE)</f>
        <v>787.38818400000002</v>
      </c>
      <c r="W117" s="8">
        <f>VLOOKUP($B117,floorspace!$B$4:$O$12,'shell factors calc'!W$2+1,FALSE)</f>
        <v>1768.7573239999999</v>
      </c>
      <c r="X117" s="8">
        <f>VLOOKUP($B117,floorspace!$B$4:$O$12,'shell factors calc'!X$2+1,FALSE)</f>
        <v>1364.572754</v>
      </c>
      <c r="Y117" s="8">
        <f>VLOOKUP($B117,floorspace!$B$4:$O$12,'shell factors calc'!Y$2+1,FALSE)</f>
        <v>479.19305400000002</v>
      </c>
      <c r="Z117">
        <f t="shared" si="1"/>
        <v>0.64641287692328708</v>
      </c>
    </row>
    <row r="118" spans="1:26" x14ac:dyDescent="0.2">
      <c r="A118" s="5" t="s">
        <v>45</v>
      </c>
      <c r="B118" s="5" t="s">
        <v>39</v>
      </c>
      <c r="C118" s="6" t="s">
        <v>24</v>
      </c>
      <c r="D118" s="7">
        <v>0.67917899999999998</v>
      </c>
      <c r="E118">
        <v>0.65164900000000003</v>
      </c>
      <c r="F118">
        <v>0.76771800000000001</v>
      </c>
      <c r="G118">
        <v>0.38381799999999999</v>
      </c>
      <c r="H118">
        <v>0.74909999999999999</v>
      </c>
      <c r="I118">
        <v>0.54196500000000003</v>
      </c>
      <c r="J118">
        <v>0.66535999999999995</v>
      </c>
      <c r="K118">
        <v>0.71407799999999999</v>
      </c>
      <c r="L118">
        <v>0.58106599999999997</v>
      </c>
      <c r="M118">
        <v>0.66359599999999996</v>
      </c>
      <c r="N118">
        <v>0.644401</v>
      </c>
      <c r="O118" s="8">
        <f>VLOOKUP($B118,floorspace!$B$4:$O$12,'shell factors calc'!O$2+1,FALSE)</f>
        <v>976.43579099999999</v>
      </c>
      <c r="P118" s="8">
        <f>VLOOKUP($B118,floorspace!$B$4:$O$12,'shell factors calc'!P$2+1,FALSE)</f>
        <v>1383.6553960000001</v>
      </c>
      <c r="Q118" s="8">
        <f>VLOOKUP($B118,floorspace!$B$4:$O$12,'shell factors calc'!Q$2+1,FALSE)</f>
        <v>120.231117</v>
      </c>
      <c r="R118" s="8">
        <f>VLOOKUP($B118,floorspace!$B$4:$O$12,'shell factors calc'!R$2+1,FALSE)</f>
        <v>62.268970000000003</v>
      </c>
      <c r="S118" s="8">
        <f>VLOOKUP($B118,floorspace!$B$4:$O$12,'shell factors calc'!S$2+1,FALSE)</f>
        <v>136.81397999999999</v>
      </c>
      <c r="T118" s="8">
        <f>VLOOKUP($B118,floorspace!$B$4:$O$12,'shell factors calc'!T$2+1,FALSE)</f>
        <v>578.51654099999996</v>
      </c>
      <c r="U118" s="8">
        <f>VLOOKUP($B118,floorspace!$B$4:$O$12,'shell factors calc'!U$2+1,FALSE)</f>
        <v>696.50329599999998</v>
      </c>
      <c r="V118" s="8">
        <f>VLOOKUP($B118,floorspace!$B$4:$O$12,'shell factors calc'!V$2+1,FALSE)</f>
        <v>787.38818400000002</v>
      </c>
      <c r="W118" s="8">
        <f>VLOOKUP($B118,floorspace!$B$4:$O$12,'shell factors calc'!W$2+1,FALSE)</f>
        <v>1768.7573239999999</v>
      </c>
      <c r="X118" s="8">
        <f>VLOOKUP($B118,floorspace!$B$4:$O$12,'shell factors calc'!X$2+1,FALSE)</f>
        <v>1364.572754</v>
      </c>
      <c r="Y118" s="8">
        <f>VLOOKUP($B118,floorspace!$B$4:$O$12,'shell factors calc'!Y$2+1,FALSE)</f>
        <v>479.19305400000002</v>
      </c>
      <c r="Z118">
        <f t="shared" si="1"/>
        <v>0.64216030478259611</v>
      </c>
    </row>
    <row r="119" spans="1:26" x14ac:dyDescent="0.2">
      <c r="A119" s="5" t="s">
        <v>45</v>
      </c>
      <c r="B119" s="5" t="s">
        <v>39</v>
      </c>
      <c r="C119" s="6" t="s">
        <v>25</v>
      </c>
      <c r="D119" s="7">
        <v>0.674342</v>
      </c>
      <c r="E119">
        <v>0.64635299999999996</v>
      </c>
      <c r="F119">
        <v>0.76393500000000003</v>
      </c>
      <c r="G119">
        <v>0.37535099999999999</v>
      </c>
      <c r="H119">
        <v>0.74476699999999996</v>
      </c>
      <c r="I119">
        <v>0.53413100000000002</v>
      </c>
      <c r="J119">
        <v>0.65984200000000004</v>
      </c>
      <c r="K119">
        <v>0.70984599999999998</v>
      </c>
      <c r="L119">
        <v>0.57460699999999998</v>
      </c>
      <c r="M119">
        <v>0.666825</v>
      </c>
      <c r="N119">
        <v>0.63861400000000001</v>
      </c>
      <c r="O119" s="8">
        <f>VLOOKUP($B119,floorspace!$B$4:$O$12,'shell factors calc'!O$2+1,FALSE)</f>
        <v>976.43579099999999</v>
      </c>
      <c r="P119" s="8">
        <f>VLOOKUP($B119,floorspace!$B$4:$O$12,'shell factors calc'!P$2+1,FALSE)</f>
        <v>1383.6553960000001</v>
      </c>
      <c r="Q119" s="8">
        <f>VLOOKUP($B119,floorspace!$B$4:$O$12,'shell factors calc'!Q$2+1,FALSE)</f>
        <v>120.231117</v>
      </c>
      <c r="R119" s="8">
        <f>VLOOKUP($B119,floorspace!$B$4:$O$12,'shell factors calc'!R$2+1,FALSE)</f>
        <v>62.268970000000003</v>
      </c>
      <c r="S119" s="8">
        <f>VLOOKUP($B119,floorspace!$B$4:$O$12,'shell factors calc'!S$2+1,FALSE)</f>
        <v>136.81397999999999</v>
      </c>
      <c r="T119" s="8">
        <f>VLOOKUP($B119,floorspace!$B$4:$O$12,'shell factors calc'!T$2+1,FALSE)</f>
        <v>578.51654099999996</v>
      </c>
      <c r="U119" s="8">
        <f>VLOOKUP($B119,floorspace!$B$4:$O$12,'shell factors calc'!U$2+1,FALSE)</f>
        <v>696.50329599999998</v>
      </c>
      <c r="V119" s="8">
        <f>VLOOKUP($B119,floorspace!$B$4:$O$12,'shell factors calc'!V$2+1,FALSE)</f>
        <v>787.38818400000002</v>
      </c>
      <c r="W119" s="8">
        <f>VLOOKUP($B119,floorspace!$B$4:$O$12,'shell factors calc'!W$2+1,FALSE)</f>
        <v>1768.7573239999999</v>
      </c>
      <c r="X119" s="8">
        <f>VLOOKUP($B119,floorspace!$B$4:$O$12,'shell factors calc'!X$2+1,FALSE)</f>
        <v>1364.572754</v>
      </c>
      <c r="Y119" s="8">
        <f>VLOOKUP($B119,floorspace!$B$4:$O$12,'shell factors calc'!Y$2+1,FALSE)</f>
        <v>479.19305400000002</v>
      </c>
      <c r="Z119">
        <f t="shared" si="1"/>
        <v>0.63795594231168185</v>
      </c>
    </row>
    <row r="120" spans="1:26" x14ac:dyDescent="0.2">
      <c r="A120" s="5" t="s">
        <v>45</v>
      </c>
      <c r="B120" s="5" t="s">
        <v>39</v>
      </c>
      <c r="C120" s="6" t="s">
        <v>26</v>
      </c>
      <c r="D120" s="7">
        <v>0.66954000000000002</v>
      </c>
      <c r="E120">
        <v>0.6411</v>
      </c>
      <c r="F120">
        <v>0.76017000000000001</v>
      </c>
      <c r="G120">
        <v>0.36707000000000001</v>
      </c>
      <c r="H120">
        <v>0.74046000000000001</v>
      </c>
      <c r="I120">
        <v>0.52641000000000004</v>
      </c>
      <c r="J120">
        <v>0.65437000000000001</v>
      </c>
      <c r="K120">
        <v>0.70564000000000004</v>
      </c>
      <c r="L120">
        <v>0.56821999999999995</v>
      </c>
      <c r="M120">
        <v>0.67007000000000005</v>
      </c>
      <c r="N120">
        <v>0.63288</v>
      </c>
      <c r="O120" s="8">
        <f>VLOOKUP($B120,floorspace!$B$4:$O$12,'shell factors calc'!O$2+1,FALSE)</f>
        <v>976.43579099999999</v>
      </c>
      <c r="P120" s="8">
        <f>VLOOKUP($B120,floorspace!$B$4:$O$12,'shell factors calc'!P$2+1,FALSE)</f>
        <v>1383.6553960000001</v>
      </c>
      <c r="Q120" s="8">
        <f>VLOOKUP($B120,floorspace!$B$4:$O$12,'shell factors calc'!Q$2+1,FALSE)</f>
        <v>120.231117</v>
      </c>
      <c r="R120" s="8">
        <f>VLOOKUP($B120,floorspace!$B$4:$O$12,'shell factors calc'!R$2+1,FALSE)</f>
        <v>62.268970000000003</v>
      </c>
      <c r="S120" s="8">
        <f>VLOOKUP($B120,floorspace!$B$4:$O$12,'shell factors calc'!S$2+1,FALSE)</f>
        <v>136.81397999999999</v>
      </c>
      <c r="T120" s="8">
        <f>VLOOKUP($B120,floorspace!$B$4:$O$12,'shell factors calc'!T$2+1,FALSE)</f>
        <v>578.51654099999996</v>
      </c>
      <c r="U120" s="8">
        <f>VLOOKUP($B120,floorspace!$B$4:$O$12,'shell factors calc'!U$2+1,FALSE)</f>
        <v>696.50329599999998</v>
      </c>
      <c r="V120" s="8">
        <f>VLOOKUP($B120,floorspace!$B$4:$O$12,'shell factors calc'!V$2+1,FALSE)</f>
        <v>787.38818400000002</v>
      </c>
      <c r="W120" s="8">
        <f>VLOOKUP($B120,floorspace!$B$4:$O$12,'shell factors calc'!W$2+1,FALSE)</f>
        <v>1768.7573239999999</v>
      </c>
      <c r="X120" s="8">
        <f>VLOOKUP($B120,floorspace!$B$4:$O$12,'shell factors calc'!X$2+1,FALSE)</f>
        <v>1364.572754</v>
      </c>
      <c r="Y120" s="8">
        <f>VLOOKUP($B120,floorspace!$B$4:$O$12,'shell factors calc'!Y$2+1,FALSE)</f>
        <v>479.19305400000002</v>
      </c>
      <c r="Z120">
        <f t="shared" si="1"/>
        <v>0.63379987096813595</v>
      </c>
    </row>
    <row r="121" spans="1:26" x14ac:dyDescent="0.2">
      <c r="A121" s="5" t="s">
        <v>45</v>
      </c>
      <c r="B121" s="5" t="s">
        <v>39</v>
      </c>
      <c r="C121" s="6" t="s">
        <v>27</v>
      </c>
      <c r="D121" s="7">
        <v>0.66443300000000005</v>
      </c>
      <c r="E121">
        <v>0.63545799999999997</v>
      </c>
      <c r="F121">
        <v>0.75642399999999999</v>
      </c>
      <c r="G121">
        <v>0.35672100000000001</v>
      </c>
      <c r="H121">
        <v>0.73593799999999998</v>
      </c>
      <c r="I121">
        <v>0.51755700000000004</v>
      </c>
      <c r="J121">
        <v>0.648482</v>
      </c>
      <c r="K121">
        <v>0.70121699999999998</v>
      </c>
      <c r="L121">
        <v>0.56114900000000001</v>
      </c>
      <c r="M121">
        <v>0.67316500000000001</v>
      </c>
      <c r="N121">
        <v>0.62666900000000003</v>
      </c>
      <c r="O121" s="8">
        <f>VLOOKUP($B121,floorspace!$B$4:$O$12,'shell factors calc'!O$2+1,FALSE)</f>
        <v>976.43579099999999</v>
      </c>
      <c r="P121" s="8">
        <f>VLOOKUP($B121,floorspace!$B$4:$O$12,'shell factors calc'!P$2+1,FALSE)</f>
        <v>1383.6553960000001</v>
      </c>
      <c r="Q121" s="8">
        <f>VLOOKUP($B121,floorspace!$B$4:$O$12,'shell factors calc'!Q$2+1,FALSE)</f>
        <v>120.231117</v>
      </c>
      <c r="R121" s="8">
        <f>VLOOKUP($B121,floorspace!$B$4:$O$12,'shell factors calc'!R$2+1,FALSE)</f>
        <v>62.268970000000003</v>
      </c>
      <c r="S121" s="8">
        <f>VLOOKUP($B121,floorspace!$B$4:$O$12,'shell factors calc'!S$2+1,FALSE)</f>
        <v>136.81397999999999</v>
      </c>
      <c r="T121" s="8">
        <f>VLOOKUP($B121,floorspace!$B$4:$O$12,'shell factors calc'!T$2+1,FALSE)</f>
        <v>578.51654099999996</v>
      </c>
      <c r="U121" s="8">
        <f>VLOOKUP($B121,floorspace!$B$4:$O$12,'shell factors calc'!U$2+1,FALSE)</f>
        <v>696.50329599999998</v>
      </c>
      <c r="V121" s="8">
        <f>VLOOKUP($B121,floorspace!$B$4:$O$12,'shell factors calc'!V$2+1,FALSE)</f>
        <v>787.38818400000002</v>
      </c>
      <c r="W121" s="8">
        <f>VLOOKUP($B121,floorspace!$B$4:$O$12,'shell factors calc'!W$2+1,FALSE)</f>
        <v>1768.7573239999999</v>
      </c>
      <c r="X121" s="8">
        <f>VLOOKUP($B121,floorspace!$B$4:$O$12,'shell factors calc'!X$2+1,FALSE)</f>
        <v>1364.572754</v>
      </c>
      <c r="Y121" s="8">
        <f>VLOOKUP($B121,floorspace!$B$4:$O$12,'shell factors calc'!Y$2+1,FALSE)</f>
        <v>479.19305400000002</v>
      </c>
      <c r="Z121">
        <f t="shared" si="1"/>
        <v>0.62919486653547674</v>
      </c>
    </row>
    <row r="122" spans="1:26" x14ac:dyDescent="0.2">
      <c r="A122" s="5" t="s">
        <v>45</v>
      </c>
      <c r="B122" s="5" t="s">
        <v>39</v>
      </c>
      <c r="C122" s="6" t="s">
        <v>28</v>
      </c>
      <c r="D122" s="7">
        <v>0.65936499999999998</v>
      </c>
      <c r="E122">
        <v>0.62986500000000001</v>
      </c>
      <c r="F122">
        <v>0.75269600000000003</v>
      </c>
      <c r="G122">
        <v>0.34666400000000003</v>
      </c>
      <c r="H122">
        <v>0.73144299999999995</v>
      </c>
      <c r="I122">
        <v>0.508853</v>
      </c>
      <c r="J122">
        <v>0.64264699999999997</v>
      </c>
      <c r="K122">
        <v>0.69682200000000005</v>
      </c>
      <c r="L122">
        <v>0.55416600000000005</v>
      </c>
      <c r="M122">
        <v>0.67627400000000004</v>
      </c>
      <c r="N122">
        <v>0.62051800000000001</v>
      </c>
      <c r="O122" s="8">
        <f>VLOOKUP($B122,floorspace!$B$4:$O$12,'shell factors calc'!O$2+1,FALSE)</f>
        <v>976.43579099999999</v>
      </c>
      <c r="P122" s="8">
        <f>VLOOKUP($B122,floorspace!$B$4:$O$12,'shell factors calc'!P$2+1,FALSE)</f>
        <v>1383.6553960000001</v>
      </c>
      <c r="Q122" s="8">
        <f>VLOOKUP($B122,floorspace!$B$4:$O$12,'shell factors calc'!Q$2+1,FALSE)</f>
        <v>120.231117</v>
      </c>
      <c r="R122" s="8">
        <f>VLOOKUP($B122,floorspace!$B$4:$O$12,'shell factors calc'!R$2+1,FALSE)</f>
        <v>62.268970000000003</v>
      </c>
      <c r="S122" s="8">
        <f>VLOOKUP($B122,floorspace!$B$4:$O$12,'shell factors calc'!S$2+1,FALSE)</f>
        <v>136.81397999999999</v>
      </c>
      <c r="T122" s="8">
        <f>VLOOKUP($B122,floorspace!$B$4:$O$12,'shell factors calc'!T$2+1,FALSE)</f>
        <v>578.51654099999996</v>
      </c>
      <c r="U122" s="8">
        <f>VLOOKUP($B122,floorspace!$B$4:$O$12,'shell factors calc'!U$2+1,FALSE)</f>
        <v>696.50329599999998</v>
      </c>
      <c r="V122" s="8">
        <f>VLOOKUP($B122,floorspace!$B$4:$O$12,'shell factors calc'!V$2+1,FALSE)</f>
        <v>787.38818400000002</v>
      </c>
      <c r="W122" s="8">
        <f>VLOOKUP($B122,floorspace!$B$4:$O$12,'shell factors calc'!W$2+1,FALSE)</f>
        <v>1768.7573239999999</v>
      </c>
      <c r="X122" s="8">
        <f>VLOOKUP($B122,floorspace!$B$4:$O$12,'shell factors calc'!X$2+1,FALSE)</f>
        <v>1364.572754</v>
      </c>
      <c r="Y122" s="8">
        <f>VLOOKUP($B122,floorspace!$B$4:$O$12,'shell factors calc'!Y$2+1,FALSE)</f>
        <v>479.19305400000002</v>
      </c>
      <c r="Z122">
        <f t="shared" si="1"/>
        <v>0.62464714822567635</v>
      </c>
    </row>
    <row r="123" spans="1:26" x14ac:dyDescent="0.2">
      <c r="A123" s="5" t="s">
        <v>45</v>
      </c>
      <c r="B123" s="5" t="s">
        <v>39</v>
      </c>
      <c r="C123" s="6" t="s">
        <v>29</v>
      </c>
      <c r="D123" s="7">
        <v>0.65433600000000003</v>
      </c>
      <c r="E123">
        <v>0.62432200000000004</v>
      </c>
      <c r="F123">
        <v>0.74898699999999996</v>
      </c>
      <c r="G123">
        <v>0.33689000000000002</v>
      </c>
      <c r="H123">
        <v>0.72697599999999996</v>
      </c>
      <c r="I123">
        <v>0.50029599999999996</v>
      </c>
      <c r="J123">
        <v>0.63686500000000001</v>
      </c>
      <c r="K123">
        <v>0.69245500000000004</v>
      </c>
      <c r="L123">
        <v>0.54726900000000001</v>
      </c>
      <c r="M123">
        <v>0.67939799999999995</v>
      </c>
      <c r="N123">
        <v>0.614429</v>
      </c>
      <c r="O123" s="8">
        <f>VLOOKUP($B123,floorspace!$B$4:$O$12,'shell factors calc'!O$2+1,FALSE)</f>
        <v>976.43579099999999</v>
      </c>
      <c r="P123" s="8">
        <f>VLOOKUP($B123,floorspace!$B$4:$O$12,'shell factors calc'!P$2+1,FALSE)</f>
        <v>1383.6553960000001</v>
      </c>
      <c r="Q123" s="8">
        <f>VLOOKUP($B123,floorspace!$B$4:$O$12,'shell factors calc'!Q$2+1,FALSE)</f>
        <v>120.231117</v>
      </c>
      <c r="R123" s="8">
        <f>VLOOKUP($B123,floorspace!$B$4:$O$12,'shell factors calc'!R$2+1,FALSE)</f>
        <v>62.268970000000003</v>
      </c>
      <c r="S123" s="8">
        <f>VLOOKUP($B123,floorspace!$B$4:$O$12,'shell factors calc'!S$2+1,FALSE)</f>
        <v>136.81397999999999</v>
      </c>
      <c r="T123" s="8">
        <f>VLOOKUP($B123,floorspace!$B$4:$O$12,'shell factors calc'!T$2+1,FALSE)</f>
        <v>578.51654099999996</v>
      </c>
      <c r="U123" s="8">
        <f>VLOOKUP($B123,floorspace!$B$4:$O$12,'shell factors calc'!U$2+1,FALSE)</f>
        <v>696.50329599999998</v>
      </c>
      <c r="V123" s="8">
        <f>VLOOKUP($B123,floorspace!$B$4:$O$12,'shell factors calc'!V$2+1,FALSE)</f>
        <v>787.38818400000002</v>
      </c>
      <c r="W123" s="8">
        <f>VLOOKUP($B123,floorspace!$B$4:$O$12,'shell factors calc'!W$2+1,FALSE)</f>
        <v>1768.7573239999999</v>
      </c>
      <c r="X123" s="8">
        <f>VLOOKUP($B123,floorspace!$B$4:$O$12,'shell factors calc'!X$2+1,FALSE)</f>
        <v>1364.572754</v>
      </c>
      <c r="Y123" s="8">
        <f>VLOOKUP($B123,floorspace!$B$4:$O$12,'shell factors calc'!Y$2+1,FALSE)</f>
        <v>479.19305400000002</v>
      </c>
      <c r="Z123">
        <f t="shared" si="1"/>
        <v>0.62015656147120934</v>
      </c>
    </row>
    <row r="124" spans="1:26" x14ac:dyDescent="0.2">
      <c r="A124" s="5" t="s">
        <v>45</v>
      </c>
      <c r="B124" s="5" t="s">
        <v>39</v>
      </c>
      <c r="C124" s="6" t="s">
        <v>30</v>
      </c>
      <c r="D124" s="7">
        <v>0.64934599999999998</v>
      </c>
      <c r="E124">
        <v>0.61882700000000002</v>
      </c>
      <c r="F124">
        <v>0.74529599999999996</v>
      </c>
      <c r="G124">
        <v>0.32739200000000002</v>
      </c>
      <c r="H124">
        <v>0.72253599999999996</v>
      </c>
      <c r="I124">
        <v>0.49188199999999999</v>
      </c>
      <c r="J124">
        <v>0.631135</v>
      </c>
      <c r="K124">
        <v>0.68811500000000003</v>
      </c>
      <c r="L124">
        <v>0.54045900000000002</v>
      </c>
      <c r="M124">
        <v>0.68253600000000003</v>
      </c>
      <c r="N124">
        <v>0.60839799999999999</v>
      </c>
      <c r="O124" s="8">
        <f>VLOOKUP($B124,floorspace!$B$4:$O$12,'shell factors calc'!O$2+1,FALSE)</f>
        <v>976.43579099999999</v>
      </c>
      <c r="P124" s="8">
        <f>VLOOKUP($B124,floorspace!$B$4:$O$12,'shell factors calc'!P$2+1,FALSE)</f>
        <v>1383.6553960000001</v>
      </c>
      <c r="Q124" s="8">
        <f>VLOOKUP($B124,floorspace!$B$4:$O$12,'shell factors calc'!Q$2+1,FALSE)</f>
        <v>120.231117</v>
      </c>
      <c r="R124" s="8">
        <f>VLOOKUP($B124,floorspace!$B$4:$O$12,'shell factors calc'!R$2+1,FALSE)</f>
        <v>62.268970000000003</v>
      </c>
      <c r="S124" s="8">
        <f>VLOOKUP($B124,floorspace!$B$4:$O$12,'shell factors calc'!S$2+1,FALSE)</f>
        <v>136.81397999999999</v>
      </c>
      <c r="T124" s="8">
        <f>VLOOKUP($B124,floorspace!$B$4:$O$12,'shell factors calc'!T$2+1,FALSE)</f>
        <v>578.51654099999996</v>
      </c>
      <c r="U124" s="8">
        <f>VLOOKUP($B124,floorspace!$B$4:$O$12,'shell factors calc'!U$2+1,FALSE)</f>
        <v>696.50329599999998</v>
      </c>
      <c r="V124" s="8">
        <f>VLOOKUP($B124,floorspace!$B$4:$O$12,'shell factors calc'!V$2+1,FALSE)</f>
        <v>787.38818400000002</v>
      </c>
      <c r="W124" s="8">
        <f>VLOOKUP($B124,floorspace!$B$4:$O$12,'shell factors calc'!W$2+1,FALSE)</f>
        <v>1768.7573239999999</v>
      </c>
      <c r="X124" s="8">
        <f>VLOOKUP($B124,floorspace!$B$4:$O$12,'shell factors calc'!X$2+1,FALSE)</f>
        <v>1364.572754</v>
      </c>
      <c r="Y124" s="8">
        <f>VLOOKUP($B124,floorspace!$B$4:$O$12,'shell factors calc'!Y$2+1,FALSE)</f>
        <v>479.19305400000002</v>
      </c>
      <c r="Z124">
        <f t="shared" si="1"/>
        <v>0.61572205642400402</v>
      </c>
    </row>
    <row r="125" spans="1:26" x14ac:dyDescent="0.2">
      <c r="A125" s="5" t="s">
        <v>45</v>
      </c>
      <c r="B125" s="5" t="s">
        <v>39</v>
      </c>
      <c r="C125" s="6" t="s">
        <v>31</v>
      </c>
      <c r="D125" s="7">
        <v>0.64439299999999999</v>
      </c>
      <c r="E125">
        <v>0.61338099999999995</v>
      </c>
      <c r="F125">
        <v>0.74162399999999995</v>
      </c>
      <c r="G125">
        <v>0.318162</v>
      </c>
      <c r="H125">
        <v>0.71812299999999996</v>
      </c>
      <c r="I125">
        <v>0.48360999999999998</v>
      </c>
      <c r="J125">
        <v>0.62545600000000001</v>
      </c>
      <c r="K125">
        <v>0.68380200000000002</v>
      </c>
      <c r="L125">
        <v>0.53373300000000001</v>
      </c>
      <c r="M125">
        <v>0.68568799999999996</v>
      </c>
      <c r="N125">
        <v>0.60242700000000005</v>
      </c>
      <c r="O125" s="8">
        <f>VLOOKUP($B125,floorspace!$B$4:$O$12,'shell factors calc'!O$2+1,FALSE)</f>
        <v>976.43579099999999</v>
      </c>
      <c r="P125" s="8">
        <f>VLOOKUP($B125,floorspace!$B$4:$O$12,'shell factors calc'!P$2+1,FALSE)</f>
        <v>1383.6553960000001</v>
      </c>
      <c r="Q125" s="8">
        <f>VLOOKUP($B125,floorspace!$B$4:$O$12,'shell factors calc'!Q$2+1,FALSE)</f>
        <v>120.231117</v>
      </c>
      <c r="R125" s="8">
        <f>VLOOKUP($B125,floorspace!$B$4:$O$12,'shell factors calc'!R$2+1,FALSE)</f>
        <v>62.268970000000003</v>
      </c>
      <c r="S125" s="8">
        <f>VLOOKUP($B125,floorspace!$B$4:$O$12,'shell factors calc'!S$2+1,FALSE)</f>
        <v>136.81397999999999</v>
      </c>
      <c r="T125" s="8">
        <f>VLOOKUP($B125,floorspace!$B$4:$O$12,'shell factors calc'!T$2+1,FALSE)</f>
        <v>578.51654099999996</v>
      </c>
      <c r="U125" s="8">
        <f>VLOOKUP($B125,floorspace!$B$4:$O$12,'shell factors calc'!U$2+1,FALSE)</f>
        <v>696.50329599999998</v>
      </c>
      <c r="V125" s="8">
        <f>VLOOKUP($B125,floorspace!$B$4:$O$12,'shell factors calc'!V$2+1,FALSE)</f>
        <v>787.38818400000002</v>
      </c>
      <c r="W125" s="8">
        <f>VLOOKUP($B125,floorspace!$B$4:$O$12,'shell factors calc'!W$2+1,FALSE)</f>
        <v>1768.7573239999999</v>
      </c>
      <c r="X125" s="8">
        <f>VLOOKUP($B125,floorspace!$B$4:$O$12,'shell factors calc'!X$2+1,FALSE)</f>
        <v>1364.572754</v>
      </c>
      <c r="Y125" s="8">
        <f>VLOOKUP($B125,floorspace!$B$4:$O$12,'shell factors calc'!Y$2+1,FALSE)</f>
        <v>479.19305400000002</v>
      </c>
      <c r="Z125">
        <f t="shared" si="1"/>
        <v>0.61134284666103267</v>
      </c>
    </row>
    <row r="126" spans="1:26" x14ac:dyDescent="0.2">
      <c r="A126" s="5" t="s">
        <v>45</v>
      </c>
      <c r="B126" s="5" t="s">
        <v>39</v>
      </c>
      <c r="C126" s="6" t="s">
        <v>32</v>
      </c>
      <c r="D126" s="7">
        <v>0.63947799999999999</v>
      </c>
      <c r="E126">
        <v>0.60798200000000002</v>
      </c>
      <c r="F126">
        <v>0.73796899999999999</v>
      </c>
      <c r="G126">
        <v>0.30919200000000002</v>
      </c>
      <c r="H126">
        <v>0.71373699999999995</v>
      </c>
      <c r="I126">
        <v>0.47547699999999998</v>
      </c>
      <c r="J126">
        <v>0.61982899999999996</v>
      </c>
      <c r="K126">
        <v>0.67951600000000001</v>
      </c>
      <c r="L126">
        <v>0.52709099999999998</v>
      </c>
      <c r="M126">
        <v>0.688855</v>
      </c>
      <c r="N126">
        <v>0.59651500000000002</v>
      </c>
      <c r="O126" s="8">
        <f>VLOOKUP($B126,floorspace!$B$4:$O$12,'shell factors calc'!O$2+1,FALSE)</f>
        <v>976.43579099999999</v>
      </c>
      <c r="P126" s="8">
        <f>VLOOKUP($B126,floorspace!$B$4:$O$12,'shell factors calc'!P$2+1,FALSE)</f>
        <v>1383.6553960000001</v>
      </c>
      <c r="Q126" s="8">
        <f>VLOOKUP($B126,floorspace!$B$4:$O$12,'shell factors calc'!Q$2+1,FALSE)</f>
        <v>120.231117</v>
      </c>
      <c r="R126" s="8">
        <f>VLOOKUP($B126,floorspace!$B$4:$O$12,'shell factors calc'!R$2+1,FALSE)</f>
        <v>62.268970000000003</v>
      </c>
      <c r="S126" s="8">
        <f>VLOOKUP($B126,floorspace!$B$4:$O$12,'shell factors calc'!S$2+1,FALSE)</f>
        <v>136.81397999999999</v>
      </c>
      <c r="T126" s="8">
        <f>VLOOKUP($B126,floorspace!$B$4:$O$12,'shell factors calc'!T$2+1,FALSE)</f>
        <v>578.51654099999996</v>
      </c>
      <c r="U126" s="8">
        <f>VLOOKUP($B126,floorspace!$B$4:$O$12,'shell factors calc'!U$2+1,FALSE)</f>
        <v>696.50329599999998</v>
      </c>
      <c r="V126" s="8">
        <f>VLOOKUP($B126,floorspace!$B$4:$O$12,'shell factors calc'!V$2+1,FALSE)</f>
        <v>787.38818400000002</v>
      </c>
      <c r="W126" s="8">
        <f>VLOOKUP($B126,floorspace!$B$4:$O$12,'shell factors calc'!W$2+1,FALSE)</f>
        <v>1768.7573239999999</v>
      </c>
      <c r="X126" s="8">
        <f>VLOOKUP($B126,floorspace!$B$4:$O$12,'shell factors calc'!X$2+1,FALSE)</f>
        <v>1364.572754</v>
      </c>
      <c r="Y126" s="8">
        <f>VLOOKUP($B126,floorspace!$B$4:$O$12,'shell factors calc'!Y$2+1,FALSE)</f>
        <v>479.19305400000002</v>
      </c>
      <c r="Z126">
        <f t="shared" si="1"/>
        <v>0.60701861101308563</v>
      </c>
    </row>
    <row r="127" spans="1:26" x14ac:dyDescent="0.2">
      <c r="A127" s="5" t="s">
        <v>45</v>
      </c>
      <c r="B127" s="5" t="s">
        <v>39</v>
      </c>
      <c r="C127" s="6" t="s">
        <v>33</v>
      </c>
      <c r="D127" s="7">
        <v>0.63460000000000005</v>
      </c>
      <c r="E127">
        <v>0.60263100000000003</v>
      </c>
      <c r="F127">
        <v>0.73433300000000001</v>
      </c>
      <c r="G127">
        <v>0.30047400000000002</v>
      </c>
      <c r="H127">
        <v>0.70937799999999995</v>
      </c>
      <c r="I127">
        <v>0.46748099999999998</v>
      </c>
      <c r="J127">
        <v>0.61425200000000002</v>
      </c>
      <c r="K127">
        <v>0.675257</v>
      </c>
      <c r="L127">
        <v>0.52053199999999999</v>
      </c>
      <c r="M127">
        <v>0.69203700000000001</v>
      </c>
      <c r="N127">
        <v>0.59066099999999999</v>
      </c>
      <c r="O127" s="8">
        <f>VLOOKUP($B127,floorspace!$B$4:$O$12,'shell factors calc'!O$2+1,FALSE)</f>
        <v>976.43579099999999</v>
      </c>
      <c r="P127" s="8">
        <f>VLOOKUP($B127,floorspace!$B$4:$O$12,'shell factors calc'!P$2+1,FALSE)</f>
        <v>1383.6553960000001</v>
      </c>
      <c r="Q127" s="8">
        <f>VLOOKUP($B127,floorspace!$B$4:$O$12,'shell factors calc'!Q$2+1,FALSE)</f>
        <v>120.231117</v>
      </c>
      <c r="R127" s="8">
        <f>VLOOKUP($B127,floorspace!$B$4:$O$12,'shell factors calc'!R$2+1,FALSE)</f>
        <v>62.268970000000003</v>
      </c>
      <c r="S127" s="8">
        <f>VLOOKUP($B127,floorspace!$B$4:$O$12,'shell factors calc'!S$2+1,FALSE)</f>
        <v>136.81397999999999</v>
      </c>
      <c r="T127" s="8">
        <f>VLOOKUP($B127,floorspace!$B$4:$O$12,'shell factors calc'!T$2+1,FALSE)</f>
        <v>578.51654099999996</v>
      </c>
      <c r="U127" s="8">
        <f>VLOOKUP($B127,floorspace!$B$4:$O$12,'shell factors calc'!U$2+1,FALSE)</f>
        <v>696.50329599999998</v>
      </c>
      <c r="V127" s="8">
        <f>VLOOKUP($B127,floorspace!$B$4:$O$12,'shell factors calc'!V$2+1,FALSE)</f>
        <v>787.38818400000002</v>
      </c>
      <c r="W127" s="8">
        <f>VLOOKUP($B127,floorspace!$B$4:$O$12,'shell factors calc'!W$2+1,FALSE)</f>
        <v>1768.7573239999999</v>
      </c>
      <c r="X127" s="8">
        <f>VLOOKUP($B127,floorspace!$B$4:$O$12,'shell factors calc'!X$2+1,FALSE)</f>
        <v>1364.572754</v>
      </c>
      <c r="Y127" s="8">
        <f>VLOOKUP($B127,floorspace!$B$4:$O$12,'shell factors calc'!Y$2+1,FALSE)</f>
        <v>479.19305400000002</v>
      </c>
      <c r="Z127">
        <f t="shared" si="1"/>
        <v>0.60274879306733176</v>
      </c>
    </row>
    <row r="128" spans="1:26" x14ac:dyDescent="0.2">
      <c r="A128" s="5" t="s">
        <v>45</v>
      </c>
      <c r="B128" s="5" t="s">
        <v>39</v>
      </c>
      <c r="C128" s="6" t="s">
        <v>34</v>
      </c>
      <c r="D128" s="7">
        <v>0.62975999999999999</v>
      </c>
      <c r="E128">
        <v>0.59732799999999997</v>
      </c>
      <c r="F128">
        <v>0.73071399999999997</v>
      </c>
      <c r="G128">
        <v>0.29200300000000001</v>
      </c>
      <c r="H128">
        <v>0.70504599999999995</v>
      </c>
      <c r="I128">
        <v>0.459619</v>
      </c>
      <c r="J128">
        <v>0.60872499999999996</v>
      </c>
      <c r="K128">
        <v>0.67102499999999998</v>
      </c>
      <c r="L128">
        <v>0.51405400000000001</v>
      </c>
      <c r="M128">
        <v>0.69523299999999999</v>
      </c>
      <c r="N128">
        <v>0.58486400000000005</v>
      </c>
      <c r="O128" s="8">
        <f>VLOOKUP($B128,floorspace!$B$4:$O$12,'shell factors calc'!O$2+1,FALSE)</f>
        <v>976.43579099999999</v>
      </c>
      <c r="P128" s="8">
        <f>VLOOKUP($B128,floorspace!$B$4:$O$12,'shell factors calc'!P$2+1,FALSE)</f>
        <v>1383.6553960000001</v>
      </c>
      <c r="Q128" s="8">
        <f>VLOOKUP($B128,floorspace!$B$4:$O$12,'shell factors calc'!Q$2+1,FALSE)</f>
        <v>120.231117</v>
      </c>
      <c r="R128" s="8">
        <f>VLOOKUP($B128,floorspace!$B$4:$O$12,'shell factors calc'!R$2+1,FALSE)</f>
        <v>62.268970000000003</v>
      </c>
      <c r="S128" s="8">
        <f>VLOOKUP($B128,floorspace!$B$4:$O$12,'shell factors calc'!S$2+1,FALSE)</f>
        <v>136.81397999999999</v>
      </c>
      <c r="T128" s="8">
        <f>VLOOKUP($B128,floorspace!$B$4:$O$12,'shell factors calc'!T$2+1,FALSE)</f>
        <v>578.51654099999996</v>
      </c>
      <c r="U128" s="8">
        <f>VLOOKUP($B128,floorspace!$B$4:$O$12,'shell factors calc'!U$2+1,FALSE)</f>
        <v>696.50329599999998</v>
      </c>
      <c r="V128" s="8">
        <f>VLOOKUP($B128,floorspace!$B$4:$O$12,'shell factors calc'!V$2+1,FALSE)</f>
        <v>787.38818400000002</v>
      </c>
      <c r="W128" s="8">
        <f>VLOOKUP($B128,floorspace!$B$4:$O$12,'shell factors calc'!W$2+1,FALSE)</f>
        <v>1768.7573239999999</v>
      </c>
      <c r="X128" s="8">
        <f>VLOOKUP($B128,floorspace!$B$4:$O$12,'shell factors calc'!X$2+1,FALSE)</f>
        <v>1364.572754</v>
      </c>
      <c r="Y128" s="8">
        <f>VLOOKUP($B128,floorspace!$B$4:$O$12,'shell factors calc'!Y$2+1,FALSE)</f>
        <v>479.19305400000002</v>
      </c>
      <c r="Z128">
        <f t="shared" si="1"/>
        <v>0.59853259177853568</v>
      </c>
    </row>
    <row r="129" spans="1:26" x14ac:dyDescent="0.2">
      <c r="A129" s="5" t="s">
        <v>45</v>
      </c>
      <c r="B129" s="5" t="s">
        <v>39</v>
      </c>
      <c r="C129" s="6" t="s">
        <v>35</v>
      </c>
      <c r="D129" s="7">
        <v>0.62495699999999998</v>
      </c>
      <c r="E129">
        <v>0.59207100000000001</v>
      </c>
      <c r="F129">
        <v>0.72711300000000001</v>
      </c>
      <c r="G129">
        <v>0.28377000000000002</v>
      </c>
      <c r="H129">
        <v>0.70074000000000003</v>
      </c>
      <c r="I129">
        <v>0.45189000000000001</v>
      </c>
      <c r="J129">
        <v>0.60324800000000001</v>
      </c>
      <c r="K129">
        <v>0.66681900000000005</v>
      </c>
      <c r="L129">
        <v>0.50765700000000002</v>
      </c>
      <c r="M129">
        <v>0.69844399999999995</v>
      </c>
      <c r="N129">
        <v>0.57912399999999997</v>
      </c>
      <c r="O129" s="8">
        <f>VLOOKUP($B129,floorspace!$B$4:$O$12,'shell factors calc'!O$2+1,FALSE)</f>
        <v>976.43579099999999</v>
      </c>
      <c r="P129" s="8">
        <f>VLOOKUP($B129,floorspace!$B$4:$O$12,'shell factors calc'!P$2+1,FALSE)</f>
        <v>1383.6553960000001</v>
      </c>
      <c r="Q129" s="8">
        <f>VLOOKUP($B129,floorspace!$B$4:$O$12,'shell factors calc'!Q$2+1,FALSE)</f>
        <v>120.231117</v>
      </c>
      <c r="R129" s="8">
        <f>VLOOKUP($B129,floorspace!$B$4:$O$12,'shell factors calc'!R$2+1,FALSE)</f>
        <v>62.268970000000003</v>
      </c>
      <c r="S129" s="8">
        <f>VLOOKUP($B129,floorspace!$B$4:$O$12,'shell factors calc'!S$2+1,FALSE)</f>
        <v>136.81397999999999</v>
      </c>
      <c r="T129" s="8">
        <f>VLOOKUP($B129,floorspace!$B$4:$O$12,'shell factors calc'!T$2+1,FALSE)</f>
        <v>578.51654099999996</v>
      </c>
      <c r="U129" s="8">
        <f>VLOOKUP($B129,floorspace!$B$4:$O$12,'shell factors calc'!U$2+1,FALSE)</f>
        <v>696.50329599999998</v>
      </c>
      <c r="V129" s="8">
        <f>VLOOKUP($B129,floorspace!$B$4:$O$12,'shell factors calc'!V$2+1,FALSE)</f>
        <v>787.38818400000002</v>
      </c>
      <c r="W129" s="8">
        <f>VLOOKUP($B129,floorspace!$B$4:$O$12,'shell factors calc'!W$2+1,FALSE)</f>
        <v>1768.7573239999999</v>
      </c>
      <c r="X129" s="8">
        <f>VLOOKUP($B129,floorspace!$B$4:$O$12,'shell factors calc'!X$2+1,FALSE)</f>
        <v>1364.572754</v>
      </c>
      <c r="Y129" s="8">
        <f>VLOOKUP($B129,floorspace!$B$4:$O$12,'shell factors calc'!Y$2+1,FALSE)</f>
        <v>479.19305400000002</v>
      </c>
      <c r="Z129">
        <f t="shared" ref="Z129:Z190" si="2">SUMPRODUCT(D129:N129,O129:Y129)/SUM(O129:Y129)</f>
        <v>0.59436948980074256</v>
      </c>
    </row>
    <row r="130" spans="1:26" x14ac:dyDescent="0.2">
      <c r="A130" s="5" t="s">
        <v>45</v>
      </c>
      <c r="B130" s="1" t="s">
        <v>39</v>
      </c>
      <c r="C130" s="2" t="s">
        <v>36</v>
      </c>
      <c r="D130" s="4">
        <v>0.62019000000000002</v>
      </c>
      <c r="E130">
        <v>0.58686000000000005</v>
      </c>
      <c r="F130">
        <v>0.72353000000000001</v>
      </c>
      <c r="G130">
        <v>0.27577000000000002</v>
      </c>
      <c r="H130">
        <v>0.69645999999999997</v>
      </c>
      <c r="I130">
        <v>0.44429000000000002</v>
      </c>
      <c r="J130">
        <v>0.59782000000000002</v>
      </c>
      <c r="K130">
        <v>0.66264000000000001</v>
      </c>
      <c r="L130">
        <v>0.50134000000000001</v>
      </c>
      <c r="M130">
        <v>0.70167000000000002</v>
      </c>
      <c r="N130">
        <v>0.57343999999999995</v>
      </c>
      <c r="O130" s="8">
        <f>VLOOKUP($B130,floorspace!$B$4:$O$12,'shell factors calc'!O$2+1,FALSE)</f>
        <v>976.43579099999999</v>
      </c>
      <c r="P130" s="8">
        <f>VLOOKUP($B130,floorspace!$B$4:$O$12,'shell factors calc'!P$2+1,FALSE)</f>
        <v>1383.6553960000001</v>
      </c>
      <c r="Q130" s="8">
        <f>VLOOKUP($B130,floorspace!$B$4:$O$12,'shell factors calc'!Q$2+1,FALSE)</f>
        <v>120.231117</v>
      </c>
      <c r="R130" s="8">
        <f>VLOOKUP($B130,floorspace!$B$4:$O$12,'shell factors calc'!R$2+1,FALSE)</f>
        <v>62.268970000000003</v>
      </c>
      <c r="S130" s="8">
        <f>VLOOKUP($B130,floorspace!$B$4:$O$12,'shell factors calc'!S$2+1,FALSE)</f>
        <v>136.81397999999999</v>
      </c>
      <c r="T130" s="8">
        <f>VLOOKUP($B130,floorspace!$B$4:$O$12,'shell factors calc'!T$2+1,FALSE)</f>
        <v>578.51654099999996</v>
      </c>
      <c r="U130" s="8">
        <f>VLOOKUP($B130,floorspace!$B$4:$O$12,'shell factors calc'!U$2+1,FALSE)</f>
        <v>696.50329599999998</v>
      </c>
      <c r="V130" s="8">
        <f>VLOOKUP($B130,floorspace!$B$4:$O$12,'shell factors calc'!V$2+1,FALSE)</f>
        <v>787.38818400000002</v>
      </c>
      <c r="W130" s="8">
        <f>VLOOKUP($B130,floorspace!$B$4:$O$12,'shell factors calc'!W$2+1,FALSE)</f>
        <v>1768.7573239999999</v>
      </c>
      <c r="X130" s="8">
        <f>VLOOKUP($B130,floorspace!$B$4:$O$12,'shell factors calc'!X$2+1,FALSE)</f>
        <v>1364.572754</v>
      </c>
      <c r="Y130" s="8">
        <f>VLOOKUP($B130,floorspace!$B$4:$O$12,'shell factors calc'!Y$2+1,FALSE)</f>
        <v>479.19305400000002</v>
      </c>
      <c r="Z130">
        <f t="shared" si="2"/>
        <v>0.59025879780184798</v>
      </c>
    </row>
    <row r="131" spans="1:26" x14ac:dyDescent="0.2">
      <c r="A131" s="5" t="s">
        <v>45</v>
      </c>
      <c r="B131" s="5" t="s">
        <v>40</v>
      </c>
      <c r="C131" s="6" t="s">
        <v>5</v>
      </c>
      <c r="D131" s="7">
        <v>0.666269</v>
      </c>
      <c r="E131">
        <v>0.67469599999999996</v>
      </c>
      <c r="F131">
        <v>0.85980800000000002</v>
      </c>
      <c r="G131">
        <v>0.62035899999999999</v>
      </c>
      <c r="H131">
        <v>0.76358400000000004</v>
      </c>
      <c r="I131">
        <v>0.61972000000000005</v>
      </c>
      <c r="J131">
        <v>0.73851999999999995</v>
      </c>
      <c r="K131">
        <v>0.67609399999999997</v>
      </c>
      <c r="L131">
        <v>0.62868100000000005</v>
      </c>
      <c r="M131">
        <v>0.71846299999999996</v>
      </c>
      <c r="N131">
        <v>0.69384500000000005</v>
      </c>
      <c r="O131" s="8">
        <f>VLOOKUP($B131,floorspace!$B$4:$O$12,'shell factors calc'!O$2+1,FALSE)</f>
        <v>2861.713135</v>
      </c>
      <c r="P131" s="8">
        <f>VLOOKUP($B131,floorspace!$B$4:$O$12,'shell factors calc'!P$2+1,FALSE)</f>
        <v>2312.7941890000002</v>
      </c>
      <c r="Q131" s="8">
        <f>VLOOKUP($B131,floorspace!$B$4:$O$12,'shell factors calc'!Q$2+1,FALSE)</f>
        <v>83.223968999999997</v>
      </c>
      <c r="R131" s="8">
        <f>VLOOKUP($B131,floorspace!$B$4:$O$12,'shell factors calc'!R$2+1,FALSE)</f>
        <v>256.68893400000002</v>
      </c>
      <c r="S131" s="8">
        <f>VLOOKUP($B131,floorspace!$B$4:$O$12,'shell factors calc'!S$2+1,FALSE)</f>
        <v>374.32568400000002</v>
      </c>
      <c r="T131" s="8">
        <f>VLOOKUP($B131,floorspace!$B$4:$O$12,'shell factors calc'!T$2+1,FALSE)</f>
        <v>1280.028564</v>
      </c>
      <c r="U131" s="8">
        <f>VLOOKUP($B131,floorspace!$B$4:$O$12,'shell factors calc'!U$2+1,FALSE)</f>
        <v>2275.966797</v>
      </c>
      <c r="V131" s="8">
        <f>VLOOKUP($B131,floorspace!$B$4:$O$12,'shell factors calc'!V$2+1,FALSE)</f>
        <v>1147.5775149999999</v>
      </c>
      <c r="W131" s="8">
        <f>VLOOKUP($B131,floorspace!$B$4:$O$12,'shell factors calc'!W$2+1,FALSE)</f>
        <v>2893.2617190000001</v>
      </c>
      <c r="X131" s="8">
        <f>VLOOKUP($B131,floorspace!$B$4:$O$12,'shell factors calc'!X$2+1,FALSE)</f>
        <v>3003.1875</v>
      </c>
      <c r="Y131" s="8">
        <f>VLOOKUP($B131,floorspace!$B$4:$O$12,'shell factors calc'!Y$2+1,FALSE)</f>
        <v>1165.4536129999999</v>
      </c>
      <c r="Z131">
        <f t="shared" si="2"/>
        <v>0.68079848156559086</v>
      </c>
    </row>
    <row r="132" spans="1:26" x14ac:dyDescent="0.2">
      <c r="A132" s="5" t="s">
        <v>45</v>
      </c>
      <c r="B132" s="5" t="s">
        <v>40</v>
      </c>
      <c r="C132" s="6" t="s">
        <v>6</v>
      </c>
      <c r="D132" s="7">
        <v>0.65895000000000004</v>
      </c>
      <c r="E132">
        <v>0.66744000000000003</v>
      </c>
      <c r="F132">
        <v>0.84957000000000005</v>
      </c>
      <c r="G132">
        <v>0.61243000000000003</v>
      </c>
      <c r="H132">
        <v>0.75727999999999995</v>
      </c>
      <c r="I132">
        <v>0.60924999999999996</v>
      </c>
      <c r="J132">
        <v>0.73192999999999997</v>
      </c>
      <c r="K132">
        <v>0.66918999999999995</v>
      </c>
      <c r="L132">
        <v>0.62009000000000003</v>
      </c>
      <c r="M132">
        <v>0.73097000000000001</v>
      </c>
      <c r="N132">
        <v>0.68694</v>
      </c>
      <c r="O132" s="8">
        <f>VLOOKUP($B132,floorspace!$B$4:$O$12,'shell factors calc'!O$2+1,FALSE)</f>
        <v>2861.713135</v>
      </c>
      <c r="P132" s="8">
        <f>VLOOKUP($B132,floorspace!$B$4:$O$12,'shell factors calc'!P$2+1,FALSE)</f>
        <v>2312.7941890000002</v>
      </c>
      <c r="Q132" s="8">
        <f>VLOOKUP($B132,floorspace!$B$4:$O$12,'shell factors calc'!Q$2+1,FALSE)</f>
        <v>83.223968999999997</v>
      </c>
      <c r="R132" s="8">
        <f>VLOOKUP($B132,floorspace!$B$4:$O$12,'shell factors calc'!R$2+1,FALSE)</f>
        <v>256.68893400000002</v>
      </c>
      <c r="S132" s="8">
        <f>VLOOKUP($B132,floorspace!$B$4:$O$12,'shell factors calc'!S$2+1,FALSE)</f>
        <v>374.32568400000002</v>
      </c>
      <c r="T132" s="8">
        <f>VLOOKUP($B132,floorspace!$B$4:$O$12,'shell factors calc'!T$2+1,FALSE)</f>
        <v>1280.028564</v>
      </c>
      <c r="U132" s="8">
        <f>VLOOKUP($B132,floorspace!$B$4:$O$12,'shell factors calc'!U$2+1,FALSE)</f>
        <v>2275.966797</v>
      </c>
      <c r="V132" s="8">
        <f>VLOOKUP($B132,floorspace!$B$4:$O$12,'shell factors calc'!V$2+1,FALSE)</f>
        <v>1147.5775149999999</v>
      </c>
      <c r="W132" s="8">
        <f>VLOOKUP($B132,floorspace!$B$4:$O$12,'shell factors calc'!W$2+1,FALSE)</f>
        <v>2893.2617190000001</v>
      </c>
      <c r="X132" s="8">
        <f>VLOOKUP($B132,floorspace!$B$4:$O$12,'shell factors calc'!X$2+1,FALSE)</f>
        <v>3003.1875</v>
      </c>
      <c r="Y132" s="8">
        <f>VLOOKUP($B132,floorspace!$B$4:$O$12,'shell factors calc'!Y$2+1,FALSE)</f>
        <v>1165.4536129999999</v>
      </c>
      <c r="Z132">
        <f t="shared" si="2"/>
        <v>0.67657062064203555</v>
      </c>
    </row>
    <row r="133" spans="1:26" x14ac:dyDescent="0.2">
      <c r="A133" s="5" t="s">
        <v>45</v>
      </c>
      <c r="B133" s="5" t="s">
        <v>40</v>
      </c>
      <c r="C133" s="6" t="s">
        <v>7</v>
      </c>
      <c r="D133" s="7">
        <v>0.65121499999999999</v>
      </c>
      <c r="E133">
        <v>0.65978800000000004</v>
      </c>
      <c r="F133">
        <v>0.84130000000000005</v>
      </c>
      <c r="G133">
        <v>0.60396399999999995</v>
      </c>
      <c r="H133">
        <v>0.75071900000000003</v>
      </c>
      <c r="I133">
        <v>0.5978</v>
      </c>
      <c r="J133">
        <v>0.72504800000000003</v>
      </c>
      <c r="K133">
        <v>0.66192700000000004</v>
      </c>
      <c r="L133">
        <v>0.610869</v>
      </c>
      <c r="M133">
        <v>0.74248499999999995</v>
      </c>
      <c r="N133">
        <v>0.67968600000000001</v>
      </c>
      <c r="O133" s="8">
        <f>VLOOKUP($B133,floorspace!$B$4:$O$12,'shell factors calc'!O$2+1,FALSE)</f>
        <v>2861.713135</v>
      </c>
      <c r="P133" s="8">
        <f>VLOOKUP($B133,floorspace!$B$4:$O$12,'shell factors calc'!P$2+1,FALSE)</f>
        <v>2312.7941890000002</v>
      </c>
      <c r="Q133" s="8">
        <f>VLOOKUP($B133,floorspace!$B$4:$O$12,'shell factors calc'!Q$2+1,FALSE)</f>
        <v>83.223968999999997</v>
      </c>
      <c r="R133" s="8">
        <f>VLOOKUP($B133,floorspace!$B$4:$O$12,'shell factors calc'!R$2+1,FALSE)</f>
        <v>256.68893400000002</v>
      </c>
      <c r="S133" s="8">
        <f>VLOOKUP($B133,floorspace!$B$4:$O$12,'shell factors calc'!S$2+1,FALSE)</f>
        <v>374.32568400000002</v>
      </c>
      <c r="T133" s="8">
        <f>VLOOKUP($B133,floorspace!$B$4:$O$12,'shell factors calc'!T$2+1,FALSE)</f>
        <v>1280.028564</v>
      </c>
      <c r="U133" s="8">
        <f>VLOOKUP($B133,floorspace!$B$4:$O$12,'shell factors calc'!U$2+1,FALSE)</f>
        <v>2275.966797</v>
      </c>
      <c r="V133" s="8">
        <f>VLOOKUP($B133,floorspace!$B$4:$O$12,'shell factors calc'!V$2+1,FALSE)</f>
        <v>1147.5775149999999</v>
      </c>
      <c r="W133" s="8">
        <f>VLOOKUP($B133,floorspace!$B$4:$O$12,'shell factors calc'!W$2+1,FALSE)</f>
        <v>2893.2617190000001</v>
      </c>
      <c r="X133" s="8">
        <f>VLOOKUP($B133,floorspace!$B$4:$O$12,'shell factors calc'!X$2+1,FALSE)</f>
        <v>3003.1875</v>
      </c>
      <c r="Y133" s="8">
        <f>VLOOKUP($B133,floorspace!$B$4:$O$12,'shell factors calc'!Y$2+1,FALSE)</f>
        <v>1165.4536129999999</v>
      </c>
      <c r="Z133">
        <f t="shared" si="2"/>
        <v>0.6717923956707591</v>
      </c>
    </row>
    <row r="134" spans="1:26" x14ac:dyDescent="0.2">
      <c r="A134" s="5" t="s">
        <v>45</v>
      </c>
      <c r="B134" s="5" t="s">
        <v>40</v>
      </c>
      <c r="C134" s="6" t="s">
        <v>8</v>
      </c>
      <c r="D134" s="7">
        <v>0.643571</v>
      </c>
      <c r="E134">
        <v>0.65222400000000003</v>
      </c>
      <c r="F134">
        <v>0.83311100000000005</v>
      </c>
      <c r="G134">
        <v>0.59561600000000003</v>
      </c>
      <c r="H134">
        <v>0.74421499999999996</v>
      </c>
      <c r="I134">
        <v>0.58656399999999997</v>
      </c>
      <c r="J134">
        <v>0.71823099999999995</v>
      </c>
      <c r="K134">
        <v>0.65474399999999999</v>
      </c>
      <c r="L134">
        <v>0.60178500000000001</v>
      </c>
      <c r="M134">
        <v>0.75418099999999999</v>
      </c>
      <c r="N134">
        <v>0.67250799999999999</v>
      </c>
      <c r="O134" s="8">
        <f>VLOOKUP($B134,floorspace!$B$4:$O$12,'shell factors calc'!O$2+1,FALSE)</f>
        <v>2861.713135</v>
      </c>
      <c r="P134" s="8">
        <f>VLOOKUP($B134,floorspace!$B$4:$O$12,'shell factors calc'!P$2+1,FALSE)</f>
        <v>2312.7941890000002</v>
      </c>
      <c r="Q134" s="8">
        <f>VLOOKUP($B134,floorspace!$B$4:$O$12,'shell factors calc'!Q$2+1,FALSE)</f>
        <v>83.223968999999997</v>
      </c>
      <c r="R134" s="8">
        <f>VLOOKUP($B134,floorspace!$B$4:$O$12,'shell factors calc'!R$2+1,FALSE)</f>
        <v>256.68893400000002</v>
      </c>
      <c r="S134" s="8">
        <f>VLOOKUP($B134,floorspace!$B$4:$O$12,'shell factors calc'!S$2+1,FALSE)</f>
        <v>374.32568400000002</v>
      </c>
      <c r="T134" s="8">
        <f>VLOOKUP($B134,floorspace!$B$4:$O$12,'shell factors calc'!T$2+1,FALSE)</f>
        <v>1280.028564</v>
      </c>
      <c r="U134" s="8">
        <f>VLOOKUP($B134,floorspace!$B$4:$O$12,'shell factors calc'!U$2+1,FALSE)</f>
        <v>2275.966797</v>
      </c>
      <c r="V134" s="8">
        <f>VLOOKUP($B134,floorspace!$B$4:$O$12,'shell factors calc'!V$2+1,FALSE)</f>
        <v>1147.5775149999999</v>
      </c>
      <c r="W134" s="8">
        <f>VLOOKUP($B134,floorspace!$B$4:$O$12,'shell factors calc'!W$2+1,FALSE)</f>
        <v>2893.2617190000001</v>
      </c>
      <c r="X134" s="8">
        <f>VLOOKUP($B134,floorspace!$B$4:$O$12,'shell factors calc'!X$2+1,FALSE)</f>
        <v>3003.1875</v>
      </c>
      <c r="Y134" s="8">
        <f>VLOOKUP($B134,floorspace!$B$4:$O$12,'shell factors calc'!Y$2+1,FALSE)</f>
        <v>1165.4536129999999</v>
      </c>
      <c r="Z134">
        <f t="shared" si="2"/>
        <v>0.66713111197570862</v>
      </c>
    </row>
    <row r="135" spans="1:26" x14ac:dyDescent="0.2">
      <c r="A135" s="5" t="s">
        <v>45</v>
      </c>
      <c r="B135" s="5" t="s">
        <v>40</v>
      </c>
      <c r="C135" s="6" t="s">
        <v>9</v>
      </c>
      <c r="D135" s="7">
        <v>0.63601600000000003</v>
      </c>
      <c r="E135">
        <v>0.64474600000000004</v>
      </c>
      <c r="F135">
        <v>0.82500099999999998</v>
      </c>
      <c r="G135">
        <v>0.58738199999999996</v>
      </c>
      <c r="H135">
        <v>0.73776699999999995</v>
      </c>
      <c r="I135">
        <v>0.57554000000000005</v>
      </c>
      <c r="J135">
        <v>0.71147700000000003</v>
      </c>
      <c r="K135">
        <v>0.64763800000000005</v>
      </c>
      <c r="L135">
        <v>0.59283600000000003</v>
      </c>
      <c r="M135">
        <v>0.76606099999999999</v>
      </c>
      <c r="N135">
        <v>0.66540600000000005</v>
      </c>
      <c r="O135" s="8">
        <f>VLOOKUP($B135,floorspace!$B$4:$O$12,'shell factors calc'!O$2+1,FALSE)</f>
        <v>2861.713135</v>
      </c>
      <c r="P135" s="8">
        <f>VLOOKUP($B135,floorspace!$B$4:$O$12,'shell factors calc'!P$2+1,FALSE)</f>
        <v>2312.7941890000002</v>
      </c>
      <c r="Q135" s="8">
        <f>VLOOKUP($B135,floorspace!$B$4:$O$12,'shell factors calc'!Q$2+1,FALSE)</f>
        <v>83.223968999999997</v>
      </c>
      <c r="R135" s="8">
        <f>VLOOKUP($B135,floorspace!$B$4:$O$12,'shell factors calc'!R$2+1,FALSE)</f>
        <v>256.68893400000002</v>
      </c>
      <c r="S135" s="8">
        <f>VLOOKUP($B135,floorspace!$B$4:$O$12,'shell factors calc'!S$2+1,FALSE)</f>
        <v>374.32568400000002</v>
      </c>
      <c r="T135" s="8">
        <f>VLOOKUP($B135,floorspace!$B$4:$O$12,'shell factors calc'!T$2+1,FALSE)</f>
        <v>1280.028564</v>
      </c>
      <c r="U135" s="8">
        <f>VLOOKUP($B135,floorspace!$B$4:$O$12,'shell factors calc'!U$2+1,FALSE)</f>
        <v>2275.966797</v>
      </c>
      <c r="V135" s="8">
        <f>VLOOKUP($B135,floorspace!$B$4:$O$12,'shell factors calc'!V$2+1,FALSE)</f>
        <v>1147.5775149999999</v>
      </c>
      <c r="W135" s="8">
        <f>VLOOKUP($B135,floorspace!$B$4:$O$12,'shell factors calc'!W$2+1,FALSE)</f>
        <v>2893.2617190000001</v>
      </c>
      <c r="X135" s="8">
        <f>VLOOKUP($B135,floorspace!$B$4:$O$12,'shell factors calc'!X$2+1,FALSE)</f>
        <v>3003.1875</v>
      </c>
      <c r="Y135" s="8">
        <f>VLOOKUP($B135,floorspace!$B$4:$O$12,'shell factors calc'!Y$2+1,FALSE)</f>
        <v>1165.4536129999999</v>
      </c>
      <c r="Z135">
        <f t="shared" si="2"/>
        <v>0.66258567926649181</v>
      </c>
    </row>
    <row r="136" spans="1:26" x14ac:dyDescent="0.2">
      <c r="A136" s="5" t="s">
        <v>45</v>
      </c>
      <c r="B136" s="5" t="s">
        <v>40</v>
      </c>
      <c r="C136" s="6" t="s">
        <v>10</v>
      </c>
      <c r="D136" s="7">
        <v>0.62855000000000005</v>
      </c>
      <c r="E136">
        <v>0.637355</v>
      </c>
      <c r="F136">
        <v>0.81696999999999997</v>
      </c>
      <c r="G136">
        <v>0.57926299999999997</v>
      </c>
      <c r="H136">
        <v>0.731375</v>
      </c>
      <c r="I136">
        <v>0.56472299999999997</v>
      </c>
      <c r="J136">
        <v>0.70478799999999997</v>
      </c>
      <c r="K136">
        <v>0.64060899999999998</v>
      </c>
      <c r="L136">
        <v>0.58401999999999998</v>
      </c>
      <c r="M136">
        <v>0.77812800000000004</v>
      </c>
      <c r="N136">
        <v>0.65837999999999997</v>
      </c>
      <c r="O136" s="8">
        <f>VLOOKUP($B136,floorspace!$B$4:$O$12,'shell factors calc'!O$2+1,FALSE)</f>
        <v>2861.713135</v>
      </c>
      <c r="P136" s="8">
        <f>VLOOKUP($B136,floorspace!$B$4:$O$12,'shell factors calc'!P$2+1,FALSE)</f>
        <v>2312.7941890000002</v>
      </c>
      <c r="Q136" s="8">
        <f>VLOOKUP($B136,floorspace!$B$4:$O$12,'shell factors calc'!Q$2+1,FALSE)</f>
        <v>83.223968999999997</v>
      </c>
      <c r="R136" s="8">
        <f>VLOOKUP($B136,floorspace!$B$4:$O$12,'shell factors calc'!R$2+1,FALSE)</f>
        <v>256.68893400000002</v>
      </c>
      <c r="S136" s="8">
        <f>VLOOKUP($B136,floorspace!$B$4:$O$12,'shell factors calc'!S$2+1,FALSE)</f>
        <v>374.32568400000002</v>
      </c>
      <c r="T136" s="8">
        <f>VLOOKUP($B136,floorspace!$B$4:$O$12,'shell factors calc'!T$2+1,FALSE)</f>
        <v>1280.028564</v>
      </c>
      <c r="U136" s="8">
        <f>VLOOKUP($B136,floorspace!$B$4:$O$12,'shell factors calc'!U$2+1,FALSE)</f>
        <v>2275.966797</v>
      </c>
      <c r="V136" s="8">
        <f>VLOOKUP($B136,floorspace!$B$4:$O$12,'shell factors calc'!V$2+1,FALSE)</f>
        <v>1147.5775149999999</v>
      </c>
      <c r="W136" s="8">
        <f>VLOOKUP($B136,floorspace!$B$4:$O$12,'shell factors calc'!W$2+1,FALSE)</f>
        <v>2893.2617190000001</v>
      </c>
      <c r="X136" s="8">
        <f>VLOOKUP($B136,floorspace!$B$4:$O$12,'shell factors calc'!X$2+1,FALSE)</f>
        <v>3003.1875</v>
      </c>
      <c r="Y136" s="8">
        <f>VLOOKUP($B136,floorspace!$B$4:$O$12,'shell factors calc'!Y$2+1,FALSE)</f>
        <v>1165.4536129999999</v>
      </c>
      <c r="Z136">
        <f t="shared" si="2"/>
        <v>0.65815632096349186</v>
      </c>
    </row>
    <row r="137" spans="1:26" x14ac:dyDescent="0.2">
      <c r="A137" s="5" t="s">
        <v>45</v>
      </c>
      <c r="B137" s="5" t="s">
        <v>40</v>
      </c>
      <c r="C137" s="6" t="s">
        <v>11</v>
      </c>
      <c r="D137" s="7">
        <v>0.62117199999999995</v>
      </c>
      <c r="E137">
        <v>0.63004800000000005</v>
      </c>
      <c r="F137">
        <v>0.80901699999999999</v>
      </c>
      <c r="G137">
        <v>0.57125599999999999</v>
      </c>
      <c r="H137">
        <v>0.72503899999999999</v>
      </c>
      <c r="I137">
        <v>0.55410999999999999</v>
      </c>
      <c r="J137">
        <v>0.69816100000000003</v>
      </c>
      <c r="K137">
        <v>0.63365700000000003</v>
      </c>
      <c r="L137">
        <v>0.57533500000000004</v>
      </c>
      <c r="M137">
        <v>0.790385</v>
      </c>
      <c r="N137">
        <v>0.65142699999999998</v>
      </c>
      <c r="O137" s="8">
        <f>VLOOKUP($B137,floorspace!$B$4:$O$12,'shell factors calc'!O$2+1,FALSE)</f>
        <v>2861.713135</v>
      </c>
      <c r="P137" s="8">
        <f>VLOOKUP($B137,floorspace!$B$4:$O$12,'shell factors calc'!P$2+1,FALSE)</f>
        <v>2312.7941890000002</v>
      </c>
      <c r="Q137" s="8">
        <f>VLOOKUP($B137,floorspace!$B$4:$O$12,'shell factors calc'!Q$2+1,FALSE)</f>
        <v>83.223968999999997</v>
      </c>
      <c r="R137" s="8">
        <f>VLOOKUP($B137,floorspace!$B$4:$O$12,'shell factors calc'!R$2+1,FALSE)</f>
        <v>256.68893400000002</v>
      </c>
      <c r="S137" s="8">
        <f>VLOOKUP($B137,floorspace!$B$4:$O$12,'shell factors calc'!S$2+1,FALSE)</f>
        <v>374.32568400000002</v>
      </c>
      <c r="T137" s="8">
        <f>VLOOKUP($B137,floorspace!$B$4:$O$12,'shell factors calc'!T$2+1,FALSE)</f>
        <v>1280.028564</v>
      </c>
      <c r="U137" s="8">
        <f>VLOOKUP($B137,floorspace!$B$4:$O$12,'shell factors calc'!U$2+1,FALSE)</f>
        <v>2275.966797</v>
      </c>
      <c r="V137" s="8">
        <f>VLOOKUP($B137,floorspace!$B$4:$O$12,'shell factors calc'!V$2+1,FALSE)</f>
        <v>1147.5775149999999</v>
      </c>
      <c r="W137" s="8">
        <f>VLOOKUP($B137,floorspace!$B$4:$O$12,'shell factors calc'!W$2+1,FALSE)</f>
        <v>2893.2617190000001</v>
      </c>
      <c r="X137" s="8">
        <f>VLOOKUP($B137,floorspace!$B$4:$O$12,'shell factors calc'!X$2+1,FALSE)</f>
        <v>3003.1875</v>
      </c>
      <c r="Y137" s="8">
        <f>VLOOKUP($B137,floorspace!$B$4:$O$12,'shell factors calc'!Y$2+1,FALSE)</f>
        <v>1165.4536129999999</v>
      </c>
      <c r="Z137">
        <f t="shared" si="2"/>
        <v>0.65384181386385098</v>
      </c>
    </row>
    <row r="138" spans="1:26" x14ac:dyDescent="0.2">
      <c r="A138" s="5" t="s">
        <v>45</v>
      </c>
      <c r="B138" s="5" t="s">
        <v>40</v>
      </c>
      <c r="C138" s="6" t="s">
        <v>12</v>
      </c>
      <c r="D138" s="7">
        <v>0.61387999999999998</v>
      </c>
      <c r="E138">
        <v>0.62282400000000004</v>
      </c>
      <c r="F138">
        <v>0.80114200000000002</v>
      </c>
      <c r="G138">
        <v>0.56335900000000005</v>
      </c>
      <c r="H138">
        <v>0.71875699999999998</v>
      </c>
      <c r="I138">
        <v>0.54369599999999996</v>
      </c>
      <c r="J138">
        <v>0.69159599999999999</v>
      </c>
      <c r="K138">
        <v>0.62677899999999998</v>
      </c>
      <c r="L138">
        <v>0.56677900000000003</v>
      </c>
      <c r="M138">
        <v>0.80283599999999999</v>
      </c>
      <c r="N138">
        <v>0.64454800000000001</v>
      </c>
      <c r="O138" s="8">
        <f>VLOOKUP($B138,floorspace!$B$4:$O$12,'shell factors calc'!O$2+1,FALSE)</f>
        <v>2861.713135</v>
      </c>
      <c r="P138" s="8">
        <f>VLOOKUP($B138,floorspace!$B$4:$O$12,'shell factors calc'!P$2+1,FALSE)</f>
        <v>2312.7941890000002</v>
      </c>
      <c r="Q138" s="8">
        <f>VLOOKUP($B138,floorspace!$B$4:$O$12,'shell factors calc'!Q$2+1,FALSE)</f>
        <v>83.223968999999997</v>
      </c>
      <c r="R138" s="8">
        <f>VLOOKUP($B138,floorspace!$B$4:$O$12,'shell factors calc'!R$2+1,FALSE)</f>
        <v>256.68893400000002</v>
      </c>
      <c r="S138" s="8">
        <f>VLOOKUP($B138,floorspace!$B$4:$O$12,'shell factors calc'!S$2+1,FALSE)</f>
        <v>374.32568400000002</v>
      </c>
      <c r="T138" s="8">
        <f>VLOOKUP($B138,floorspace!$B$4:$O$12,'shell factors calc'!T$2+1,FALSE)</f>
        <v>1280.028564</v>
      </c>
      <c r="U138" s="8">
        <f>VLOOKUP($B138,floorspace!$B$4:$O$12,'shell factors calc'!U$2+1,FALSE)</f>
        <v>2275.966797</v>
      </c>
      <c r="V138" s="8">
        <f>VLOOKUP($B138,floorspace!$B$4:$O$12,'shell factors calc'!V$2+1,FALSE)</f>
        <v>1147.5775149999999</v>
      </c>
      <c r="W138" s="8">
        <f>VLOOKUP($B138,floorspace!$B$4:$O$12,'shell factors calc'!W$2+1,FALSE)</f>
        <v>2893.2617190000001</v>
      </c>
      <c r="X138" s="8">
        <f>VLOOKUP($B138,floorspace!$B$4:$O$12,'shell factors calc'!X$2+1,FALSE)</f>
        <v>3003.1875</v>
      </c>
      <c r="Y138" s="8">
        <f>VLOOKUP($B138,floorspace!$B$4:$O$12,'shell factors calc'!Y$2+1,FALSE)</f>
        <v>1165.4536129999999</v>
      </c>
      <c r="Z138">
        <f t="shared" si="2"/>
        <v>0.64964149243582647</v>
      </c>
    </row>
    <row r="139" spans="1:26" x14ac:dyDescent="0.2">
      <c r="A139" s="5" t="s">
        <v>45</v>
      </c>
      <c r="B139" s="5" t="s">
        <v>40</v>
      </c>
      <c r="C139" s="6" t="s">
        <v>13</v>
      </c>
      <c r="D139" s="7">
        <v>0.60667400000000005</v>
      </c>
      <c r="E139">
        <v>0.61568400000000001</v>
      </c>
      <c r="F139">
        <v>0.79334300000000002</v>
      </c>
      <c r="G139">
        <v>0.55557199999999995</v>
      </c>
      <c r="H139">
        <v>0.71253</v>
      </c>
      <c r="I139">
        <v>0.53347699999999998</v>
      </c>
      <c r="J139">
        <v>0.68509399999999998</v>
      </c>
      <c r="K139">
        <v>0.619977</v>
      </c>
      <c r="L139">
        <v>0.55835100000000004</v>
      </c>
      <c r="M139">
        <v>0.81548200000000004</v>
      </c>
      <c r="N139">
        <v>0.637741</v>
      </c>
      <c r="O139" s="8">
        <f>VLOOKUP($B139,floorspace!$B$4:$O$12,'shell factors calc'!O$2+1,FALSE)</f>
        <v>2861.713135</v>
      </c>
      <c r="P139" s="8">
        <f>VLOOKUP($B139,floorspace!$B$4:$O$12,'shell factors calc'!P$2+1,FALSE)</f>
        <v>2312.7941890000002</v>
      </c>
      <c r="Q139" s="8">
        <f>VLOOKUP($B139,floorspace!$B$4:$O$12,'shell factors calc'!Q$2+1,FALSE)</f>
        <v>83.223968999999997</v>
      </c>
      <c r="R139" s="8">
        <f>VLOOKUP($B139,floorspace!$B$4:$O$12,'shell factors calc'!R$2+1,FALSE)</f>
        <v>256.68893400000002</v>
      </c>
      <c r="S139" s="8">
        <f>VLOOKUP($B139,floorspace!$B$4:$O$12,'shell factors calc'!S$2+1,FALSE)</f>
        <v>374.32568400000002</v>
      </c>
      <c r="T139" s="8">
        <f>VLOOKUP($B139,floorspace!$B$4:$O$12,'shell factors calc'!T$2+1,FALSE)</f>
        <v>1280.028564</v>
      </c>
      <c r="U139" s="8">
        <f>VLOOKUP($B139,floorspace!$B$4:$O$12,'shell factors calc'!U$2+1,FALSE)</f>
        <v>2275.966797</v>
      </c>
      <c r="V139" s="8">
        <f>VLOOKUP($B139,floorspace!$B$4:$O$12,'shell factors calc'!V$2+1,FALSE)</f>
        <v>1147.5775149999999</v>
      </c>
      <c r="W139" s="8">
        <f>VLOOKUP($B139,floorspace!$B$4:$O$12,'shell factors calc'!W$2+1,FALSE)</f>
        <v>2893.2617190000001</v>
      </c>
      <c r="X139" s="8">
        <f>VLOOKUP($B139,floorspace!$B$4:$O$12,'shell factors calc'!X$2+1,FALSE)</f>
        <v>3003.1875</v>
      </c>
      <c r="Y139" s="8">
        <f>VLOOKUP($B139,floorspace!$B$4:$O$12,'shell factors calc'!Y$2+1,FALSE)</f>
        <v>1165.4536129999999</v>
      </c>
      <c r="Z139">
        <f t="shared" si="2"/>
        <v>0.64555534255804026</v>
      </c>
    </row>
    <row r="140" spans="1:26" x14ac:dyDescent="0.2">
      <c r="A140" s="5" t="s">
        <v>45</v>
      </c>
      <c r="B140" s="5" t="s">
        <v>40</v>
      </c>
      <c r="C140" s="6" t="s">
        <v>14</v>
      </c>
      <c r="D140" s="7">
        <v>0.599553</v>
      </c>
      <c r="E140">
        <v>0.60862499999999997</v>
      </c>
      <c r="F140">
        <v>0.78562100000000001</v>
      </c>
      <c r="G140">
        <v>0.54789200000000005</v>
      </c>
      <c r="H140">
        <v>0.70635599999999998</v>
      </c>
      <c r="I140">
        <v>0.523451</v>
      </c>
      <c r="J140">
        <v>0.67865200000000003</v>
      </c>
      <c r="K140">
        <v>0.61324900000000004</v>
      </c>
      <c r="L140">
        <v>0.55004799999999998</v>
      </c>
      <c r="M140">
        <v>0.82832799999999995</v>
      </c>
      <c r="N140">
        <v>0.63100699999999998</v>
      </c>
      <c r="O140" s="8">
        <f>VLOOKUP($B140,floorspace!$B$4:$O$12,'shell factors calc'!O$2+1,FALSE)</f>
        <v>2861.713135</v>
      </c>
      <c r="P140" s="8">
        <f>VLOOKUP($B140,floorspace!$B$4:$O$12,'shell factors calc'!P$2+1,FALSE)</f>
        <v>2312.7941890000002</v>
      </c>
      <c r="Q140" s="8">
        <f>VLOOKUP($B140,floorspace!$B$4:$O$12,'shell factors calc'!Q$2+1,FALSE)</f>
        <v>83.223968999999997</v>
      </c>
      <c r="R140" s="8">
        <f>VLOOKUP($B140,floorspace!$B$4:$O$12,'shell factors calc'!R$2+1,FALSE)</f>
        <v>256.68893400000002</v>
      </c>
      <c r="S140" s="8">
        <f>VLOOKUP($B140,floorspace!$B$4:$O$12,'shell factors calc'!S$2+1,FALSE)</f>
        <v>374.32568400000002</v>
      </c>
      <c r="T140" s="8">
        <f>VLOOKUP($B140,floorspace!$B$4:$O$12,'shell factors calc'!T$2+1,FALSE)</f>
        <v>1280.028564</v>
      </c>
      <c r="U140" s="8">
        <f>VLOOKUP($B140,floorspace!$B$4:$O$12,'shell factors calc'!U$2+1,FALSE)</f>
        <v>2275.966797</v>
      </c>
      <c r="V140" s="8">
        <f>VLOOKUP($B140,floorspace!$B$4:$O$12,'shell factors calc'!V$2+1,FALSE)</f>
        <v>1147.5775149999999</v>
      </c>
      <c r="W140" s="8">
        <f>VLOOKUP($B140,floorspace!$B$4:$O$12,'shell factors calc'!W$2+1,FALSE)</f>
        <v>2893.2617190000001</v>
      </c>
      <c r="X140" s="8">
        <f>VLOOKUP($B140,floorspace!$B$4:$O$12,'shell factors calc'!X$2+1,FALSE)</f>
        <v>3003.1875</v>
      </c>
      <c r="Y140" s="8">
        <f>VLOOKUP($B140,floorspace!$B$4:$O$12,'shell factors calc'!Y$2+1,FALSE)</f>
        <v>1165.4536129999999</v>
      </c>
      <c r="Z140">
        <f t="shared" si="2"/>
        <v>0.64158249094948128</v>
      </c>
    </row>
    <row r="141" spans="1:26" x14ac:dyDescent="0.2">
      <c r="A141" s="5" t="s">
        <v>45</v>
      </c>
      <c r="B141" s="5" t="s">
        <v>40</v>
      </c>
      <c r="C141" s="6" t="s">
        <v>15</v>
      </c>
      <c r="D141" s="7">
        <v>0.59251500000000001</v>
      </c>
      <c r="E141">
        <v>0.60164799999999996</v>
      </c>
      <c r="F141">
        <v>0.77797300000000003</v>
      </c>
      <c r="G141">
        <v>0.54031899999999999</v>
      </c>
      <c r="H141">
        <v>0.700237</v>
      </c>
      <c r="I141">
        <v>0.51361299999999999</v>
      </c>
      <c r="J141">
        <v>0.67227099999999995</v>
      </c>
      <c r="K141">
        <v>0.60659300000000005</v>
      </c>
      <c r="L141">
        <v>0.54186800000000002</v>
      </c>
      <c r="M141">
        <v>0.84137700000000004</v>
      </c>
      <c r="N141">
        <v>0.62434299999999998</v>
      </c>
      <c r="O141" s="8">
        <f>VLOOKUP($B141,floorspace!$B$4:$O$12,'shell factors calc'!O$2+1,FALSE)</f>
        <v>2861.713135</v>
      </c>
      <c r="P141" s="8">
        <f>VLOOKUP($B141,floorspace!$B$4:$O$12,'shell factors calc'!P$2+1,FALSE)</f>
        <v>2312.7941890000002</v>
      </c>
      <c r="Q141" s="8">
        <f>VLOOKUP($B141,floorspace!$B$4:$O$12,'shell factors calc'!Q$2+1,FALSE)</f>
        <v>83.223968999999997</v>
      </c>
      <c r="R141" s="8">
        <f>VLOOKUP($B141,floorspace!$B$4:$O$12,'shell factors calc'!R$2+1,FALSE)</f>
        <v>256.68893400000002</v>
      </c>
      <c r="S141" s="8">
        <f>VLOOKUP($B141,floorspace!$B$4:$O$12,'shell factors calc'!S$2+1,FALSE)</f>
        <v>374.32568400000002</v>
      </c>
      <c r="T141" s="8">
        <f>VLOOKUP($B141,floorspace!$B$4:$O$12,'shell factors calc'!T$2+1,FALSE)</f>
        <v>1280.028564</v>
      </c>
      <c r="U141" s="8">
        <f>VLOOKUP($B141,floorspace!$B$4:$O$12,'shell factors calc'!U$2+1,FALSE)</f>
        <v>2275.966797</v>
      </c>
      <c r="V141" s="8">
        <f>VLOOKUP($B141,floorspace!$B$4:$O$12,'shell factors calc'!V$2+1,FALSE)</f>
        <v>1147.5775149999999</v>
      </c>
      <c r="W141" s="8">
        <f>VLOOKUP($B141,floorspace!$B$4:$O$12,'shell factors calc'!W$2+1,FALSE)</f>
        <v>2893.2617190000001</v>
      </c>
      <c r="X141" s="8">
        <f>VLOOKUP($B141,floorspace!$B$4:$O$12,'shell factors calc'!X$2+1,FALSE)</f>
        <v>3003.1875</v>
      </c>
      <c r="Y141" s="8">
        <f>VLOOKUP($B141,floorspace!$B$4:$O$12,'shell factors calc'!Y$2+1,FALSE)</f>
        <v>1165.4536129999999</v>
      </c>
      <c r="Z141">
        <f t="shared" si="2"/>
        <v>0.63772239358698934</v>
      </c>
    </row>
    <row r="142" spans="1:26" x14ac:dyDescent="0.2">
      <c r="A142" s="5" t="s">
        <v>45</v>
      </c>
      <c r="B142" s="5" t="s">
        <v>40</v>
      </c>
      <c r="C142" s="6" t="s">
        <v>16</v>
      </c>
      <c r="D142" s="7">
        <v>0.58555999999999997</v>
      </c>
      <c r="E142">
        <v>0.59475</v>
      </c>
      <c r="F142">
        <v>0.77039999999999997</v>
      </c>
      <c r="G142">
        <v>0.53285000000000005</v>
      </c>
      <c r="H142">
        <v>0.69416999999999995</v>
      </c>
      <c r="I142">
        <v>0.50395999999999996</v>
      </c>
      <c r="J142">
        <v>0.66595000000000004</v>
      </c>
      <c r="K142">
        <v>0.60001000000000004</v>
      </c>
      <c r="L142">
        <v>0.53381000000000001</v>
      </c>
      <c r="M142">
        <v>0.85463</v>
      </c>
      <c r="N142">
        <v>0.61775000000000002</v>
      </c>
      <c r="O142" s="8">
        <f>VLOOKUP($B142,floorspace!$B$4:$O$12,'shell factors calc'!O$2+1,FALSE)</f>
        <v>2861.713135</v>
      </c>
      <c r="P142" s="8">
        <f>VLOOKUP($B142,floorspace!$B$4:$O$12,'shell factors calc'!P$2+1,FALSE)</f>
        <v>2312.7941890000002</v>
      </c>
      <c r="Q142" s="8">
        <f>VLOOKUP($B142,floorspace!$B$4:$O$12,'shell factors calc'!Q$2+1,FALSE)</f>
        <v>83.223968999999997</v>
      </c>
      <c r="R142" s="8">
        <f>VLOOKUP($B142,floorspace!$B$4:$O$12,'shell factors calc'!R$2+1,FALSE)</f>
        <v>256.68893400000002</v>
      </c>
      <c r="S142" s="8">
        <f>VLOOKUP($B142,floorspace!$B$4:$O$12,'shell factors calc'!S$2+1,FALSE)</f>
        <v>374.32568400000002</v>
      </c>
      <c r="T142" s="8">
        <f>VLOOKUP($B142,floorspace!$B$4:$O$12,'shell factors calc'!T$2+1,FALSE)</f>
        <v>1280.028564</v>
      </c>
      <c r="U142" s="8">
        <f>VLOOKUP($B142,floorspace!$B$4:$O$12,'shell factors calc'!U$2+1,FALSE)</f>
        <v>2275.966797</v>
      </c>
      <c r="V142" s="8">
        <f>VLOOKUP($B142,floorspace!$B$4:$O$12,'shell factors calc'!V$2+1,FALSE)</f>
        <v>1147.5775149999999</v>
      </c>
      <c r="W142" s="8">
        <f>VLOOKUP($B142,floorspace!$B$4:$O$12,'shell factors calc'!W$2+1,FALSE)</f>
        <v>2893.2617190000001</v>
      </c>
      <c r="X142" s="8">
        <f>VLOOKUP($B142,floorspace!$B$4:$O$12,'shell factors calc'!X$2+1,FALSE)</f>
        <v>3003.1875</v>
      </c>
      <c r="Y142" s="8">
        <f>VLOOKUP($B142,floorspace!$B$4:$O$12,'shell factors calc'!Y$2+1,FALSE)</f>
        <v>1165.4536129999999</v>
      </c>
      <c r="Z142">
        <f t="shared" si="2"/>
        <v>0.63397434574971567</v>
      </c>
    </row>
    <row r="143" spans="1:26" x14ac:dyDescent="0.2">
      <c r="A143" s="5" t="s">
        <v>45</v>
      </c>
      <c r="B143" s="5" t="s">
        <v>40</v>
      </c>
      <c r="C143" s="6" t="s">
        <v>17</v>
      </c>
      <c r="D143" s="7">
        <v>0.57781199999999999</v>
      </c>
      <c r="E143">
        <v>0.58708800000000005</v>
      </c>
      <c r="F143">
        <v>0.76577499999999998</v>
      </c>
      <c r="G143">
        <v>0.52434400000000003</v>
      </c>
      <c r="H143">
        <v>0.68761899999999998</v>
      </c>
      <c r="I143">
        <v>0.49234899999999998</v>
      </c>
      <c r="J143">
        <v>0.65907199999999999</v>
      </c>
      <c r="K143">
        <v>0.59274099999999996</v>
      </c>
      <c r="L143">
        <v>0.52453099999999997</v>
      </c>
      <c r="M143">
        <v>0.86620399999999997</v>
      </c>
      <c r="N143">
        <v>0.61049200000000003</v>
      </c>
      <c r="O143" s="8">
        <f>VLOOKUP($B143,floorspace!$B$4:$O$12,'shell factors calc'!O$2+1,FALSE)</f>
        <v>2861.713135</v>
      </c>
      <c r="P143" s="8">
        <f>VLOOKUP($B143,floorspace!$B$4:$O$12,'shell factors calc'!P$2+1,FALSE)</f>
        <v>2312.7941890000002</v>
      </c>
      <c r="Q143" s="8">
        <f>VLOOKUP($B143,floorspace!$B$4:$O$12,'shell factors calc'!Q$2+1,FALSE)</f>
        <v>83.223968999999997</v>
      </c>
      <c r="R143" s="8">
        <f>VLOOKUP($B143,floorspace!$B$4:$O$12,'shell factors calc'!R$2+1,FALSE)</f>
        <v>256.68893400000002</v>
      </c>
      <c r="S143" s="8">
        <f>VLOOKUP($B143,floorspace!$B$4:$O$12,'shell factors calc'!S$2+1,FALSE)</f>
        <v>374.32568400000002</v>
      </c>
      <c r="T143" s="8">
        <f>VLOOKUP($B143,floorspace!$B$4:$O$12,'shell factors calc'!T$2+1,FALSE)</f>
        <v>1280.028564</v>
      </c>
      <c r="U143" s="8">
        <f>VLOOKUP($B143,floorspace!$B$4:$O$12,'shell factors calc'!U$2+1,FALSE)</f>
        <v>2275.966797</v>
      </c>
      <c r="V143" s="8">
        <f>VLOOKUP($B143,floorspace!$B$4:$O$12,'shell factors calc'!V$2+1,FALSE)</f>
        <v>1147.5775149999999</v>
      </c>
      <c r="W143" s="8">
        <f>VLOOKUP($B143,floorspace!$B$4:$O$12,'shell factors calc'!W$2+1,FALSE)</f>
        <v>2893.2617190000001</v>
      </c>
      <c r="X143" s="8">
        <f>VLOOKUP($B143,floorspace!$B$4:$O$12,'shell factors calc'!X$2+1,FALSE)</f>
        <v>3003.1875</v>
      </c>
      <c r="Y143" s="8">
        <f>VLOOKUP($B143,floorspace!$B$4:$O$12,'shell factors calc'!Y$2+1,FALSE)</f>
        <v>1165.4536129999999</v>
      </c>
      <c r="Z143">
        <f t="shared" si="2"/>
        <v>0.6291982362908809</v>
      </c>
    </row>
    <row r="144" spans="1:26" x14ac:dyDescent="0.2">
      <c r="A144" s="5" t="s">
        <v>45</v>
      </c>
      <c r="B144" s="5" t="s">
        <v>40</v>
      </c>
      <c r="C144" s="6" t="s">
        <v>18</v>
      </c>
      <c r="D144" s="7">
        <v>0.57016599999999995</v>
      </c>
      <c r="E144">
        <v>0.57952400000000004</v>
      </c>
      <c r="F144">
        <v>0.76117800000000002</v>
      </c>
      <c r="G144">
        <v>0.51597400000000004</v>
      </c>
      <c r="H144">
        <v>0.68112899999999998</v>
      </c>
      <c r="I144">
        <v>0.48100599999999999</v>
      </c>
      <c r="J144">
        <v>0.65226499999999998</v>
      </c>
      <c r="K144">
        <v>0.585561</v>
      </c>
      <c r="L144">
        <v>0.51541300000000001</v>
      </c>
      <c r="M144">
        <v>0.87793600000000005</v>
      </c>
      <c r="N144">
        <v>0.60331900000000005</v>
      </c>
      <c r="O144" s="8">
        <f>VLOOKUP($B144,floorspace!$B$4:$O$12,'shell factors calc'!O$2+1,FALSE)</f>
        <v>2861.713135</v>
      </c>
      <c r="P144" s="8">
        <f>VLOOKUP($B144,floorspace!$B$4:$O$12,'shell factors calc'!P$2+1,FALSE)</f>
        <v>2312.7941890000002</v>
      </c>
      <c r="Q144" s="8">
        <f>VLOOKUP($B144,floorspace!$B$4:$O$12,'shell factors calc'!Q$2+1,FALSE)</f>
        <v>83.223968999999997</v>
      </c>
      <c r="R144" s="8">
        <f>VLOOKUP($B144,floorspace!$B$4:$O$12,'shell factors calc'!R$2+1,FALSE)</f>
        <v>256.68893400000002</v>
      </c>
      <c r="S144" s="8">
        <f>VLOOKUP($B144,floorspace!$B$4:$O$12,'shell factors calc'!S$2+1,FALSE)</f>
        <v>374.32568400000002</v>
      </c>
      <c r="T144" s="8">
        <f>VLOOKUP($B144,floorspace!$B$4:$O$12,'shell factors calc'!T$2+1,FALSE)</f>
        <v>1280.028564</v>
      </c>
      <c r="U144" s="8">
        <f>VLOOKUP($B144,floorspace!$B$4:$O$12,'shell factors calc'!U$2+1,FALSE)</f>
        <v>2275.966797</v>
      </c>
      <c r="V144" s="8">
        <f>VLOOKUP($B144,floorspace!$B$4:$O$12,'shell factors calc'!V$2+1,FALSE)</f>
        <v>1147.5775149999999</v>
      </c>
      <c r="W144" s="8">
        <f>VLOOKUP($B144,floorspace!$B$4:$O$12,'shell factors calc'!W$2+1,FALSE)</f>
        <v>2893.2617190000001</v>
      </c>
      <c r="X144" s="8">
        <f>VLOOKUP($B144,floorspace!$B$4:$O$12,'shell factors calc'!X$2+1,FALSE)</f>
        <v>3003.1875</v>
      </c>
      <c r="Y144" s="8">
        <f>VLOOKUP($B144,floorspace!$B$4:$O$12,'shell factors calc'!Y$2+1,FALSE)</f>
        <v>1165.4536129999999</v>
      </c>
      <c r="Z144">
        <f t="shared" si="2"/>
        <v>0.62454814657206204</v>
      </c>
    </row>
    <row r="145" spans="1:26" x14ac:dyDescent="0.2">
      <c r="A145" s="5" t="s">
        <v>45</v>
      </c>
      <c r="B145" s="5" t="s">
        <v>40</v>
      </c>
      <c r="C145" s="6" t="s">
        <v>19</v>
      </c>
      <c r="D145" s="7">
        <v>0.56262100000000004</v>
      </c>
      <c r="E145">
        <v>0.57205799999999996</v>
      </c>
      <c r="F145">
        <v>0.75660799999999995</v>
      </c>
      <c r="G145">
        <v>0.50773800000000002</v>
      </c>
      <c r="H145">
        <v>0.674701</v>
      </c>
      <c r="I145">
        <v>0.46992400000000001</v>
      </c>
      <c r="J145">
        <v>0.64552799999999999</v>
      </c>
      <c r="K145">
        <v>0.57846699999999995</v>
      </c>
      <c r="L145">
        <v>0.50645300000000004</v>
      </c>
      <c r="M145">
        <v>0.88982600000000001</v>
      </c>
      <c r="N145">
        <v>0.59623099999999996</v>
      </c>
      <c r="O145" s="8">
        <f>VLOOKUP($B145,floorspace!$B$4:$O$12,'shell factors calc'!O$2+1,FALSE)</f>
        <v>2861.713135</v>
      </c>
      <c r="P145" s="8">
        <f>VLOOKUP($B145,floorspace!$B$4:$O$12,'shell factors calc'!P$2+1,FALSE)</f>
        <v>2312.7941890000002</v>
      </c>
      <c r="Q145" s="8">
        <f>VLOOKUP($B145,floorspace!$B$4:$O$12,'shell factors calc'!Q$2+1,FALSE)</f>
        <v>83.223968999999997</v>
      </c>
      <c r="R145" s="8">
        <f>VLOOKUP($B145,floorspace!$B$4:$O$12,'shell factors calc'!R$2+1,FALSE)</f>
        <v>256.68893400000002</v>
      </c>
      <c r="S145" s="8">
        <f>VLOOKUP($B145,floorspace!$B$4:$O$12,'shell factors calc'!S$2+1,FALSE)</f>
        <v>374.32568400000002</v>
      </c>
      <c r="T145" s="8">
        <f>VLOOKUP($B145,floorspace!$B$4:$O$12,'shell factors calc'!T$2+1,FALSE)</f>
        <v>1280.028564</v>
      </c>
      <c r="U145" s="8">
        <f>VLOOKUP($B145,floorspace!$B$4:$O$12,'shell factors calc'!U$2+1,FALSE)</f>
        <v>2275.966797</v>
      </c>
      <c r="V145" s="8">
        <f>VLOOKUP($B145,floorspace!$B$4:$O$12,'shell factors calc'!V$2+1,FALSE)</f>
        <v>1147.5775149999999</v>
      </c>
      <c r="W145" s="8">
        <f>VLOOKUP($B145,floorspace!$B$4:$O$12,'shell factors calc'!W$2+1,FALSE)</f>
        <v>2893.2617190000001</v>
      </c>
      <c r="X145" s="8">
        <f>VLOOKUP($B145,floorspace!$B$4:$O$12,'shell factors calc'!X$2+1,FALSE)</f>
        <v>3003.1875</v>
      </c>
      <c r="Y145" s="8">
        <f>VLOOKUP($B145,floorspace!$B$4:$O$12,'shell factors calc'!Y$2+1,FALSE)</f>
        <v>1165.4536129999999</v>
      </c>
      <c r="Z145">
        <f t="shared" si="2"/>
        <v>0.62002257878302958</v>
      </c>
    </row>
    <row r="146" spans="1:26" x14ac:dyDescent="0.2">
      <c r="A146" s="5" t="s">
        <v>45</v>
      </c>
      <c r="B146" s="5" t="s">
        <v>40</v>
      </c>
      <c r="C146" s="6" t="s">
        <v>20</v>
      </c>
      <c r="D146" s="7">
        <v>0.555176</v>
      </c>
      <c r="E146">
        <v>0.56468799999999997</v>
      </c>
      <c r="F146">
        <v>0.75206600000000001</v>
      </c>
      <c r="G146">
        <v>0.49963299999999999</v>
      </c>
      <c r="H146">
        <v>0.66833299999999995</v>
      </c>
      <c r="I146">
        <v>0.45909800000000001</v>
      </c>
      <c r="J146">
        <v>0.63886100000000001</v>
      </c>
      <c r="K146">
        <v>0.57145900000000005</v>
      </c>
      <c r="L146">
        <v>0.49764999999999998</v>
      </c>
      <c r="M146">
        <v>0.90187700000000004</v>
      </c>
      <c r="N146">
        <v>0.58922600000000003</v>
      </c>
      <c r="O146" s="8">
        <f>VLOOKUP($B146,floorspace!$B$4:$O$12,'shell factors calc'!O$2+1,FALSE)</f>
        <v>2861.713135</v>
      </c>
      <c r="P146" s="8">
        <f>VLOOKUP($B146,floorspace!$B$4:$O$12,'shell factors calc'!P$2+1,FALSE)</f>
        <v>2312.7941890000002</v>
      </c>
      <c r="Q146" s="8">
        <f>VLOOKUP($B146,floorspace!$B$4:$O$12,'shell factors calc'!Q$2+1,FALSE)</f>
        <v>83.223968999999997</v>
      </c>
      <c r="R146" s="8">
        <f>VLOOKUP($B146,floorspace!$B$4:$O$12,'shell factors calc'!R$2+1,FALSE)</f>
        <v>256.68893400000002</v>
      </c>
      <c r="S146" s="8">
        <f>VLOOKUP($B146,floorspace!$B$4:$O$12,'shell factors calc'!S$2+1,FALSE)</f>
        <v>374.32568400000002</v>
      </c>
      <c r="T146" s="8">
        <f>VLOOKUP($B146,floorspace!$B$4:$O$12,'shell factors calc'!T$2+1,FALSE)</f>
        <v>1280.028564</v>
      </c>
      <c r="U146" s="8">
        <f>VLOOKUP($B146,floorspace!$B$4:$O$12,'shell factors calc'!U$2+1,FALSE)</f>
        <v>2275.966797</v>
      </c>
      <c r="V146" s="8">
        <f>VLOOKUP($B146,floorspace!$B$4:$O$12,'shell factors calc'!V$2+1,FALSE)</f>
        <v>1147.5775149999999</v>
      </c>
      <c r="W146" s="8">
        <f>VLOOKUP($B146,floorspace!$B$4:$O$12,'shell factors calc'!W$2+1,FALSE)</f>
        <v>2893.2617190000001</v>
      </c>
      <c r="X146" s="8">
        <f>VLOOKUP($B146,floorspace!$B$4:$O$12,'shell factors calc'!X$2+1,FALSE)</f>
        <v>3003.1875</v>
      </c>
      <c r="Y146" s="8">
        <f>VLOOKUP($B146,floorspace!$B$4:$O$12,'shell factors calc'!Y$2+1,FALSE)</f>
        <v>1165.4536129999999</v>
      </c>
      <c r="Z146">
        <f t="shared" si="2"/>
        <v>0.61562087939483012</v>
      </c>
    </row>
    <row r="147" spans="1:26" x14ac:dyDescent="0.2">
      <c r="A147" s="5" t="s">
        <v>45</v>
      </c>
      <c r="B147" s="5" t="s">
        <v>40</v>
      </c>
      <c r="C147" s="6" t="s">
        <v>21</v>
      </c>
      <c r="D147" s="7">
        <v>0.54783000000000004</v>
      </c>
      <c r="E147">
        <v>0.55741300000000005</v>
      </c>
      <c r="F147">
        <v>0.74755099999999997</v>
      </c>
      <c r="G147">
        <v>0.49165799999999998</v>
      </c>
      <c r="H147">
        <v>0.662026</v>
      </c>
      <c r="I147">
        <v>0.448521</v>
      </c>
      <c r="J147">
        <v>0.63226300000000002</v>
      </c>
      <c r="K147">
        <v>0.56453600000000004</v>
      </c>
      <c r="L147">
        <v>0.48899900000000002</v>
      </c>
      <c r="M147">
        <v>0.91409099999999999</v>
      </c>
      <c r="N147">
        <v>0.58230300000000002</v>
      </c>
      <c r="O147" s="8">
        <f>VLOOKUP($B147,floorspace!$B$4:$O$12,'shell factors calc'!O$2+1,FALSE)</f>
        <v>2861.713135</v>
      </c>
      <c r="P147" s="8">
        <f>VLOOKUP($B147,floorspace!$B$4:$O$12,'shell factors calc'!P$2+1,FALSE)</f>
        <v>2312.7941890000002</v>
      </c>
      <c r="Q147" s="8">
        <f>VLOOKUP($B147,floorspace!$B$4:$O$12,'shell factors calc'!Q$2+1,FALSE)</f>
        <v>83.223968999999997</v>
      </c>
      <c r="R147" s="8">
        <f>VLOOKUP($B147,floorspace!$B$4:$O$12,'shell factors calc'!R$2+1,FALSE)</f>
        <v>256.68893400000002</v>
      </c>
      <c r="S147" s="8">
        <f>VLOOKUP($B147,floorspace!$B$4:$O$12,'shell factors calc'!S$2+1,FALSE)</f>
        <v>374.32568400000002</v>
      </c>
      <c r="T147" s="8">
        <f>VLOOKUP($B147,floorspace!$B$4:$O$12,'shell factors calc'!T$2+1,FALSE)</f>
        <v>1280.028564</v>
      </c>
      <c r="U147" s="8">
        <f>VLOOKUP($B147,floorspace!$B$4:$O$12,'shell factors calc'!U$2+1,FALSE)</f>
        <v>2275.966797</v>
      </c>
      <c r="V147" s="8">
        <f>VLOOKUP($B147,floorspace!$B$4:$O$12,'shell factors calc'!V$2+1,FALSE)</f>
        <v>1147.5775149999999</v>
      </c>
      <c r="W147" s="8">
        <f>VLOOKUP($B147,floorspace!$B$4:$O$12,'shell factors calc'!W$2+1,FALSE)</f>
        <v>2893.2617190000001</v>
      </c>
      <c r="X147" s="8">
        <f>VLOOKUP($B147,floorspace!$B$4:$O$12,'shell factors calc'!X$2+1,FALSE)</f>
        <v>3003.1875</v>
      </c>
      <c r="Y147" s="8">
        <f>VLOOKUP($B147,floorspace!$B$4:$O$12,'shell factors calc'!Y$2+1,FALSE)</f>
        <v>1165.4536129999999</v>
      </c>
      <c r="Z147">
        <f t="shared" si="2"/>
        <v>0.61134151057551633</v>
      </c>
    </row>
    <row r="148" spans="1:26" x14ac:dyDescent="0.2">
      <c r="A148" s="5" t="s">
        <v>45</v>
      </c>
      <c r="B148" s="5" t="s">
        <v>40</v>
      </c>
      <c r="C148" s="6" t="s">
        <v>22</v>
      </c>
      <c r="D148" s="7">
        <v>0.54057999999999995</v>
      </c>
      <c r="E148">
        <v>0.55023200000000005</v>
      </c>
      <c r="F148">
        <v>0.74306300000000003</v>
      </c>
      <c r="G148">
        <v>0.48381000000000002</v>
      </c>
      <c r="H148">
        <v>0.65577799999999997</v>
      </c>
      <c r="I148">
        <v>0.43818699999999999</v>
      </c>
      <c r="J148">
        <v>0.62573299999999998</v>
      </c>
      <c r="K148">
        <v>0.557697</v>
      </c>
      <c r="L148">
        <v>0.48049900000000001</v>
      </c>
      <c r="M148">
        <v>0.92647100000000004</v>
      </c>
      <c r="N148">
        <v>0.575461</v>
      </c>
      <c r="O148" s="8">
        <f>VLOOKUP($B148,floorspace!$B$4:$O$12,'shell factors calc'!O$2+1,FALSE)</f>
        <v>2861.713135</v>
      </c>
      <c r="P148" s="8">
        <f>VLOOKUP($B148,floorspace!$B$4:$O$12,'shell factors calc'!P$2+1,FALSE)</f>
        <v>2312.7941890000002</v>
      </c>
      <c r="Q148" s="8">
        <f>VLOOKUP($B148,floorspace!$B$4:$O$12,'shell factors calc'!Q$2+1,FALSE)</f>
        <v>83.223968999999997</v>
      </c>
      <c r="R148" s="8">
        <f>VLOOKUP($B148,floorspace!$B$4:$O$12,'shell factors calc'!R$2+1,FALSE)</f>
        <v>256.68893400000002</v>
      </c>
      <c r="S148" s="8">
        <f>VLOOKUP($B148,floorspace!$B$4:$O$12,'shell factors calc'!S$2+1,FALSE)</f>
        <v>374.32568400000002</v>
      </c>
      <c r="T148" s="8">
        <f>VLOOKUP($B148,floorspace!$B$4:$O$12,'shell factors calc'!T$2+1,FALSE)</f>
        <v>1280.028564</v>
      </c>
      <c r="U148" s="8">
        <f>VLOOKUP($B148,floorspace!$B$4:$O$12,'shell factors calc'!U$2+1,FALSE)</f>
        <v>2275.966797</v>
      </c>
      <c r="V148" s="8">
        <f>VLOOKUP($B148,floorspace!$B$4:$O$12,'shell factors calc'!V$2+1,FALSE)</f>
        <v>1147.5775149999999</v>
      </c>
      <c r="W148" s="8">
        <f>VLOOKUP($B148,floorspace!$B$4:$O$12,'shell factors calc'!W$2+1,FALSE)</f>
        <v>2893.2617190000001</v>
      </c>
      <c r="X148" s="8">
        <f>VLOOKUP($B148,floorspace!$B$4:$O$12,'shell factors calc'!X$2+1,FALSE)</f>
        <v>3003.1875</v>
      </c>
      <c r="Y148" s="8">
        <f>VLOOKUP($B148,floorspace!$B$4:$O$12,'shell factors calc'!Y$2+1,FALSE)</f>
        <v>1165.4536129999999</v>
      </c>
      <c r="Z148">
        <f t="shared" si="2"/>
        <v>0.60718342047920715</v>
      </c>
    </row>
    <row r="149" spans="1:26" x14ac:dyDescent="0.2">
      <c r="A149" s="5" t="s">
        <v>45</v>
      </c>
      <c r="B149" s="5" t="s">
        <v>40</v>
      </c>
      <c r="C149" s="6" t="s">
        <v>23</v>
      </c>
      <c r="D149" s="7">
        <v>0.53342699999999998</v>
      </c>
      <c r="E149">
        <v>0.54314300000000004</v>
      </c>
      <c r="F149">
        <v>0.73860300000000001</v>
      </c>
      <c r="G149">
        <v>0.47608699999999998</v>
      </c>
      <c r="H149">
        <v>0.64958899999999997</v>
      </c>
      <c r="I149">
        <v>0.42809199999999997</v>
      </c>
      <c r="J149">
        <v>0.61926999999999999</v>
      </c>
      <c r="K149">
        <v>0.55094100000000001</v>
      </c>
      <c r="L149">
        <v>0.47214600000000001</v>
      </c>
      <c r="M149">
        <v>0.93901800000000002</v>
      </c>
      <c r="N149">
        <v>0.56869999999999998</v>
      </c>
      <c r="O149" s="8">
        <f>VLOOKUP($B149,floorspace!$B$4:$O$12,'shell factors calc'!O$2+1,FALSE)</f>
        <v>2861.713135</v>
      </c>
      <c r="P149" s="8">
        <f>VLOOKUP($B149,floorspace!$B$4:$O$12,'shell factors calc'!P$2+1,FALSE)</f>
        <v>2312.7941890000002</v>
      </c>
      <c r="Q149" s="8">
        <f>VLOOKUP($B149,floorspace!$B$4:$O$12,'shell factors calc'!Q$2+1,FALSE)</f>
        <v>83.223968999999997</v>
      </c>
      <c r="R149" s="8">
        <f>VLOOKUP($B149,floorspace!$B$4:$O$12,'shell factors calc'!R$2+1,FALSE)</f>
        <v>256.68893400000002</v>
      </c>
      <c r="S149" s="8">
        <f>VLOOKUP($B149,floorspace!$B$4:$O$12,'shell factors calc'!S$2+1,FALSE)</f>
        <v>374.32568400000002</v>
      </c>
      <c r="T149" s="8">
        <f>VLOOKUP($B149,floorspace!$B$4:$O$12,'shell factors calc'!T$2+1,FALSE)</f>
        <v>1280.028564</v>
      </c>
      <c r="U149" s="8">
        <f>VLOOKUP($B149,floorspace!$B$4:$O$12,'shell factors calc'!U$2+1,FALSE)</f>
        <v>2275.966797</v>
      </c>
      <c r="V149" s="8">
        <f>VLOOKUP($B149,floorspace!$B$4:$O$12,'shell factors calc'!V$2+1,FALSE)</f>
        <v>1147.5775149999999</v>
      </c>
      <c r="W149" s="8">
        <f>VLOOKUP($B149,floorspace!$B$4:$O$12,'shell factors calc'!W$2+1,FALSE)</f>
        <v>2893.2617190000001</v>
      </c>
      <c r="X149" s="8">
        <f>VLOOKUP($B149,floorspace!$B$4:$O$12,'shell factors calc'!X$2+1,FALSE)</f>
        <v>3003.1875</v>
      </c>
      <c r="Y149" s="8">
        <f>VLOOKUP($B149,floorspace!$B$4:$O$12,'shell factors calc'!Y$2+1,FALSE)</f>
        <v>1165.4536129999999</v>
      </c>
      <c r="Z149">
        <f t="shared" si="2"/>
        <v>0.60314551545547135</v>
      </c>
    </row>
    <row r="150" spans="1:26" x14ac:dyDescent="0.2">
      <c r="A150" s="5" t="s">
        <v>45</v>
      </c>
      <c r="B150" s="5" t="s">
        <v>40</v>
      </c>
      <c r="C150" s="6" t="s">
        <v>24</v>
      </c>
      <c r="D150" s="7">
        <v>0.52636799999999995</v>
      </c>
      <c r="E150">
        <v>0.53614499999999998</v>
      </c>
      <c r="F150">
        <v>0.73416800000000004</v>
      </c>
      <c r="G150">
        <v>0.46848699999999999</v>
      </c>
      <c r="H150">
        <v>0.64345799999999997</v>
      </c>
      <c r="I150">
        <v>0.41822900000000002</v>
      </c>
      <c r="J150">
        <v>0.61287400000000003</v>
      </c>
      <c r="K150">
        <v>0.54426699999999995</v>
      </c>
      <c r="L150">
        <v>0.46393899999999999</v>
      </c>
      <c r="M150">
        <v>0.95173600000000003</v>
      </c>
      <c r="N150">
        <v>0.56201900000000005</v>
      </c>
      <c r="O150" s="8">
        <f>VLOOKUP($B150,floorspace!$B$4:$O$12,'shell factors calc'!O$2+1,FALSE)</f>
        <v>2861.713135</v>
      </c>
      <c r="P150" s="8">
        <f>VLOOKUP($B150,floorspace!$B$4:$O$12,'shell factors calc'!P$2+1,FALSE)</f>
        <v>2312.7941890000002</v>
      </c>
      <c r="Q150" s="8">
        <f>VLOOKUP($B150,floorspace!$B$4:$O$12,'shell factors calc'!Q$2+1,FALSE)</f>
        <v>83.223968999999997</v>
      </c>
      <c r="R150" s="8">
        <f>VLOOKUP($B150,floorspace!$B$4:$O$12,'shell factors calc'!R$2+1,FALSE)</f>
        <v>256.68893400000002</v>
      </c>
      <c r="S150" s="8">
        <f>VLOOKUP($B150,floorspace!$B$4:$O$12,'shell factors calc'!S$2+1,FALSE)</f>
        <v>374.32568400000002</v>
      </c>
      <c r="T150" s="8">
        <f>VLOOKUP($B150,floorspace!$B$4:$O$12,'shell factors calc'!T$2+1,FALSE)</f>
        <v>1280.028564</v>
      </c>
      <c r="U150" s="8">
        <f>VLOOKUP($B150,floorspace!$B$4:$O$12,'shell factors calc'!U$2+1,FALSE)</f>
        <v>2275.966797</v>
      </c>
      <c r="V150" s="8">
        <f>VLOOKUP($B150,floorspace!$B$4:$O$12,'shell factors calc'!V$2+1,FALSE)</f>
        <v>1147.5775149999999</v>
      </c>
      <c r="W150" s="8">
        <f>VLOOKUP($B150,floorspace!$B$4:$O$12,'shell factors calc'!W$2+1,FALSE)</f>
        <v>2893.2617190000001</v>
      </c>
      <c r="X150" s="8">
        <f>VLOOKUP($B150,floorspace!$B$4:$O$12,'shell factors calc'!X$2+1,FALSE)</f>
        <v>3003.1875</v>
      </c>
      <c r="Y150" s="8">
        <f>VLOOKUP($B150,floorspace!$B$4:$O$12,'shell factors calc'!Y$2+1,FALSE)</f>
        <v>1165.4536129999999</v>
      </c>
      <c r="Z150">
        <f t="shared" si="2"/>
        <v>0.59922699178426087</v>
      </c>
    </row>
    <row r="151" spans="1:26" x14ac:dyDescent="0.2">
      <c r="A151" s="5" t="s">
        <v>45</v>
      </c>
      <c r="B151" s="5" t="s">
        <v>40</v>
      </c>
      <c r="C151" s="6" t="s">
        <v>25</v>
      </c>
      <c r="D151" s="7">
        <v>0.51940299999999995</v>
      </c>
      <c r="E151">
        <v>0.52923799999999999</v>
      </c>
      <c r="F151">
        <v>0.72976099999999999</v>
      </c>
      <c r="G151">
        <v>0.461009</v>
      </c>
      <c r="H151">
        <v>0.63738499999999998</v>
      </c>
      <c r="I151">
        <v>0.40859299999999998</v>
      </c>
      <c r="J151">
        <v>0.606545</v>
      </c>
      <c r="K151">
        <v>0.53767299999999996</v>
      </c>
      <c r="L151">
        <v>0.455874</v>
      </c>
      <c r="M151">
        <v>0.96462499999999995</v>
      </c>
      <c r="N151">
        <v>0.55541600000000002</v>
      </c>
      <c r="O151" s="8">
        <f>VLOOKUP($B151,floorspace!$B$4:$O$12,'shell factors calc'!O$2+1,FALSE)</f>
        <v>2861.713135</v>
      </c>
      <c r="P151" s="8">
        <f>VLOOKUP($B151,floorspace!$B$4:$O$12,'shell factors calc'!P$2+1,FALSE)</f>
        <v>2312.7941890000002</v>
      </c>
      <c r="Q151" s="8">
        <f>VLOOKUP($B151,floorspace!$B$4:$O$12,'shell factors calc'!Q$2+1,FALSE)</f>
        <v>83.223968999999997</v>
      </c>
      <c r="R151" s="8">
        <f>VLOOKUP($B151,floorspace!$B$4:$O$12,'shell factors calc'!R$2+1,FALSE)</f>
        <v>256.68893400000002</v>
      </c>
      <c r="S151" s="8">
        <f>VLOOKUP($B151,floorspace!$B$4:$O$12,'shell factors calc'!S$2+1,FALSE)</f>
        <v>374.32568400000002</v>
      </c>
      <c r="T151" s="8">
        <f>VLOOKUP($B151,floorspace!$B$4:$O$12,'shell factors calc'!T$2+1,FALSE)</f>
        <v>1280.028564</v>
      </c>
      <c r="U151" s="8">
        <f>VLOOKUP($B151,floorspace!$B$4:$O$12,'shell factors calc'!U$2+1,FALSE)</f>
        <v>2275.966797</v>
      </c>
      <c r="V151" s="8">
        <f>VLOOKUP($B151,floorspace!$B$4:$O$12,'shell factors calc'!V$2+1,FALSE)</f>
        <v>1147.5775149999999</v>
      </c>
      <c r="W151" s="8">
        <f>VLOOKUP($B151,floorspace!$B$4:$O$12,'shell factors calc'!W$2+1,FALSE)</f>
        <v>2893.2617190000001</v>
      </c>
      <c r="X151" s="8">
        <f>VLOOKUP($B151,floorspace!$B$4:$O$12,'shell factors calc'!X$2+1,FALSE)</f>
        <v>3003.1875</v>
      </c>
      <c r="Y151" s="8">
        <f>VLOOKUP($B151,floorspace!$B$4:$O$12,'shell factors calc'!Y$2+1,FALSE)</f>
        <v>1165.4536129999999</v>
      </c>
      <c r="Z151">
        <f t="shared" si="2"/>
        <v>0.59542656896341228</v>
      </c>
    </row>
    <row r="152" spans="1:26" x14ac:dyDescent="0.2">
      <c r="A152" s="5" t="s">
        <v>45</v>
      </c>
      <c r="B152" s="5" t="s">
        <v>40</v>
      </c>
      <c r="C152" s="6" t="s">
        <v>26</v>
      </c>
      <c r="D152" s="7">
        <v>0.51253000000000004</v>
      </c>
      <c r="E152">
        <v>0.52242</v>
      </c>
      <c r="F152">
        <v>0.72538000000000002</v>
      </c>
      <c r="G152">
        <v>0.45365</v>
      </c>
      <c r="H152">
        <v>0.63136999999999999</v>
      </c>
      <c r="I152">
        <v>0.39917999999999998</v>
      </c>
      <c r="J152">
        <v>0.60028000000000004</v>
      </c>
      <c r="K152">
        <v>0.53115999999999997</v>
      </c>
      <c r="L152">
        <v>0.44795000000000001</v>
      </c>
      <c r="M152">
        <v>0.97768999999999995</v>
      </c>
      <c r="N152">
        <v>0.54888999999999999</v>
      </c>
      <c r="O152" s="8">
        <f>VLOOKUP($B152,floorspace!$B$4:$O$12,'shell factors calc'!O$2+1,FALSE)</f>
        <v>2861.713135</v>
      </c>
      <c r="P152" s="8">
        <f>VLOOKUP($B152,floorspace!$B$4:$O$12,'shell factors calc'!P$2+1,FALSE)</f>
        <v>2312.7941890000002</v>
      </c>
      <c r="Q152" s="8">
        <f>VLOOKUP($B152,floorspace!$B$4:$O$12,'shell factors calc'!Q$2+1,FALSE)</f>
        <v>83.223968999999997</v>
      </c>
      <c r="R152" s="8">
        <f>VLOOKUP($B152,floorspace!$B$4:$O$12,'shell factors calc'!R$2+1,FALSE)</f>
        <v>256.68893400000002</v>
      </c>
      <c r="S152" s="8">
        <f>VLOOKUP($B152,floorspace!$B$4:$O$12,'shell factors calc'!S$2+1,FALSE)</f>
        <v>374.32568400000002</v>
      </c>
      <c r="T152" s="8">
        <f>VLOOKUP($B152,floorspace!$B$4:$O$12,'shell factors calc'!T$2+1,FALSE)</f>
        <v>1280.028564</v>
      </c>
      <c r="U152" s="8">
        <f>VLOOKUP($B152,floorspace!$B$4:$O$12,'shell factors calc'!U$2+1,FALSE)</f>
        <v>2275.966797</v>
      </c>
      <c r="V152" s="8">
        <f>VLOOKUP($B152,floorspace!$B$4:$O$12,'shell factors calc'!V$2+1,FALSE)</f>
        <v>1147.5775149999999</v>
      </c>
      <c r="W152" s="8">
        <f>VLOOKUP($B152,floorspace!$B$4:$O$12,'shell factors calc'!W$2+1,FALSE)</f>
        <v>2893.2617190000001</v>
      </c>
      <c r="X152" s="8">
        <f>VLOOKUP($B152,floorspace!$B$4:$O$12,'shell factors calc'!X$2+1,FALSE)</f>
        <v>3003.1875</v>
      </c>
      <c r="Y152" s="8">
        <f>VLOOKUP($B152,floorspace!$B$4:$O$12,'shell factors calc'!Y$2+1,FALSE)</f>
        <v>1165.4536129999999</v>
      </c>
      <c r="Z152">
        <f t="shared" si="2"/>
        <v>0.59174361661994213</v>
      </c>
    </row>
    <row r="153" spans="1:26" x14ac:dyDescent="0.2">
      <c r="A153" s="5" t="s">
        <v>45</v>
      </c>
      <c r="B153" s="5" t="s">
        <v>40</v>
      </c>
      <c r="C153" s="6" t="s">
        <v>27</v>
      </c>
      <c r="D153" s="7">
        <v>0.50475300000000001</v>
      </c>
      <c r="E153">
        <v>0.51473100000000005</v>
      </c>
      <c r="F153">
        <v>0.72102500000000003</v>
      </c>
      <c r="G153">
        <v>0.44507600000000003</v>
      </c>
      <c r="H153">
        <v>0.62482300000000002</v>
      </c>
      <c r="I153">
        <v>0.38727800000000001</v>
      </c>
      <c r="J153">
        <v>0.59340199999999999</v>
      </c>
      <c r="K153">
        <v>0.52387700000000004</v>
      </c>
      <c r="L153">
        <v>0.43857099999999999</v>
      </c>
      <c r="M153">
        <v>0.98929500000000004</v>
      </c>
      <c r="N153">
        <v>0.54161999999999999</v>
      </c>
      <c r="O153" s="8">
        <f>VLOOKUP($B153,floorspace!$B$4:$O$12,'shell factors calc'!O$2+1,FALSE)</f>
        <v>2861.713135</v>
      </c>
      <c r="P153" s="8">
        <f>VLOOKUP($B153,floorspace!$B$4:$O$12,'shell factors calc'!P$2+1,FALSE)</f>
        <v>2312.7941890000002</v>
      </c>
      <c r="Q153" s="8">
        <f>VLOOKUP($B153,floorspace!$B$4:$O$12,'shell factors calc'!Q$2+1,FALSE)</f>
        <v>83.223968999999997</v>
      </c>
      <c r="R153" s="8">
        <f>VLOOKUP($B153,floorspace!$B$4:$O$12,'shell factors calc'!R$2+1,FALSE)</f>
        <v>256.68893400000002</v>
      </c>
      <c r="S153" s="8">
        <f>VLOOKUP($B153,floorspace!$B$4:$O$12,'shell factors calc'!S$2+1,FALSE)</f>
        <v>374.32568400000002</v>
      </c>
      <c r="T153" s="8">
        <f>VLOOKUP($B153,floorspace!$B$4:$O$12,'shell factors calc'!T$2+1,FALSE)</f>
        <v>1280.028564</v>
      </c>
      <c r="U153" s="8">
        <f>VLOOKUP($B153,floorspace!$B$4:$O$12,'shell factors calc'!U$2+1,FALSE)</f>
        <v>2275.966797</v>
      </c>
      <c r="V153" s="8">
        <f>VLOOKUP($B153,floorspace!$B$4:$O$12,'shell factors calc'!V$2+1,FALSE)</f>
        <v>1147.5775149999999</v>
      </c>
      <c r="W153" s="8">
        <f>VLOOKUP($B153,floorspace!$B$4:$O$12,'shell factors calc'!W$2+1,FALSE)</f>
        <v>2893.2617190000001</v>
      </c>
      <c r="X153" s="8">
        <f>VLOOKUP($B153,floorspace!$B$4:$O$12,'shell factors calc'!X$2+1,FALSE)</f>
        <v>3003.1875</v>
      </c>
      <c r="Y153" s="8">
        <f>VLOOKUP($B153,floorspace!$B$4:$O$12,'shell factors calc'!Y$2+1,FALSE)</f>
        <v>1165.4536129999999</v>
      </c>
      <c r="Z153">
        <f t="shared" si="2"/>
        <v>0.58692572172229429</v>
      </c>
    </row>
    <row r="154" spans="1:26" x14ac:dyDescent="0.2">
      <c r="A154" s="5" t="s">
        <v>45</v>
      </c>
      <c r="B154" s="5" t="s">
        <v>40</v>
      </c>
      <c r="C154" s="6" t="s">
        <v>28</v>
      </c>
      <c r="D154" s="7">
        <v>0.49709399999999998</v>
      </c>
      <c r="E154">
        <v>0.50715600000000005</v>
      </c>
      <c r="F154">
        <v>0.71669700000000003</v>
      </c>
      <c r="G154">
        <v>0.43666500000000003</v>
      </c>
      <c r="H154">
        <v>0.61834299999999998</v>
      </c>
      <c r="I154">
        <v>0.37573000000000001</v>
      </c>
      <c r="J154">
        <v>0.58660299999999999</v>
      </c>
      <c r="K154">
        <v>0.51669299999999996</v>
      </c>
      <c r="L154">
        <v>0.42938799999999999</v>
      </c>
      <c r="M154">
        <v>1.0010380000000001</v>
      </c>
      <c r="N154">
        <v>0.53444599999999998</v>
      </c>
      <c r="O154" s="8">
        <f>VLOOKUP($B154,floorspace!$B$4:$O$12,'shell factors calc'!O$2+1,FALSE)</f>
        <v>2861.713135</v>
      </c>
      <c r="P154" s="8">
        <f>VLOOKUP($B154,floorspace!$B$4:$O$12,'shell factors calc'!P$2+1,FALSE)</f>
        <v>2312.7941890000002</v>
      </c>
      <c r="Q154" s="8">
        <f>VLOOKUP($B154,floorspace!$B$4:$O$12,'shell factors calc'!Q$2+1,FALSE)</f>
        <v>83.223968999999997</v>
      </c>
      <c r="R154" s="8">
        <f>VLOOKUP($B154,floorspace!$B$4:$O$12,'shell factors calc'!R$2+1,FALSE)</f>
        <v>256.68893400000002</v>
      </c>
      <c r="S154" s="8">
        <f>VLOOKUP($B154,floorspace!$B$4:$O$12,'shell factors calc'!S$2+1,FALSE)</f>
        <v>374.32568400000002</v>
      </c>
      <c r="T154" s="8">
        <f>VLOOKUP($B154,floorspace!$B$4:$O$12,'shell factors calc'!T$2+1,FALSE)</f>
        <v>1280.028564</v>
      </c>
      <c r="U154" s="8">
        <f>VLOOKUP($B154,floorspace!$B$4:$O$12,'shell factors calc'!U$2+1,FALSE)</f>
        <v>2275.966797</v>
      </c>
      <c r="V154" s="8">
        <f>VLOOKUP($B154,floorspace!$B$4:$O$12,'shell factors calc'!V$2+1,FALSE)</f>
        <v>1147.5775149999999</v>
      </c>
      <c r="W154" s="8">
        <f>VLOOKUP($B154,floorspace!$B$4:$O$12,'shell factors calc'!W$2+1,FALSE)</f>
        <v>2893.2617190000001</v>
      </c>
      <c r="X154" s="8">
        <f>VLOOKUP($B154,floorspace!$B$4:$O$12,'shell factors calc'!X$2+1,FALSE)</f>
        <v>3003.1875</v>
      </c>
      <c r="Y154" s="8">
        <f>VLOOKUP($B154,floorspace!$B$4:$O$12,'shell factors calc'!Y$2+1,FALSE)</f>
        <v>1165.4536129999999</v>
      </c>
      <c r="Z154">
        <f t="shared" si="2"/>
        <v>0.5822500280662114</v>
      </c>
    </row>
    <row r="155" spans="1:26" x14ac:dyDescent="0.2">
      <c r="A155" s="5" t="s">
        <v>45</v>
      </c>
      <c r="B155" s="5" t="s">
        <v>40</v>
      </c>
      <c r="C155" s="6" t="s">
        <v>29</v>
      </c>
      <c r="D155" s="7">
        <v>0.48955100000000001</v>
      </c>
      <c r="E155">
        <v>0.49969200000000003</v>
      </c>
      <c r="F155">
        <v>0.71239399999999997</v>
      </c>
      <c r="G155">
        <v>0.42841200000000002</v>
      </c>
      <c r="H155">
        <v>0.611931</v>
      </c>
      <c r="I155">
        <v>0.36452699999999999</v>
      </c>
      <c r="J155">
        <v>0.57988099999999998</v>
      </c>
      <c r="K155">
        <v>0.50960799999999995</v>
      </c>
      <c r="L155">
        <v>0.42039799999999999</v>
      </c>
      <c r="M155">
        <v>1.01292</v>
      </c>
      <c r="N155">
        <v>0.527366</v>
      </c>
      <c r="O155" s="8">
        <f>VLOOKUP($B155,floorspace!$B$4:$O$12,'shell factors calc'!O$2+1,FALSE)</f>
        <v>2861.713135</v>
      </c>
      <c r="P155" s="8">
        <f>VLOOKUP($B155,floorspace!$B$4:$O$12,'shell factors calc'!P$2+1,FALSE)</f>
        <v>2312.7941890000002</v>
      </c>
      <c r="Q155" s="8">
        <f>VLOOKUP($B155,floorspace!$B$4:$O$12,'shell factors calc'!Q$2+1,FALSE)</f>
        <v>83.223968999999997</v>
      </c>
      <c r="R155" s="8">
        <f>VLOOKUP($B155,floorspace!$B$4:$O$12,'shell factors calc'!R$2+1,FALSE)</f>
        <v>256.68893400000002</v>
      </c>
      <c r="S155" s="8">
        <f>VLOOKUP($B155,floorspace!$B$4:$O$12,'shell factors calc'!S$2+1,FALSE)</f>
        <v>374.32568400000002</v>
      </c>
      <c r="T155" s="8">
        <f>VLOOKUP($B155,floorspace!$B$4:$O$12,'shell factors calc'!T$2+1,FALSE)</f>
        <v>1280.028564</v>
      </c>
      <c r="U155" s="8">
        <f>VLOOKUP($B155,floorspace!$B$4:$O$12,'shell factors calc'!U$2+1,FALSE)</f>
        <v>2275.966797</v>
      </c>
      <c r="V155" s="8">
        <f>VLOOKUP($B155,floorspace!$B$4:$O$12,'shell factors calc'!V$2+1,FALSE)</f>
        <v>1147.5775149999999</v>
      </c>
      <c r="W155" s="8">
        <f>VLOOKUP($B155,floorspace!$B$4:$O$12,'shell factors calc'!W$2+1,FALSE)</f>
        <v>2893.2617190000001</v>
      </c>
      <c r="X155" s="8">
        <f>VLOOKUP($B155,floorspace!$B$4:$O$12,'shell factors calc'!X$2+1,FALSE)</f>
        <v>3003.1875</v>
      </c>
      <c r="Y155" s="8">
        <f>VLOOKUP($B155,floorspace!$B$4:$O$12,'shell factors calc'!Y$2+1,FALSE)</f>
        <v>1165.4536129999999</v>
      </c>
      <c r="Z155">
        <f t="shared" si="2"/>
        <v>0.57771439355377885</v>
      </c>
    </row>
    <row r="156" spans="1:26" x14ac:dyDescent="0.2">
      <c r="A156" s="5" t="s">
        <v>45</v>
      </c>
      <c r="B156" s="5" t="s">
        <v>40</v>
      </c>
      <c r="C156" s="6" t="s">
        <v>30</v>
      </c>
      <c r="D156" s="7">
        <v>0.482122</v>
      </c>
      <c r="E156">
        <v>0.49233700000000002</v>
      </c>
      <c r="F156">
        <v>0.708117</v>
      </c>
      <c r="G156">
        <v>0.42031600000000002</v>
      </c>
      <c r="H156">
        <v>0.60558599999999996</v>
      </c>
      <c r="I156">
        <v>0.35365799999999997</v>
      </c>
      <c r="J156">
        <v>0.573237</v>
      </c>
      <c r="K156">
        <v>0.50261999999999996</v>
      </c>
      <c r="L156">
        <v>0.41159499999999999</v>
      </c>
      <c r="M156">
        <v>1.0249429999999999</v>
      </c>
      <c r="N156">
        <v>0.52038099999999998</v>
      </c>
      <c r="O156" s="8">
        <f>VLOOKUP($B156,floorspace!$B$4:$O$12,'shell factors calc'!O$2+1,FALSE)</f>
        <v>2861.713135</v>
      </c>
      <c r="P156" s="8">
        <f>VLOOKUP($B156,floorspace!$B$4:$O$12,'shell factors calc'!P$2+1,FALSE)</f>
        <v>2312.7941890000002</v>
      </c>
      <c r="Q156" s="8">
        <f>VLOOKUP($B156,floorspace!$B$4:$O$12,'shell factors calc'!Q$2+1,FALSE)</f>
        <v>83.223968999999997</v>
      </c>
      <c r="R156" s="8">
        <f>VLOOKUP($B156,floorspace!$B$4:$O$12,'shell factors calc'!R$2+1,FALSE)</f>
        <v>256.68893400000002</v>
      </c>
      <c r="S156" s="8">
        <f>VLOOKUP($B156,floorspace!$B$4:$O$12,'shell factors calc'!S$2+1,FALSE)</f>
        <v>374.32568400000002</v>
      </c>
      <c r="T156" s="8">
        <f>VLOOKUP($B156,floorspace!$B$4:$O$12,'shell factors calc'!T$2+1,FALSE)</f>
        <v>1280.028564</v>
      </c>
      <c r="U156" s="8">
        <f>VLOOKUP($B156,floorspace!$B$4:$O$12,'shell factors calc'!U$2+1,FALSE)</f>
        <v>2275.966797</v>
      </c>
      <c r="V156" s="8">
        <f>VLOOKUP($B156,floorspace!$B$4:$O$12,'shell factors calc'!V$2+1,FALSE)</f>
        <v>1147.5775149999999</v>
      </c>
      <c r="W156" s="8">
        <f>VLOOKUP($B156,floorspace!$B$4:$O$12,'shell factors calc'!W$2+1,FALSE)</f>
        <v>2893.2617190000001</v>
      </c>
      <c r="X156" s="8">
        <f>VLOOKUP($B156,floorspace!$B$4:$O$12,'shell factors calc'!X$2+1,FALSE)</f>
        <v>3003.1875</v>
      </c>
      <c r="Y156" s="8">
        <f>VLOOKUP($B156,floorspace!$B$4:$O$12,'shell factors calc'!Y$2+1,FALSE)</f>
        <v>1165.4536129999999</v>
      </c>
      <c r="Z156">
        <f t="shared" si="2"/>
        <v>0.57331682523111882</v>
      </c>
    </row>
    <row r="157" spans="1:26" x14ac:dyDescent="0.2">
      <c r="A157" s="5" t="s">
        <v>45</v>
      </c>
      <c r="B157" s="5" t="s">
        <v>40</v>
      </c>
      <c r="C157" s="6" t="s">
        <v>31</v>
      </c>
      <c r="D157" s="7">
        <v>0.47480699999999998</v>
      </c>
      <c r="E157">
        <v>0.48509099999999999</v>
      </c>
      <c r="F157">
        <v>0.70386599999999999</v>
      </c>
      <c r="G157">
        <v>0.41237200000000002</v>
      </c>
      <c r="H157">
        <v>0.59930600000000001</v>
      </c>
      <c r="I157">
        <v>0.34311199999999997</v>
      </c>
      <c r="J157">
        <v>0.56666899999999998</v>
      </c>
      <c r="K157">
        <v>0.495728</v>
      </c>
      <c r="L157">
        <v>0.402978</v>
      </c>
      <c r="M157">
        <v>1.0371090000000001</v>
      </c>
      <c r="N157">
        <v>0.51348800000000006</v>
      </c>
      <c r="O157" s="8">
        <f>VLOOKUP($B157,floorspace!$B$4:$O$12,'shell factors calc'!O$2+1,FALSE)</f>
        <v>2861.713135</v>
      </c>
      <c r="P157" s="8">
        <f>VLOOKUP($B157,floorspace!$B$4:$O$12,'shell factors calc'!P$2+1,FALSE)</f>
        <v>2312.7941890000002</v>
      </c>
      <c r="Q157" s="8">
        <f>VLOOKUP($B157,floorspace!$B$4:$O$12,'shell factors calc'!Q$2+1,FALSE)</f>
        <v>83.223968999999997</v>
      </c>
      <c r="R157" s="8">
        <f>VLOOKUP($B157,floorspace!$B$4:$O$12,'shell factors calc'!R$2+1,FALSE)</f>
        <v>256.68893400000002</v>
      </c>
      <c r="S157" s="8">
        <f>VLOOKUP($B157,floorspace!$B$4:$O$12,'shell factors calc'!S$2+1,FALSE)</f>
        <v>374.32568400000002</v>
      </c>
      <c r="T157" s="8">
        <f>VLOOKUP($B157,floorspace!$B$4:$O$12,'shell factors calc'!T$2+1,FALSE)</f>
        <v>1280.028564</v>
      </c>
      <c r="U157" s="8">
        <f>VLOOKUP($B157,floorspace!$B$4:$O$12,'shell factors calc'!U$2+1,FALSE)</f>
        <v>2275.966797</v>
      </c>
      <c r="V157" s="8">
        <f>VLOOKUP($B157,floorspace!$B$4:$O$12,'shell factors calc'!V$2+1,FALSE)</f>
        <v>1147.5775149999999</v>
      </c>
      <c r="W157" s="8">
        <f>VLOOKUP($B157,floorspace!$B$4:$O$12,'shell factors calc'!W$2+1,FALSE)</f>
        <v>2893.2617190000001</v>
      </c>
      <c r="X157" s="8">
        <f>VLOOKUP($B157,floorspace!$B$4:$O$12,'shell factors calc'!X$2+1,FALSE)</f>
        <v>3003.1875</v>
      </c>
      <c r="Y157" s="8">
        <f>VLOOKUP($B157,floorspace!$B$4:$O$12,'shell factors calc'!Y$2+1,FALSE)</f>
        <v>1165.4536129999999</v>
      </c>
      <c r="Z157">
        <f t="shared" si="2"/>
        <v>0.56905606588228685</v>
      </c>
    </row>
    <row r="158" spans="1:26" x14ac:dyDescent="0.2">
      <c r="A158" s="5" t="s">
        <v>45</v>
      </c>
      <c r="B158" s="5" t="s">
        <v>40</v>
      </c>
      <c r="C158" s="6" t="s">
        <v>32</v>
      </c>
      <c r="D158" s="7">
        <v>0.46760200000000002</v>
      </c>
      <c r="E158">
        <v>0.47795199999999999</v>
      </c>
      <c r="F158">
        <v>0.69964000000000004</v>
      </c>
      <c r="G158">
        <v>0.40457900000000002</v>
      </c>
      <c r="H158">
        <v>0.59309100000000003</v>
      </c>
      <c r="I158">
        <v>0.33288200000000001</v>
      </c>
      <c r="J158">
        <v>0.56017600000000001</v>
      </c>
      <c r="K158">
        <v>0.488931</v>
      </c>
      <c r="L158">
        <v>0.39454</v>
      </c>
      <c r="M158">
        <v>1.04942</v>
      </c>
      <c r="N158">
        <v>0.506687</v>
      </c>
      <c r="O158" s="8">
        <f>VLOOKUP($B158,floorspace!$B$4:$O$12,'shell factors calc'!O$2+1,FALSE)</f>
        <v>2861.713135</v>
      </c>
      <c r="P158" s="8">
        <f>VLOOKUP($B158,floorspace!$B$4:$O$12,'shell factors calc'!P$2+1,FALSE)</f>
        <v>2312.7941890000002</v>
      </c>
      <c r="Q158" s="8">
        <f>VLOOKUP($B158,floorspace!$B$4:$O$12,'shell factors calc'!Q$2+1,FALSE)</f>
        <v>83.223968999999997</v>
      </c>
      <c r="R158" s="8">
        <f>VLOOKUP($B158,floorspace!$B$4:$O$12,'shell factors calc'!R$2+1,FALSE)</f>
        <v>256.68893400000002</v>
      </c>
      <c r="S158" s="8">
        <f>VLOOKUP($B158,floorspace!$B$4:$O$12,'shell factors calc'!S$2+1,FALSE)</f>
        <v>374.32568400000002</v>
      </c>
      <c r="T158" s="8">
        <f>VLOOKUP($B158,floorspace!$B$4:$O$12,'shell factors calc'!T$2+1,FALSE)</f>
        <v>1280.028564</v>
      </c>
      <c r="U158" s="8">
        <f>VLOOKUP($B158,floorspace!$B$4:$O$12,'shell factors calc'!U$2+1,FALSE)</f>
        <v>2275.966797</v>
      </c>
      <c r="V158" s="8">
        <f>VLOOKUP($B158,floorspace!$B$4:$O$12,'shell factors calc'!V$2+1,FALSE)</f>
        <v>1147.5775149999999</v>
      </c>
      <c r="W158" s="8">
        <f>VLOOKUP($B158,floorspace!$B$4:$O$12,'shell factors calc'!W$2+1,FALSE)</f>
        <v>2893.2617190000001</v>
      </c>
      <c r="X158" s="8">
        <f>VLOOKUP($B158,floorspace!$B$4:$O$12,'shell factors calc'!X$2+1,FALSE)</f>
        <v>3003.1875</v>
      </c>
      <c r="Y158" s="8">
        <f>VLOOKUP($B158,floorspace!$B$4:$O$12,'shell factors calc'!Y$2+1,FALSE)</f>
        <v>1165.4536129999999</v>
      </c>
      <c r="Z158">
        <f t="shared" si="2"/>
        <v>0.56492967741875977</v>
      </c>
    </row>
    <row r="159" spans="1:26" x14ac:dyDescent="0.2">
      <c r="A159" s="5" t="s">
        <v>45</v>
      </c>
      <c r="B159" s="5" t="s">
        <v>40</v>
      </c>
      <c r="C159" s="6" t="s">
        <v>33</v>
      </c>
      <c r="D159" s="7">
        <v>0.460507</v>
      </c>
      <c r="E159">
        <v>0.470918</v>
      </c>
      <c r="F159">
        <v>0.69543999999999995</v>
      </c>
      <c r="G159">
        <v>0.39693200000000001</v>
      </c>
      <c r="H159">
        <v>0.58694100000000005</v>
      </c>
      <c r="I159">
        <v>0.32295600000000002</v>
      </c>
      <c r="J159">
        <v>0.55375700000000005</v>
      </c>
      <c r="K159">
        <v>0.48222599999999999</v>
      </c>
      <c r="L159">
        <v>0.38627899999999998</v>
      </c>
      <c r="M159">
        <v>1.061876</v>
      </c>
      <c r="N159">
        <v>0.499975</v>
      </c>
      <c r="O159" s="8">
        <f>VLOOKUP($B159,floorspace!$B$4:$O$12,'shell factors calc'!O$2+1,FALSE)</f>
        <v>2861.713135</v>
      </c>
      <c r="P159" s="8">
        <f>VLOOKUP($B159,floorspace!$B$4:$O$12,'shell factors calc'!P$2+1,FALSE)</f>
        <v>2312.7941890000002</v>
      </c>
      <c r="Q159" s="8">
        <f>VLOOKUP($B159,floorspace!$B$4:$O$12,'shell factors calc'!Q$2+1,FALSE)</f>
        <v>83.223968999999997</v>
      </c>
      <c r="R159" s="8">
        <f>VLOOKUP($B159,floorspace!$B$4:$O$12,'shell factors calc'!R$2+1,FALSE)</f>
        <v>256.68893400000002</v>
      </c>
      <c r="S159" s="8">
        <f>VLOOKUP($B159,floorspace!$B$4:$O$12,'shell factors calc'!S$2+1,FALSE)</f>
        <v>374.32568400000002</v>
      </c>
      <c r="T159" s="8">
        <f>VLOOKUP($B159,floorspace!$B$4:$O$12,'shell factors calc'!T$2+1,FALSE)</f>
        <v>1280.028564</v>
      </c>
      <c r="U159" s="8">
        <f>VLOOKUP($B159,floorspace!$B$4:$O$12,'shell factors calc'!U$2+1,FALSE)</f>
        <v>2275.966797</v>
      </c>
      <c r="V159" s="8">
        <f>VLOOKUP($B159,floorspace!$B$4:$O$12,'shell factors calc'!V$2+1,FALSE)</f>
        <v>1147.5775149999999</v>
      </c>
      <c r="W159" s="8">
        <f>VLOOKUP($B159,floorspace!$B$4:$O$12,'shell factors calc'!W$2+1,FALSE)</f>
        <v>2893.2617190000001</v>
      </c>
      <c r="X159" s="8">
        <f>VLOOKUP($B159,floorspace!$B$4:$O$12,'shell factors calc'!X$2+1,FALSE)</f>
        <v>3003.1875</v>
      </c>
      <c r="Y159" s="8">
        <f>VLOOKUP($B159,floorspace!$B$4:$O$12,'shell factors calc'!Y$2+1,FALSE)</f>
        <v>1165.4536129999999</v>
      </c>
      <c r="Z159">
        <f t="shared" si="2"/>
        <v>0.56093561003419379</v>
      </c>
    </row>
    <row r="160" spans="1:26" x14ac:dyDescent="0.2">
      <c r="A160" s="5" t="s">
        <v>45</v>
      </c>
      <c r="B160" s="5" t="s">
        <v>40</v>
      </c>
      <c r="C160" s="6" t="s">
        <v>34</v>
      </c>
      <c r="D160" s="7">
        <v>0.45351900000000001</v>
      </c>
      <c r="E160">
        <v>0.46398699999999998</v>
      </c>
      <c r="F160">
        <v>0.69126500000000002</v>
      </c>
      <c r="G160">
        <v>0.38943100000000003</v>
      </c>
      <c r="H160">
        <v>0.58085399999999998</v>
      </c>
      <c r="I160">
        <v>0.31332599999999999</v>
      </c>
      <c r="J160">
        <v>0.54741300000000004</v>
      </c>
      <c r="K160">
        <v>0.47561399999999998</v>
      </c>
      <c r="L160">
        <v>0.378191</v>
      </c>
      <c r="M160">
        <v>1.074481</v>
      </c>
      <c r="N160">
        <v>0.49335299999999999</v>
      </c>
      <c r="O160" s="8">
        <f>VLOOKUP($B160,floorspace!$B$4:$O$12,'shell factors calc'!O$2+1,FALSE)</f>
        <v>2861.713135</v>
      </c>
      <c r="P160" s="8">
        <f>VLOOKUP($B160,floorspace!$B$4:$O$12,'shell factors calc'!P$2+1,FALSE)</f>
        <v>2312.7941890000002</v>
      </c>
      <c r="Q160" s="8">
        <f>VLOOKUP($B160,floorspace!$B$4:$O$12,'shell factors calc'!Q$2+1,FALSE)</f>
        <v>83.223968999999997</v>
      </c>
      <c r="R160" s="8">
        <f>VLOOKUP($B160,floorspace!$B$4:$O$12,'shell factors calc'!R$2+1,FALSE)</f>
        <v>256.68893400000002</v>
      </c>
      <c r="S160" s="8">
        <f>VLOOKUP($B160,floorspace!$B$4:$O$12,'shell factors calc'!S$2+1,FALSE)</f>
        <v>374.32568400000002</v>
      </c>
      <c r="T160" s="8">
        <f>VLOOKUP($B160,floorspace!$B$4:$O$12,'shell factors calc'!T$2+1,FALSE)</f>
        <v>1280.028564</v>
      </c>
      <c r="U160" s="8">
        <f>VLOOKUP($B160,floorspace!$B$4:$O$12,'shell factors calc'!U$2+1,FALSE)</f>
        <v>2275.966797</v>
      </c>
      <c r="V160" s="8">
        <f>VLOOKUP($B160,floorspace!$B$4:$O$12,'shell factors calc'!V$2+1,FALSE)</f>
        <v>1147.5775149999999</v>
      </c>
      <c r="W160" s="8">
        <f>VLOOKUP($B160,floorspace!$B$4:$O$12,'shell factors calc'!W$2+1,FALSE)</f>
        <v>2893.2617190000001</v>
      </c>
      <c r="X160" s="8">
        <f>VLOOKUP($B160,floorspace!$B$4:$O$12,'shell factors calc'!X$2+1,FALSE)</f>
        <v>3003.1875</v>
      </c>
      <c r="Y160" s="8">
        <f>VLOOKUP($B160,floorspace!$B$4:$O$12,'shell factors calc'!Y$2+1,FALSE)</f>
        <v>1165.4536129999999</v>
      </c>
      <c r="Z160">
        <f t="shared" si="2"/>
        <v>0.55707277310386505</v>
      </c>
    </row>
    <row r="161" spans="1:26" x14ac:dyDescent="0.2">
      <c r="A161" s="5" t="s">
        <v>45</v>
      </c>
      <c r="B161" s="5" t="s">
        <v>40</v>
      </c>
      <c r="C161" s="6" t="s">
        <v>35</v>
      </c>
      <c r="D161" s="7">
        <v>0.44663700000000001</v>
      </c>
      <c r="E161">
        <v>0.45715800000000001</v>
      </c>
      <c r="F161">
        <v>0.68711500000000003</v>
      </c>
      <c r="G161">
        <v>0.38207099999999999</v>
      </c>
      <c r="H161">
        <v>0.57483099999999998</v>
      </c>
      <c r="I161">
        <v>0.30398399999999998</v>
      </c>
      <c r="J161">
        <v>0.54113999999999995</v>
      </c>
      <c r="K161">
        <v>0.46909200000000001</v>
      </c>
      <c r="L161">
        <v>0.37027300000000002</v>
      </c>
      <c r="M161">
        <v>1.087235</v>
      </c>
      <c r="N161">
        <v>0.48681799999999997</v>
      </c>
      <c r="O161" s="8">
        <f>VLOOKUP($B161,floorspace!$B$4:$O$12,'shell factors calc'!O$2+1,FALSE)</f>
        <v>2861.713135</v>
      </c>
      <c r="P161" s="8">
        <f>VLOOKUP($B161,floorspace!$B$4:$O$12,'shell factors calc'!P$2+1,FALSE)</f>
        <v>2312.7941890000002</v>
      </c>
      <c r="Q161" s="8">
        <f>VLOOKUP($B161,floorspace!$B$4:$O$12,'shell factors calc'!Q$2+1,FALSE)</f>
        <v>83.223968999999997</v>
      </c>
      <c r="R161" s="8">
        <f>VLOOKUP($B161,floorspace!$B$4:$O$12,'shell factors calc'!R$2+1,FALSE)</f>
        <v>256.68893400000002</v>
      </c>
      <c r="S161" s="8">
        <f>VLOOKUP($B161,floorspace!$B$4:$O$12,'shell factors calc'!S$2+1,FALSE)</f>
        <v>374.32568400000002</v>
      </c>
      <c r="T161" s="8">
        <f>VLOOKUP($B161,floorspace!$B$4:$O$12,'shell factors calc'!T$2+1,FALSE)</f>
        <v>1280.028564</v>
      </c>
      <c r="U161" s="8">
        <f>VLOOKUP($B161,floorspace!$B$4:$O$12,'shell factors calc'!U$2+1,FALSE)</f>
        <v>2275.966797</v>
      </c>
      <c r="V161" s="8">
        <f>VLOOKUP($B161,floorspace!$B$4:$O$12,'shell factors calc'!V$2+1,FALSE)</f>
        <v>1147.5775149999999</v>
      </c>
      <c r="W161" s="8">
        <f>VLOOKUP($B161,floorspace!$B$4:$O$12,'shell factors calc'!W$2+1,FALSE)</f>
        <v>2893.2617190000001</v>
      </c>
      <c r="X161" s="8">
        <f>VLOOKUP($B161,floorspace!$B$4:$O$12,'shell factors calc'!X$2+1,FALSE)</f>
        <v>3003.1875</v>
      </c>
      <c r="Y161" s="8">
        <f>VLOOKUP($B161,floorspace!$B$4:$O$12,'shell factors calc'!Y$2+1,FALSE)</f>
        <v>1165.4536129999999</v>
      </c>
      <c r="Z161">
        <f t="shared" si="2"/>
        <v>0.55333884159745272</v>
      </c>
    </row>
    <row r="162" spans="1:26" x14ac:dyDescent="0.2">
      <c r="A162" s="5" t="s">
        <v>45</v>
      </c>
      <c r="B162" s="1" t="s">
        <v>40</v>
      </c>
      <c r="C162" s="2" t="s">
        <v>36</v>
      </c>
      <c r="D162" s="4">
        <v>0.43985999999999997</v>
      </c>
      <c r="E162">
        <v>0.45043</v>
      </c>
      <c r="F162">
        <v>0.68298999999999999</v>
      </c>
      <c r="G162">
        <v>0.37485000000000002</v>
      </c>
      <c r="H162">
        <v>0.56886999999999999</v>
      </c>
      <c r="I162">
        <v>0.29492000000000002</v>
      </c>
      <c r="J162">
        <v>0.53493999999999997</v>
      </c>
      <c r="K162">
        <v>0.46266000000000002</v>
      </c>
      <c r="L162">
        <v>0.36252000000000001</v>
      </c>
      <c r="M162">
        <v>1.1001399999999999</v>
      </c>
      <c r="N162">
        <v>0.48037000000000002</v>
      </c>
      <c r="O162" s="8">
        <f>VLOOKUP($B162,floorspace!$B$4:$O$12,'shell factors calc'!O$2+1,FALSE)</f>
        <v>2861.713135</v>
      </c>
      <c r="P162" s="8">
        <f>VLOOKUP($B162,floorspace!$B$4:$O$12,'shell factors calc'!P$2+1,FALSE)</f>
        <v>2312.7941890000002</v>
      </c>
      <c r="Q162" s="8">
        <f>VLOOKUP($B162,floorspace!$B$4:$O$12,'shell factors calc'!Q$2+1,FALSE)</f>
        <v>83.223968999999997</v>
      </c>
      <c r="R162" s="8">
        <f>VLOOKUP($B162,floorspace!$B$4:$O$12,'shell factors calc'!R$2+1,FALSE)</f>
        <v>256.68893400000002</v>
      </c>
      <c r="S162" s="8">
        <f>VLOOKUP($B162,floorspace!$B$4:$O$12,'shell factors calc'!S$2+1,FALSE)</f>
        <v>374.32568400000002</v>
      </c>
      <c r="T162" s="8">
        <f>VLOOKUP($B162,floorspace!$B$4:$O$12,'shell factors calc'!T$2+1,FALSE)</f>
        <v>1280.028564</v>
      </c>
      <c r="U162" s="8">
        <f>VLOOKUP($B162,floorspace!$B$4:$O$12,'shell factors calc'!U$2+1,FALSE)</f>
        <v>2275.966797</v>
      </c>
      <c r="V162" s="8">
        <f>VLOOKUP($B162,floorspace!$B$4:$O$12,'shell factors calc'!V$2+1,FALSE)</f>
        <v>1147.5775149999999</v>
      </c>
      <c r="W162" s="8">
        <f>VLOOKUP($B162,floorspace!$B$4:$O$12,'shell factors calc'!W$2+1,FALSE)</f>
        <v>2893.2617190000001</v>
      </c>
      <c r="X162" s="8">
        <f>VLOOKUP($B162,floorspace!$B$4:$O$12,'shell factors calc'!X$2+1,FALSE)</f>
        <v>3003.1875</v>
      </c>
      <c r="Y162" s="8">
        <f>VLOOKUP($B162,floorspace!$B$4:$O$12,'shell factors calc'!Y$2+1,FALSE)</f>
        <v>1165.4536129999999</v>
      </c>
      <c r="Z162">
        <f t="shared" si="2"/>
        <v>0.54973250450715949</v>
      </c>
    </row>
    <row r="163" spans="1:26" x14ac:dyDescent="0.2">
      <c r="A163" s="5" t="s">
        <v>45</v>
      </c>
      <c r="B163" s="5" t="s">
        <v>41</v>
      </c>
      <c r="C163" s="6" t="s">
        <v>5</v>
      </c>
      <c r="D163" s="7">
        <v>0.73129100000000002</v>
      </c>
      <c r="E163">
        <v>0.73726100000000006</v>
      </c>
      <c r="F163">
        <v>0.85631699999999999</v>
      </c>
      <c r="G163">
        <v>0.66024099999999997</v>
      </c>
      <c r="H163">
        <v>0.80476300000000001</v>
      </c>
      <c r="I163">
        <v>0.66568000000000005</v>
      </c>
      <c r="J163">
        <v>0.79092700000000005</v>
      </c>
      <c r="K163">
        <v>0.759467</v>
      </c>
      <c r="L163">
        <v>0.64527699999999999</v>
      </c>
      <c r="M163">
        <v>0.60543000000000002</v>
      </c>
      <c r="N163">
        <v>0.76276200000000005</v>
      </c>
      <c r="O163" s="8">
        <f>VLOOKUP($B163,floorspace!$B$4:$O$12,'shell factors calc'!O$2+1,FALSE)</f>
        <v>781.29705799999999</v>
      </c>
      <c r="P163" s="8">
        <f>VLOOKUP($B163,floorspace!$B$4:$O$12,'shell factors calc'!P$2+1,FALSE)</f>
        <v>810.63122599999997</v>
      </c>
      <c r="Q163" s="8">
        <f>VLOOKUP($B163,floorspace!$B$4:$O$12,'shell factors calc'!Q$2+1,FALSE)</f>
        <v>37.654308</v>
      </c>
      <c r="R163" s="8">
        <f>VLOOKUP($B163,floorspace!$B$4:$O$12,'shell factors calc'!R$2+1,FALSE)</f>
        <v>106.849113</v>
      </c>
      <c r="S163" s="8">
        <f>VLOOKUP($B163,floorspace!$B$4:$O$12,'shell factors calc'!S$2+1,FALSE)</f>
        <v>112.30965399999999</v>
      </c>
      <c r="T163" s="8">
        <f>VLOOKUP($B163,floorspace!$B$4:$O$12,'shell factors calc'!T$2+1,FALSE)</f>
        <v>321.35845899999998</v>
      </c>
      <c r="U163" s="8">
        <f>VLOOKUP($B163,floorspace!$B$4:$O$12,'shell factors calc'!U$2+1,FALSE)</f>
        <v>292.84985399999999</v>
      </c>
      <c r="V163" s="8">
        <f>VLOOKUP($B163,floorspace!$B$4:$O$12,'shell factors calc'!V$2+1,FALSE)</f>
        <v>365.47903400000001</v>
      </c>
      <c r="W163" s="8">
        <f>VLOOKUP($B163,floorspace!$B$4:$O$12,'shell factors calc'!W$2+1,FALSE)</f>
        <v>999.54614300000003</v>
      </c>
      <c r="X163" s="8">
        <f>VLOOKUP($B163,floorspace!$B$4:$O$12,'shell factors calc'!X$2+1,FALSE)</f>
        <v>1249.8131100000001</v>
      </c>
      <c r="Y163" s="8">
        <f>VLOOKUP($B163,floorspace!$B$4:$O$12,'shell factors calc'!Y$2+1,FALSE)</f>
        <v>265.97723400000001</v>
      </c>
      <c r="Z163">
        <f t="shared" si="2"/>
        <v>0.69049159925478243</v>
      </c>
    </row>
    <row r="164" spans="1:26" x14ac:dyDescent="0.2">
      <c r="A164" s="5" t="s">
        <v>45</v>
      </c>
      <c r="B164" s="5" t="s">
        <v>41</v>
      </c>
      <c r="C164" s="6" t="s">
        <v>6</v>
      </c>
      <c r="D164" s="7">
        <v>0.72536999999999996</v>
      </c>
      <c r="E164">
        <v>0.73138999999999998</v>
      </c>
      <c r="F164">
        <v>0.84597999999999995</v>
      </c>
      <c r="G164">
        <v>0.65314000000000005</v>
      </c>
      <c r="H164">
        <v>0.79954999999999998</v>
      </c>
      <c r="I164">
        <v>0.65644999999999998</v>
      </c>
      <c r="J164">
        <v>0.78564999999999996</v>
      </c>
      <c r="K164">
        <v>0.75432999999999995</v>
      </c>
      <c r="L164">
        <v>0.63705000000000001</v>
      </c>
      <c r="M164">
        <v>0.61090999999999995</v>
      </c>
      <c r="N164">
        <v>0.75687000000000004</v>
      </c>
      <c r="O164" s="8">
        <f>VLOOKUP($B164,floorspace!$B$4:$O$12,'shell factors calc'!O$2+1,FALSE)</f>
        <v>781.29705799999999</v>
      </c>
      <c r="P164" s="8">
        <f>VLOOKUP($B164,floorspace!$B$4:$O$12,'shell factors calc'!P$2+1,FALSE)</f>
        <v>810.63122599999997</v>
      </c>
      <c r="Q164" s="8">
        <f>VLOOKUP($B164,floorspace!$B$4:$O$12,'shell factors calc'!Q$2+1,FALSE)</f>
        <v>37.654308</v>
      </c>
      <c r="R164" s="8">
        <f>VLOOKUP($B164,floorspace!$B$4:$O$12,'shell factors calc'!R$2+1,FALSE)</f>
        <v>106.849113</v>
      </c>
      <c r="S164" s="8">
        <f>VLOOKUP($B164,floorspace!$B$4:$O$12,'shell factors calc'!S$2+1,FALSE)</f>
        <v>112.30965399999999</v>
      </c>
      <c r="T164" s="8">
        <f>VLOOKUP($B164,floorspace!$B$4:$O$12,'shell factors calc'!T$2+1,FALSE)</f>
        <v>321.35845899999998</v>
      </c>
      <c r="U164" s="8">
        <f>VLOOKUP($B164,floorspace!$B$4:$O$12,'shell factors calc'!U$2+1,FALSE)</f>
        <v>292.84985399999999</v>
      </c>
      <c r="V164" s="8">
        <f>VLOOKUP($B164,floorspace!$B$4:$O$12,'shell factors calc'!V$2+1,FALSE)</f>
        <v>365.47903400000001</v>
      </c>
      <c r="W164" s="8">
        <f>VLOOKUP($B164,floorspace!$B$4:$O$12,'shell factors calc'!W$2+1,FALSE)</f>
        <v>999.54614300000003</v>
      </c>
      <c r="X164" s="8">
        <f>VLOOKUP($B164,floorspace!$B$4:$O$12,'shell factors calc'!X$2+1,FALSE)</f>
        <v>1249.8131100000001</v>
      </c>
      <c r="Y164" s="8">
        <f>VLOOKUP($B164,floorspace!$B$4:$O$12,'shell factors calc'!Y$2+1,FALSE)</f>
        <v>265.97723400000001</v>
      </c>
      <c r="Z164">
        <f t="shared" si="2"/>
        <v>0.68666487509655449</v>
      </c>
    </row>
    <row r="165" spans="1:26" x14ac:dyDescent="0.2">
      <c r="A165" s="5" t="s">
        <v>45</v>
      </c>
      <c r="B165" s="5" t="s">
        <v>41</v>
      </c>
      <c r="C165" s="6" t="s">
        <v>7</v>
      </c>
      <c r="D165" s="7">
        <v>0.71921100000000004</v>
      </c>
      <c r="E165">
        <v>0.72528700000000002</v>
      </c>
      <c r="F165">
        <v>0.837584</v>
      </c>
      <c r="G165">
        <v>0.64564100000000002</v>
      </c>
      <c r="H165">
        <v>0.79417800000000005</v>
      </c>
      <c r="I165">
        <v>0.64653700000000003</v>
      </c>
      <c r="J165">
        <v>0.78020500000000004</v>
      </c>
      <c r="K165">
        <v>0.749027</v>
      </c>
      <c r="L165">
        <v>0.62826499999999996</v>
      </c>
      <c r="M165">
        <v>0.61614000000000002</v>
      </c>
      <c r="N165">
        <v>0.75075899999999995</v>
      </c>
      <c r="O165" s="8">
        <f>VLOOKUP($B165,floorspace!$B$4:$O$12,'shell factors calc'!O$2+1,FALSE)</f>
        <v>781.29705799999999</v>
      </c>
      <c r="P165" s="8">
        <f>VLOOKUP($B165,floorspace!$B$4:$O$12,'shell factors calc'!P$2+1,FALSE)</f>
        <v>810.63122599999997</v>
      </c>
      <c r="Q165" s="8">
        <f>VLOOKUP($B165,floorspace!$B$4:$O$12,'shell factors calc'!Q$2+1,FALSE)</f>
        <v>37.654308</v>
      </c>
      <c r="R165" s="8">
        <f>VLOOKUP($B165,floorspace!$B$4:$O$12,'shell factors calc'!R$2+1,FALSE)</f>
        <v>106.849113</v>
      </c>
      <c r="S165" s="8">
        <f>VLOOKUP($B165,floorspace!$B$4:$O$12,'shell factors calc'!S$2+1,FALSE)</f>
        <v>112.30965399999999</v>
      </c>
      <c r="T165" s="8">
        <f>VLOOKUP($B165,floorspace!$B$4:$O$12,'shell factors calc'!T$2+1,FALSE)</f>
        <v>321.35845899999998</v>
      </c>
      <c r="U165" s="8">
        <f>VLOOKUP($B165,floorspace!$B$4:$O$12,'shell factors calc'!U$2+1,FALSE)</f>
        <v>292.84985399999999</v>
      </c>
      <c r="V165" s="8">
        <f>VLOOKUP($B165,floorspace!$B$4:$O$12,'shell factors calc'!V$2+1,FALSE)</f>
        <v>365.47903400000001</v>
      </c>
      <c r="W165" s="8">
        <f>VLOOKUP($B165,floorspace!$B$4:$O$12,'shell factors calc'!W$2+1,FALSE)</f>
        <v>999.54614300000003</v>
      </c>
      <c r="X165" s="8">
        <f>VLOOKUP($B165,floorspace!$B$4:$O$12,'shell factors calc'!X$2+1,FALSE)</f>
        <v>1249.8131100000001</v>
      </c>
      <c r="Y165" s="8">
        <f>VLOOKUP($B165,floorspace!$B$4:$O$12,'shell factors calc'!Y$2+1,FALSE)</f>
        <v>265.97723400000001</v>
      </c>
      <c r="Z165">
        <f t="shared" si="2"/>
        <v>0.68253515924276298</v>
      </c>
    </row>
    <row r="166" spans="1:26" x14ac:dyDescent="0.2">
      <c r="A166" s="5" t="s">
        <v>45</v>
      </c>
      <c r="B166" s="5" t="s">
        <v>41</v>
      </c>
      <c r="C166" s="6" t="s">
        <v>8</v>
      </c>
      <c r="D166" s="7">
        <v>0.71310399999999996</v>
      </c>
      <c r="E166">
        <v>0.71923499999999996</v>
      </c>
      <c r="F166">
        <v>0.82927099999999998</v>
      </c>
      <c r="G166">
        <v>0.63822800000000002</v>
      </c>
      <c r="H166">
        <v>0.78884299999999996</v>
      </c>
      <c r="I166">
        <v>0.63677300000000003</v>
      </c>
      <c r="J166">
        <v>0.77479799999999999</v>
      </c>
      <c r="K166">
        <v>0.74376200000000003</v>
      </c>
      <c r="L166">
        <v>0.61960199999999999</v>
      </c>
      <c r="M166">
        <v>0.62141500000000005</v>
      </c>
      <c r="N166">
        <v>0.74469700000000005</v>
      </c>
      <c r="O166" s="8">
        <f>VLOOKUP($B166,floorspace!$B$4:$O$12,'shell factors calc'!O$2+1,FALSE)</f>
        <v>781.29705799999999</v>
      </c>
      <c r="P166" s="8">
        <f>VLOOKUP($B166,floorspace!$B$4:$O$12,'shell factors calc'!P$2+1,FALSE)</f>
        <v>810.63122599999997</v>
      </c>
      <c r="Q166" s="8">
        <f>VLOOKUP($B166,floorspace!$B$4:$O$12,'shell factors calc'!Q$2+1,FALSE)</f>
        <v>37.654308</v>
      </c>
      <c r="R166" s="8">
        <f>VLOOKUP($B166,floorspace!$B$4:$O$12,'shell factors calc'!R$2+1,FALSE)</f>
        <v>106.849113</v>
      </c>
      <c r="S166" s="8">
        <f>VLOOKUP($B166,floorspace!$B$4:$O$12,'shell factors calc'!S$2+1,FALSE)</f>
        <v>112.30965399999999</v>
      </c>
      <c r="T166" s="8">
        <f>VLOOKUP($B166,floorspace!$B$4:$O$12,'shell factors calc'!T$2+1,FALSE)</f>
        <v>321.35845899999998</v>
      </c>
      <c r="U166" s="8">
        <f>VLOOKUP($B166,floorspace!$B$4:$O$12,'shell factors calc'!U$2+1,FALSE)</f>
        <v>292.84985399999999</v>
      </c>
      <c r="V166" s="8">
        <f>VLOOKUP($B166,floorspace!$B$4:$O$12,'shell factors calc'!V$2+1,FALSE)</f>
        <v>365.47903400000001</v>
      </c>
      <c r="W166" s="8">
        <f>VLOOKUP($B166,floorspace!$B$4:$O$12,'shell factors calc'!W$2+1,FALSE)</f>
        <v>999.54614300000003</v>
      </c>
      <c r="X166" s="8">
        <f>VLOOKUP($B166,floorspace!$B$4:$O$12,'shell factors calc'!X$2+1,FALSE)</f>
        <v>1249.8131100000001</v>
      </c>
      <c r="Y166" s="8">
        <f>VLOOKUP($B166,floorspace!$B$4:$O$12,'shell factors calc'!Y$2+1,FALSE)</f>
        <v>265.97723400000001</v>
      </c>
      <c r="Z166">
        <f t="shared" si="2"/>
        <v>0.67847329020239333</v>
      </c>
    </row>
    <row r="167" spans="1:26" x14ac:dyDescent="0.2">
      <c r="A167" s="5" t="s">
        <v>45</v>
      </c>
      <c r="B167" s="5" t="s">
        <v>41</v>
      </c>
      <c r="C167" s="6" t="s">
        <v>9</v>
      </c>
      <c r="D167" s="7">
        <v>0.70704900000000004</v>
      </c>
      <c r="E167">
        <v>0.71323300000000001</v>
      </c>
      <c r="F167">
        <v>0.82103999999999999</v>
      </c>
      <c r="G167">
        <v>0.63090100000000005</v>
      </c>
      <c r="H167">
        <v>0.78354400000000002</v>
      </c>
      <c r="I167">
        <v>0.62715699999999996</v>
      </c>
      <c r="J167">
        <v>0.76942900000000003</v>
      </c>
      <c r="K167">
        <v>0.73853400000000002</v>
      </c>
      <c r="L167">
        <v>0.61105799999999999</v>
      </c>
      <c r="M167">
        <v>0.62673400000000001</v>
      </c>
      <c r="N167">
        <v>0.73868400000000001</v>
      </c>
      <c r="O167" s="8">
        <f>VLOOKUP($B167,floorspace!$B$4:$O$12,'shell factors calc'!O$2+1,FALSE)</f>
        <v>781.29705799999999</v>
      </c>
      <c r="P167" s="8">
        <f>VLOOKUP($B167,floorspace!$B$4:$O$12,'shell factors calc'!P$2+1,FALSE)</f>
        <v>810.63122599999997</v>
      </c>
      <c r="Q167" s="8">
        <f>VLOOKUP($B167,floorspace!$B$4:$O$12,'shell factors calc'!Q$2+1,FALSE)</f>
        <v>37.654308</v>
      </c>
      <c r="R167" s="8">
        <f>VLOOKUP($B167,floorspace!$B$4:$O$12,'shell factors calc'!R$2+1,FALSE)</f>
        <v>106.849113</v>
      </c>
      <c r="S167" s="8">
        <f>VLOOKUP($B167,floorspace!$B$4:$O$12,'shell factors calc'!S$2+1,FALSE)</f>
        <v>112.30965399999999</v>
      </c>
      <c r="T167" s="8">
        <f>VLOOKUP($B167,floorspace!$B$4:$O$12,'shell factors calc'!T$2+1,FALSE)</f>
        <v>321.35845899999998</v>
      </c>
      <c r="U167" s="8">
        <f>VLOOKUP($B167,floorspace!$B$4:$O$12,'shell factors calc'!U$2+1,FALSE)</f>
        <v>292.84985399999999</v>
      </c>
      <c r="V167" s="8">
        <f>VLOOKUP($B167,floorspace!$B$4:$O$12,'shell factors calc'!V$2+1,FALSE)</f>
        <v>365.47903400000001</v>
      </c>
      <c r="W167" s="8">
        <f>VLOOKUP($B167,floorspace!$B$4:$O$12,'shell factors calc'!W$2+1,FALSE)</f>
        <v>999.54614300000003</v>
      </c>
      <c r="X167" s="8">
        <f>VLOOKUP($B167,floorspace!$B$4:$O$12,'shell factors calc'!X$2+1,FALSE)</f>
        <v>1249.8131100000001</v>
      </c>
      <c r="Y167" s="8">
        <f>VLOOKUP($B167,floorspace!$B$4:$O$12,'shell factors calc'!Y$2+1,FALSE)</f>
        <v>265.97723400000001</v>
      </c>
      <c r="Z167">
        <f t="shared" si="2"/>
        <v>0.67447816465521937</v>
      </c>
    </row>
    <row r="168" spans="1:26" x14ac:dyDescent="0.2">
      <c r="A168" s="5" t="s">
        <v>45</v>
      </c>
      <c r="B168" s="5" t="s">
        <v>41</v>
      </c>
      <c r="C168" s="6" t="s">
        <v>10</v>
      </c>
      <c r="D168" s="7">
        <v>0.70104599999999995</v>
      </c>
      <c r="E168">
        <v>0.70728100000000005</v>
      </c>
      <c r="F168">
        <v>0.81289199999999995</v>
      </c>
      <c r="G168">
        <v>0.62365700000000002</v>
      </c>
      <c r="H168">
        <v>0.77827999999999997</v>
      </c>
      <c r="I168">
        <v>0.61768599999999996</v>
      </c>
      <c r="J168">
        <v>0.76409700000000003</v>
      </c>
      <c r="K168">
        <v>0.73334200000000005</v>
      </c>
      <c r="L168">
        <v>0.60263199999999995</v>
      </c>
      <c r="M168">
        <v>0.6321</v>
      </c>
      <c r="N168">
        <v>0.73271900000000001</v>
      </c>
      <c r="O168" s="8">
        <f>VLOOKUP($B168,floorspace!$B$4:$O$12,'shell factors calc'!O$2+1,FALSE)</f>
        <v>781.29705799999999</v>
      </c>
      <c r="P168" s="8">
        <f>VLOOKUP($B168,floorspace!$B$4:$O$12,'shell factors calc'!P$2+1,FALSE)</f>
        <v>810.63122599999997</v>
      </c>
      <c r="Q168" s="8">
        <f>VLOOKUP($B168,floorspace!$B$4:$O$12,'shell factors calc'!Q$2+1,FALSE)</f>
        <v>37.654308</v>
      </c>
      <c r="R168" s="8">
        <f>VLOOKUP($B168,floorspace!$B$4:$O$12,'shell factors calc'!R$2+1,FALSE)</f>
        <v>106.849113</v>
      </c>
      <c r="S168" s="8">
        <f>VLOOKUP($B168,floorspace!$B$4:$O$12,'shell factors calc'!S$2+1,FALSE)</f>
        <v>112.30965399999999</v>
      </c>
      <c r="T168" s="8">
        <f>VLOOKUP($B168,floorspace!$B$4:$O$12,'shell factors calc'!T$2+1,FALSE)</f>
        <v>321.35845899999998</v>
      </c>
      <c r="U168" s="8">
        <f>VLOOKUP($B168,floorspace!$B$4:$O$12,'shell factors calc'!U$2+1,FALSE)</f>
        <v>292.84985399999999</v>
      </c>
      <c r="V168" s="8">
        <f>VLOOKUP($B168,floorspace!$B$4:$O$12,'shell factors calc'!V$2+1,FALSE)</f>
        <v>365.47903400000001</v>
      </c>
      <c r="W168" s="8">
        <f>VLOOKUP($B168,floorspace!$B$4:$O$12,'shell factors calc'!W$2+1,FALSE)</f>
        <v>999.54614300000003</v>
      </c>
      <c r="X168" s="8">
        <f>VLOOKUP($B168,floorspace!$B$4:$O$12,'shell factors calc'!X$2+1,FALSE)</f>
        <v>1249.8131100000001</v>
      </c>
      <c r="Y168" s="8">
        <f>VLOOKUP($B168,floorspace!$B$4:$O$12,'shell factors calc'!Y$2+1,FALSE)</f>
        <v>265.97723400000001</v>
      </c>
      <c r="Z168">
        <f t="shared" si="2"/>
        <v>0.67054986986349674</v>
      </c>
    </row>
    <row r="169" spans="1:26" x14ac:dyDescent="0.2">
      <c r="A169" s="5" t="s">
        <v>45</v>
      </c>
      <c r="B169" s="5" t="s">
        <v>41</v>
      </c>
      <c r="C169" s="6" t="s">
        <v>11</v>
      </c>
      <c r="D169" s="7">
        <v>0.69509299999999996</v>
      </c>
      <c r="E169">
        <v>0.70137899999999997</v>
      </c>
      <c r="F169">
        <v>0.80482399999999998</v>
      </c>
      <c r="G169">
        <v>0.61649699999999996</v>
      </c>
      <c r="H169">
        <v>0.77305100000000004</v>
      </c>
      <c r="I169">
        <v>0.60835899999999998</v>
      </c>
      <c r="J169">
        <v>0.75880099999999995</v>
      </c>
      <c r="K169">
        <v>0.72818700000000003</v>
      </c>
      <c r="L169">
        <v>0.59432200000000002</v>
      </c>
      <c r="M169">
        <v>0.63751100000000005</v>
      </c>
      <c r="N169">
        <v>0.72680299999999998</v>
      </c>
      <c r="O169" s="8">
        <f>VLOOKUP($B169,floorspace!$B$4:$O$12,'shell factors calc'!O$2+1,FALSE)</f>
        <v>781.29705799999999</v>
      </c>
      <c r="P169" s="8">
        <f>VLOOKUP($B169,floorspace!$B$4:$O$12,'shell factors calc'!P$2+1,FALSE)</f>
        <v>810.63122599999997</v>
      </c>
      <c r="Q169" s="8">
        <f>VLOOKUP($B169,floorspace!$B$4:$O$12,'shell factors calc'!Q$2+1,FALSE)</f>
        <v>37.654308</v>
      </c>
      <c r="R169" s="8">
        <f>VLOOKUP($B169,floorspace!$B$4:$O$12,'shell factors calc'!R$2+1,FALSE)</f>
        <v>106.849113</v>
      </c>
      <c r="S169" s="8">
        <f>VLOOKUP($B169,floorspace!$B$4:$O$12,'shell factors calc'!S$2+1,FALSE)</f>
        <v>112.30965399999999</v>
      </c>
      <c r="T169" s="8">
        <f>VLOOKUP($B169,floorspace!$B$4:$O$12,'shell factors calc'!T$2+1,FALSE)</f>
        <v>321.35845899999998</v>
      </c>
      <c r="U169" s="8">
        <f>VLOOKUP($B169,floorspace!$B$4:$O$12,'shell factors calc'!U$2+1,FALSE)</f>
        <v>292.84985399999999</v>
      </c>
      <c r="V169" s="8">
        <f>VLOOKUP($B169,floorspace!$B$4:$O$12,'shell factors calc'!V$2+1,FALSE)</f>
        <v>365.47903400000001</v>
      </c>
      <c r="W169" s="8">
        <f>VLOOKUP($B169,floorspace!$B$4:$O$12,'shell factors calc'!W$2+1,FALSE)</f>
        <v>999.54614300000003</v>
      </c>
      <c r="X169" s="8">
        <f>VLOOKUP($B169,floorspace!$B$4:$O$12,'shell factors calc'!X$2+1,FALSE)</f>
        <v>1249.8131100000001</v>
      </c>
      <c r="Y169" s="8">
        <f>VLOOKUP($B169,floorspace!$B$4:$O$12,'shell factors calc'!Y$2+1,FALSE)</f>
        <v>265.97723400000001</v>
      </c>
      <c r="Z169">
        <f t="shared" si="2"/>
        <v>0.66668727363330205</v>
      </c>
    </row>
    <row r="170" spans="1:26" x14ac:dyDescent="0.2">
      <c r="A170" s="5" t="s">
        <v>45</v>
      </c>
      <c r="B170" s="5" t="s">
        <v>41</v>
      </c>
      <c r="C170" s="6" t="s">
        <v>12</v>
      </c>
      <c r="D170" s="7">
        <v>0.689191</v>
      </c>
      <c r="E170">
        <v>0.69552700000000001</v>
      </c>
      <c r="F170">
        <v>0.79683599999999999</v>
      </c>
      <c r="G170">
        <v>0.60941900000000004</v>
      </c>
      <c r="H170">
        <v>0.76785700000000001</v>
      </c>
      <c r="I170">
        <v>0.59917200000000004</v>
      </c>
      <c r="J170">
        <v>0.75354299999999996</v>
      </c>
      <c r="K170">
        <v>0.72306800000000004</v>
      </c>
      <c r="L170">
        <v>0.58612699999999995</v>
      </c>
      <c r="M170">
        <v>0.64296799999999998</v>
      </c>
      <c r="N170">
        <v>0.72093399999999996</v>
      </c>
      <c r="O170" s="8">
        <f>VLOOKUP($B170,floorspace!$B$4:$O$12,'shell factors calc'!O$2+1,FALSE)</f>
        <v>781.29705799999999</v>
      </c>
      <c r="P170" s="8">
        <f>VLOOKUP($B170,floorspace!$B$4:$O$12,'shell factors calc'!P$2+1,FALSE)</f>
        <v>810.63122599999997</v>
      </c>
      <c r="Q170" s="8">
        <f>VLOOKUP($B170,floorspace!$B$4:$O$12,'shell factors calc'!Q$2+1,FALSE)</f>
        <v>37.654308</v>
      </c>
      <c r="R170" s="8">
        <f>VLOOKUP($B170,floorspace!$B$4:$O$12,'shell factors calc'!R$2+1,FALSE)</f>
        <v>106.849113</v>
      </c>
      <c r="S170" s="8">
        <f>VLOOKUP($B170,floorspace!$B$4:$O$12,'shell factors calc'!S$2+1,FALSE)</f>
        <v>112.30965399999999</v>
      </c>
      <c r="T170" s="8">
        <f>VLOOKUP($B170,floorspace!$B$4:$O$12,'shell factors calc'!T$2+1,FALSE)</f>
        <v>321.35845899999998</v>
      </c>
      <c r="U170" s="8">
        <f>VLOOKUP($B170,floorspace!$B$4:$O$12,'shell factors calc'!U$2+1,FALSE)</f>
        <v>292.84985399999999</v>
      </c>
      <c r="V170" s="8">
        <f>VLOOKUP($B170,floorspace!$B$4:$O$12,'shell factors calc'!V$2+1,FALSE)</f>
        <v>365.47903400000001</v>
      </c>
      <c r="W170" s="8">
        <f>VLOOKUP($B170,floorspace!$B$4:$O$12,'shell factors calc'!W$2+1,FALSE)</f>
        <v>999.54614300000003</v>
      </c>
      <c r="X170" s="8">
        <f>VLOOKUP($B170,floorspace!$B$4:$O$12,'shell factors calc'!X$2+1,FALSE)</f>
        <v>1249.8131100000001</v>
      </c>
      <c r="Y170" s="8">
        <f>VLOOKUP($B170,floorspace!$B$4:$O$12,'shell factors calc'!Y$2+1,FALSE)</f>
        <v>265.97723400000001</v>
      </c>
      <c r="Z170">
        <f t="shared" si="2"/>
        <v>0.66289023013078952</v>
      </c>
    </row>
    <row r="171" spans="1:26" x14ac:dyDescent="0.2">
      <c r="A171" s="5" t="s">
        <v>45</v>
      </c>
      <c r="B171" s="5" t="s">
        <v>41</v>
      </c>
      <c r="C171" s="6" t="s">
        <v>13</v>
      </c>
      <c r="D171" s="7">
        <v>0.68333900000000003</v>
      </c>
      <c r="E171">
        <v>0.68972299999999997</v>
      </c>
      <c r="F171">
        <v>0.78892700000000004</v>
      </c>
      <c r="G171">
        <v>0.60242200000000001</v>
      </c>
      <c r="H171">
        <v>0.76269900000000002</v>
      </c>
      <c r="I171">
        <v>0.59012299999999995</v>
      </c>
      <c r="J171">
        <v>0.74831999999999999</v>
      </c>
      <c r="K171">
        <v>0.71798499999999998</v>
      </c>
      <c r="L171">
        <v>0.578044</v>
      </c>
      <c r="M171">
        <v>0.64847299999999997</v>
      </c>
      <c r="N171">
        <v>0.715113</v>
      </c>
      <c r="O171" s="8">
        <f>VLOOKUP($B171,floorspace!$B$4:$O$12,'shell factors calc'!O$2+1,FALSE)</f>
        <v>781.29705799999999</v>
      </c>
      <c r="P171" s="8">
        <f>VLOOKUP($B171,floorspace!$B$4:$O$12,'shell factors calc'!P$2+1,FALSE)</f>
        <v>810.63122599999997</v>
      </c>
      <c r="Q171" s="8">
        <f>VLOOKUP($B171,floorspace!$B$4:$O$12,'shell factors calc'!Q$2+1,FALSE)</f>
        <v>37.654308</v>
      </c>
      <c r="R171" s="8">
        <f>VLOOKUP($B171,floorspace!$B$4:$O$12,'shell factors calc'!R$2+1,FALSE)</f>
        <v>106.849113</v>
      </c>
      <c r="S171" s="8">
        <f>VLOOKUP($B171,floorspace!$B$4:$O$12,'shell factors calc'!S$2+1,FALSE)</f>
        <v>112.30965399999999</v>
      </c>
      <c r="T171" s="8">
        <f>VLOOKUP($B171,floorspace!$B$4:$O$12,'shell factors calc'!T$2+1,FALSE)</f>
        <v>321.35845899999998</v>
      </c>
      <c r="U171" s="8">
        <f>VLOOKUP($B171,floorspace!$B$4:$O$12,'shell factors calc'!U$2+1,FALSE)</f>
        <v>292.84985399999999</v>
      </c>
      <c r="V171" s="8">
        <f>VLOOKUP($B171,floorspace!$B$4:$O$12,'shell factors calc'!V$2+1,FALSE)</f>
        <v>365.47903400000001</v>
      </c>
      <c r="W171" s="8">
        <f>VLOOKUP($B171,floorspace!$B$4:$O$12,'shell factors calc'!W$2+1,FALSE)</f>
        <v>999.54614300000003</v>
      </c>
      <c r="X171" s="8">
        <f>VLOOKUP($B171,floorspace!$B$4:$O$12,'shell factors calc'!X$2+1,FALSE)</f>
        <v>1249.8131100000001</v>
      </c>
      <c r="Y171" s="8">
        <f>VLOOKUP($B171,floorspace!$B$4:$O$12,'shell factors calc'!Y$2+1,FALSE)</f>
        <v>265.97723400000001</v>
      </c>
      <c r="Z171">
        <f t="shared" si="2"/>
        <v>0.65915795544151246</v>
      </c>
    </row>
    <row r="172" spans="1:26" x14ac:dyDescent="0.2">
      <c r="A172" s="5" t="s">
        <v>45</v>
      </c>
      <c r="B172" s="5" t="s">
        <v>41</v>
      </c>
      <c r="C172" s="6" t="s">
        <v>14</v>
      </c>
      <c r="D172" s="7">
        <v>0.67753699999999994</v>
      </c>
      <c r="E172">
        <v>0.68396699999999999</v>
      </c>
      <c r="F172">
        <v>0.78109700000000004</v>
      </c>
      <c r="G172">
        <v>0.59550599999999998</v>
      </c>
      <c r="H172">
        <v>0.757575</v>
      </c>
      <c r="I172">
        <v>0.58121199999999995</v>
      </c>
      <c r="J172">
        <v>0.74313399999999996</v>
      </c>
      <c r="K172">
        <v>0.71293799999999996</v>
      </c>
      <c r="L172">
        <v>0.57007300000000005</v>
      </c>
      <c r="M172">
        <v>0.65402400000000005</v>
      </c>
      <c r="N172">
        <v>0.70933900000000005</v>
      </c>
      <c r="O172" s="8">
        <f>VLOOKUP($B172,floorspace!$B$4:$O$12,'shell factors calc'!O$2+1,FALSE)</f>
        <v>781.29705799999999</v>
      </c>
      <c r="P172" s="8">
        <f>VLOOKUP($B172,floorspace!$B$4:$O$12,'shell factors calc'!P$2+1,FALSE)</f>
        <v>810.63122599999997</v>
      </c>
      <c r="Q172" s="8">
        <f>VLOOKUP($B172,floorspace!$B$4:$O$12,'shell factors calc'!Q$2+1,FALSE)</f>
        <v>37.654308</v>
      </c>
      <c r="R172" s="8">
        <f>VLOOKUP($B172,floorspace!$B$4:$O$12,'shell factors calc'!R$2+1,FALSE)</f>
        <v>106.849113</v>
      </c>
      <c r="S172" s="8">
        <f>VLOOKUP($B172,floorspace!$B$4:$O$12,'shell factors calc'!S$2+1,FALSE)</f>
        <v>112.30965399999999</v>
      </c>
      <c r="T172" s="8">
        <f>VLOOKUP($B172,floorspace!$B$4:$O$12,'shell factors calc'!T$2+1,FALSE)</f>
        <v>321.35845899999998</v>
      </c>
      <c r="U172" s="8">
        <f>VLOOKUP($B172,floorspace!$B$4:$O$12,'shell factors calc'!U$2+1,FALSE)</f>
        <v>292.84985399999999</v>
      </c>
      <c r="V172" s="8">
        <f>VLOOKUP($B172,floorspace!$B$4:$O$12,'shell factors calc'!V$2+1,FALSE)</f>
        <v>365.47903400000001</v>
      </c>
      <c r="W172" s="8">
        <f>VLOOKUP($B172,floorspace!$B$4:$O$12,'shell factors calc'!W$2+1,FALSE)</f>
        <v>999.54614300000003</v>
      </c>
      <c r="X172" s="8">
        <f>VLOOKUP($B172,floorspace!$B$4:$O$12,'shell factors calc'!X$2+1,FALSE)</f>
        <v>1249.8131100000001</v>
      </c>
      <c r="Y172" s="8">
        <f>VLOOKUP($B172,floorspace!$B$4:$O$12,'shell factors calc'!Y$2+1,FALSE)</f>
        <v>265.97723400000001</v>
      </c>
      <c r="Z172">
        <f t="shared" si="2"/>
        <v>0.65548999959752408</v>
      </c>
    </row>
    <row r="173" spans="1:26" x14ac:dyDescent="0.2">
      <c r="A173" s="5" t="s">
        <v>45</v>
      </c>
      <c r="B173" s="5" t="s">
        <v>41</v>
      </c>
      <c r="C173" s="6" t="s">
        <v>15</v>
      </c>
      <c r="D173" s="7">
        <v>0.67178400000000005</v>
      </c>
      <c r="E173">
        <v>0.67825999999999997</v>
      </c>
      <c r="F173">
        <v>0.77334499999999995</v>
      </c>
      <c r="G173">
        <v>0.588669</v>
      </c>
      <c r="H173">
        <v>0.75248499999999996</v>
      </c>
      <c r="I173">
        <v>0.57243500000000003</v>
      </c>
      <c r="J173">
        <v>0.73798399999999997</v>
      </c>
      <c r="K173">
        <v>0.70792600000000006</v>
      </c>
      <c r="L173">
        <v>0.56221200000000005</v>
      </c>
      <c r="M173">
        <v>0.65962299999999996</v>
      </c>
      <c r="N173">
        <v>0.70361099999999999</v>
      </c>
      <c r="O173" s="8">
        <f>VLOOKUP($B173,floorspace!$B$4:$O$12,'shell factors calc'!O$2+1,FALSE)</f>
        <v>781.29705799999999</v>
      </c>
      <c r="P173" s="8">
        <f>VLOOKUP($B173,floorspace!$B$4:$O$12,'shell factors calc'!P$2+1,FALSE)</f>
        <v>810.63122599999997</v>
      </c>
      <c r="Q173" s="8">
        <f>VLOOKUP($B173,floorspace!$B$4:$O$12,'shell factors calc'!Q$2+1,FALSE)</f>
        <v>37.654308</v>
      </c>
      <c r="R173" s="8">
        <f>VLOOKUP($B173,floorspace!$B$4:$O$12,'shell factors calc'!R$2+1,FALSE)</f>
        <v>106.849113</v>
      </c>
      <c r="S173" s="8">
        <f>VLOOKUP($B173,floorspace!$B$4:$O$12,'shell factors calc'!S$2+1,FALSE)</f>
        <v>112.30965399999999</v>
      </c>
      <c r="T173" s="8">
        <f>VLOOKUP($B173,floorspace!$B$4:$O$12,'shell factors calc'!T$2+1,FALSE)</f>
        <v>321.35845899999998</v>
      </c>
      <c r="U173" s="8">
        <f>VLOOKUP($B173,floorspace!$B$4:$O$12,'shell factors calc'!U$2+1,FALSE)</f>
        <v>292.84985399999999</v>
      </c>
      <c r="V173" s="8">
        <f>VLOOKUP($B173,floorspace!$B$4:$O$12,'shell factors calc'!V$2+1,FALSE)</f>
        <v>365.47903400000001</v>
      </c>
      <c r="W173" s="8">
        <f>VLOOKUP($B173,floorspace!$B$4:$O$12,'shell factors calc'!W$2+1,FALSE)</f>
        <v>999.54614300000003</v>
      </c>
      <c r="X173" s="8">
        <f>VLOOKUP($B173,floorspace!$B$4:$O$12,'shell factors calc'!X$2+1,FALSE)</f>
        <v>1249.8131100000001</v>
      </c>
      <c r="Y173" s="8">
        <f>VLOOKUP($B173,floorspace!$B$4:$O$12,'shell factors calc'!Y$2+1,FALSE)</f>
        <v>265.97723400000001</v>
      </c>
      <c r="Z173">
        <f t="shared" si="2"/>
        <v>0.6518860012011356</v>
      </c>
    </row>
    <row r="174" spans="1:26" x14ac:dyDescent="0.2">
      <c r="A174" s="5" t="s">
        <v>45</v>
      </c>
      <c r="B174" s="5" t="s">
        <v>41</v>
      </c>
      <c r="C174" s="6" t="s">
        <v>16</v>
      </c>
      <c r="D174" s="7">
        <v>0.66608000000000001</v>
      </c>
      <c r="E174">
        <v>0.67259999999999998</v>
      </c>
      <c r="F174">
        <v>0.76566999999999996</v>
      </c>
      <c r="G174">
        <v>0.58191000000000004</v>
      </c>
      <c r="H174">
        <v>0.74743000000000004</v>
      </c>
      <c r="I174">
        <v>0.56379000000000001</v>
      </c>
      <c r="J174">
        <v>0.73287000000000002</v>
      </c>
      <c r="K174">
        <v>0.70294999999999996</v>
      </c>
      <c r="L174">
        <v>0.55445999999999995</v>
      </c>
      <c r="M174">
        <v>0.66527000000000003</v>
      </c>
      <c r="N174">
        <v>0.69793000000000005</v>
      </c>
      <c r="O174" s="8">
        <f>VLOOKUP($B174,floorspace!$B$4:$O$12,'shell factors calc'!O$2+1,FALSE)</f>
        <v>781.29705799999999</v>
      </c>
      <c r="P174" s="8">
        <f>VLOOKUP($B174,floorspace!$B$4:$O$12,'shell factors calc'!P$2+1,FALSE)</f>
        <v>810.63122599999997</v>
      </c>
      <c r="Q174" s="8">
        <f>VLOOKUP($B174,floorspace!$B$4:$O$12,'shell factors calc'!Q$2+1,FALSE)</f>
        <v>37.654308</v>
      </c>
      <c r="R174" s="8">
        <f>VLOOKUP($B174,floorspace!$B$4:$O$12,'shell factors calc'!R$2+1,FALSE)</f>
        <v>106.849113</v>
      </c>
      <c r="S174" s="8">
        <f>VLOOKUP($B174,floorspace!$B$4:$O$12,'shell factors calc'!S$2+1,FALSE)</f>
        <v>112.30965399999999</v>
      </c>
      <c r="T174" s="8">
        <f>VLOOKUP($B174,floorspace!$B$4:$O$12,'shell factors calc'!T$2+1,FALSE)</f>
        <v>321.35845899999998</v>
      </c>
      <c r="U174" s="8">
        <f>VLOOKUP($B174,floorspace!$B$4:$O$12,'shell factors calc'!U$2+1,FALSE)</f>
        <v>292.84985399999999</v>
      </c>
      <c r="V174" s="8">
        <f>VLOOKUP($B174,floorspace!$B$4:$O$12,'shell factors calc'!V$2+1,FALSE)</f>
        <v>365.47903400000001</v>
      </c>
      <c r="W174" s="8">
        <f>VLOOKUP($B174,floorspace!$B$4:$O$12,'shell factors calc'!W$2+1,FALSE)</f>
        <v>999.54614300000003</v>
      </c>
      <c r="X174" s="8">
        <f>VLOOKUP($B174,floorspace!$B$4:$O$12,'shell factors calc'!X$2+1,FALSE)</f>
        <v>1249.8131100000001</v>
      </c>
      <c r="Y174" s="8">
        <f>VLOOKUP($B174,floorspace!$B$4:$O$12,'shell factors calc'!Y$2+1,FALSE)</f>
        <v>265.97723400000001</v>
      </c>
      <c r="Z174">
        <f t="shared" si="2"/>
        <v>0.64834546167822993</v>
      </c>
    </row>
    <row r="175" spans="1:26" x14ac:dyDescent="0.2">
      <c r="A175" s="5" t="s">
        <v>45</v>
      </c>
      <c r="B175" s="5" t="s">
        <v>41</v>
      </c>
      <c r="C175" s="6" t="s">
        <v>17</v>
      </c>
      <c r="D175" s="7">
        <v>0.65993000000000002</v>
      </c>
      <c r="E175">
        <v>0.66650900000000002</v>
      </c>
      <c r="F175">
        <v>0.76098900000000003</v>
      </c>
      <c r="G175">
        <v>0.57440199999999997</v>
      </c>
      <c r="H175">
        <v>0.74207400000000001</v>
      </c>
      <c r="I175">
        <v>0.553809</v>
      </c>
      <c r="J175">
        <v>0.72743899999999995</v>
      </c>
      <c r="K175">
        <v>0.697662</v>
      </c>
      <c r="L175">
        <v>0.54563499999999998</v>
      </c>
      <c r="M175">
        <v>0.67049300000000001</v>
      </c>
      <c r="N175">
        <v>0.69182999999999995</v>
      </c>
      <c r="O175" s="8">
        <f>VLOOKUP($B175,floorspace!$B$4:$O$12,'shell factors calc'!O$2+1,FALSE)</f>
        <v>781.29705799999999</v>
      </c>
      <c r="P175" s="8">
        <f>VLOOKUP($B175,floorspace!$B$4:$O$12,'shell factors calc'!P$2+1,FALSE)</f>
        <v>810.63122599999997</v>
      </c>
      <c r="Q175" s="8">
        <f>VLOOKUP($B175,floorspace!$B$4:$O$12,'shell factors calc'!Q$2+1,FALSE)</f>
        <v>37.654308</v>
      </c>
      <c r="R175" s="8">
        <f>VLOOKUP($B175,floorspace!$B$4:$O$12,'shell factors calc'!R$2+1,FALSE)</f>
        <v>106.849113</v>
      </c>
      <c r="S175" s="8">
        <f>VLOOKUP($B175,floorspace!$B$4:$O$12,'shell factors calc'!S$2+1,FALSE)</f>
        <v>112.30965399999999</v>
      </c>
      <c r="T175" s="8">
        <f>VLOOKUP($B175,floorspace!$B$4:$O$12,'shell factors calc'!T$2+1,FALSE)</f>
        <v>321.35845899999998</v>
      </c>
      <c r="U175" s="8">
        <f>VLOOKUP($B175,floorspace!$B$4:$O$12,'shell factors calc'!U$2+1,FALSE)</f>
        <v>292.84985399999999</v>
      </c>
      <c r="V175" s="8">
        <f>VLOOKUP($B175,floorspace!$B$4:$O$12,'shell factors calc'!V$2+1,FALSE)</f>
        <v>365.47903400000001</v>
      </c>
      <c r="W175" s="8">
        <f>VLOOKUP($B175,floorspace!$B$4:$O$12,'shell factors calc'!W$2+1,FALSE)</f>
        <v>999.54614300000003</v>
      </c>
      <c r="X175" s="8">
        <f>VLOOKUP($B175,floorspace!$B$4:$O$12,'shell factors calc'!X$2+1,FALSE)</f>
        <v>1249.8131100000001</v>
      </c>
      <c r="Y175" s="8">
        <f>VLOOKUP($B175,floorspace!$B$4:$O$12,'shell factors calc'!Y$2+1,FALSE)</f>
        <v>265.97723400000001</v>
      </c>
      <c r="Z175">
        <f t="shared" si="2"/>
        <v>0.64423434792083467</v>
      </c>
    </row>
    <row r="176" spans="1:26" x14ac:dyDescent="0.2">
      <c r="A176" s="5" t="s">
        <v>45</v>
      </c>
      <c r="B176" s="5" t="s">
        <v>41</v>
      </c>
      <c r="C176" s="6" t="s">
        <v>18</v>
      </c>
      <c r="D176" s="7">
        <v>0.65383599999999997</v>
      </c>
      <c r="E176">
        <v>0.66047199999999995</v>
      </c>
      <c r="F176">
        <v>0.75633700000000004</v>
      </c>
      <c r="G176">
        <v>0.56698999999999999</v>
      </c>
      <c r="H176">
        <v>0.73675500000000005</v>
      </c>
      <c r="I176">
        <v>0.54400499999999996</v>
      </c>
      <c r="J176">
        <v>0.72204900000000005</v>
      </c>
      <c r="K176">
        <v>0.69241299999999995</v>
      </c>
      <c r="L176">
        <v>0.53695000000000004</v>
      </c>
      <c r="M176">
        <v>0.67575600000000002</v>
      </c>
      <c r="N176">
        <v>0.685782</v>
      </c>
      <c r="O176" s="8">
        <f>VLOOKUP($B176,floorspace!$B$4:$O$12,'shell factors calc'!O$2+1,FALSE)</f>
        <v>781.29705799999999</v>
      </c>
      <c r="P176" s="8">
        <f>VLOOKUP($B176,floorspace!$B$4:$O$12,'shell factors calc'!P$2+1,FALSE)</f>
        <v>810.63122599999997</v>
      </c>
      <c r="Q176" s="8">
        <f>VLOOKUP($B176,floorspace!$B$4:$O$12,'shell factors calc'!Q$2+1,FALSE)</f>
        <v>37.654308</v>
      </c>
      <c r="R176" s="8">
        <f>VLOOKUP($B176,floorspace!$B$4:$O$12,'shell factors calc'!R$2+1,FALSE)</f>
        <v>106.849113</v>
      </c>
      <c r="S176" s="8">
        <f>VLOOKUP($B176,floorspace!$B$4:$O$12,'shell factors calc'!S$2+1,FALSE)</f>
        <v>112.30965399999999</v>
      </c>
      <c r="T176" s="8">
        <f>VLOOKUP($B176,floorspace!$B$4:$O$12,'shell factors calc'!T$2+1,FALSE)</f>
        <v>321.35845899999998</v>
      </c>
      <c r="U176" s="8">
        <f>VLOOKUP($B176,floorspace!$B$4:$O$12,'shell factors calc'!U$2+1,FALSE)</f>
        <v>292.84985399999999</v>
      </c>
      <c r="V176" s="8">
        <f>VLOOKUP($B176,floorspace!$B$4:$O$12,'shell factors calc'!V$2+1,FALSE)</f>
        <v>365.47903400000001</v>
      </c>
      <c r="W176" s="8">
        <f>VLOOKUP($B176,floorspace!$B$4:$O$12,'shell factors calc'!W$2+1,FALSE)</f>
        <v>999.54614300000003</v>
      </c>
      <c r="X176" s="8">
        <f>VLOOKUP($B176,floorspace!$B$4:$O$12,'shell factors calc'!X$2+1,FALSE)</f>
        <v>1249.8131100000001</v>
      </c>
      <c r="Y176" s="8">
        <f>VLOOKUP($B176,floorspace!$B$4:$O$12,'shell factors calc'!Y$2+1,FALSE)</f>
        <v>265.97723400000001</v>
      </c>
      <c r="Z176">
        <f t="shared" si="2"/>
        <v>0.64019620376979713</v>
      </c>
    </row>
    <row r="177" spans="1:26" x14ac:dyDescent="0.2">
      <c r="A177" s="5" t="s">
        <v>45</v>
      </c>
      <c r="B177" s="5" t="s">
        <v>41</v>
      </c>
      <c r="C177" s="6" t="s">
        <v>19</v>
      </c>
      <c r="D177" s="7">
        <v>0.64779900000000001</v>
      </c>
      <c r="E177">
        <v>0.65449100000000004</v>
      </c>
      <c r="F177">
        <v>0.75171399999999999</v>
      </c>
      <c r="G177">
        <v>0.55967500000000003</v>
      </c>
      <c r="H177">
        <v>0.73147499999999999</v>
      </c>
      <c r="I177">
        <v>0.53437500000000004</v>
      </c>
      <c r="J177">
        <v>0.71669899999999997</v>
      </c>
      <c r="K177">
        <v>0.68720400000000004</v>
      </c>
      <c r="L177">
        <v>0.52840399999999998</v>
      </c>
      <c r="M177">
        <v>0.68106100000000003</v>
      </c>
      <c r="N177">
        <v>0.67978799999999995</v>
      </c>
      <c r="O177" s="8">
        <f>VLOOKUP($B177,floorspace!$B$4:$O$12,'shell factors calc'!O$2+1,FALSE)</f>
        <v>781.29705799999999</v>
      </c>
      <c r="P177" s="8">
        <f>VLOOKUP($B177,floorspace!$B$4:$O$12,'shell factors calc'!P$2+1,FALSE)</f>
        <v>810.63122599999997</v>
      </c>
      <c r="Q177" s="8">
        <f>VLOOKUP($B177,floorspace!$B$4:$O$12,'shell factors calc'!Q$2+1,FALSE)</f>
        <v>37.654308</v>
      </c>
      <c r="R177" s="8">
        <f>VLOOKUP($B177,floorspace!$B$4:$O$12,'shell factors calc'!R$2+1,FALSE)</f>
        <v>106.849113</v>
      </c>
      <c r="S177" s="8">
        <f>VLOOKUP($B177,floorspace!$B$4:$O$12,'shell factors calc'!S$2+1,FALSE)</f>
        <v>112.30965399999999</v>
      </c>
      <c r="T177" s="8">
        <f>VLOOKUP($B177,floorspace!$B$4:$O$12,'shell factors calc'!T$2+1,FALSE)</f>
        <v>321.35845899999998</v>
      </c>
      <c r="U177" s="8">
        <f>VLOOKUP($B177,floorspace!$B$4:$O$12,'shell factors calc'!U$2+1,FALSE)</f>
        <v>292.84985399999999</v>
      </c>
      <c r="V177" s="8">
        <f>VLOOKUP($B177,floorspace!$B$4:$O$12,'shell factors calc'!V$2+1,FALSE)</f>
        <v>365.47903400000001</v>
      </c>
      <c r="W177" s="8">
        <f>VLOOKUP($B177,floorspace!$B$4:$O$12,'shell factors calc'!W$2+1,FALSE)</f>
        <v>999.54614300000003</v>
      </c>
      <c r="X177" s="8">
        <f>VLOOKUP($B177,floorspace!$B$4:$O$12,'shell factors calc'!X$2+1,FALSE)</f>
        <v>1249.8131100000001</v>
      </c>
      <c r="Y177" s="8">
        <f>VLOOKUP($B177,floorspace!$B$4:$O$12,'shell factors calc'!Y$2+1,FALSE)</f>
        <v>265.97723400000001</v>
      </c>
      <c r="Z177">
        <f t="shared" si="2"/>
        <v>0.63623175429744716</v>
      </c>
    </row>
    <row r="178" spans="1:26" x14ac:dyDescent="0.2">
      <c r="A178" s="5" t="s">
        <v>45</v>
      </c>
      <c r="B178" s="5" t="s">
        <v>41</v>
      </c>
      <c r="C178" s="6" t="s">
        <v>20</v>
      </c>
      <c r="D178" s="7">
        <v>0.64181699999999997</v>
      </c>
      <c r="E178">
        <v>0.64856400000000003</v>
      </c>
      <c r="F178">
        <v>0.74711799999999995</v>
      </c>
      <c r="G178">
        <v>0.55245299999999997</v>
      </c>
      <c r="H178">
        <v>0.72623300000000002</v>
      </c>
      <c r="I178">
        <v>0.52491500000000002</v>
      </c>
      <c r="J178">
        <v>0.71138800000000002</v>
      </c>
      <c r="K178">
        <v>0.68203400000000003</v>
      </c>
      <c r="L178">
        <v>0.51999399999999996</v>
      </c>
      <c r="M178">
        <v>0.68640800000000002</v>
      </c>
      <c r="N178">
        <v>0.67384599999999995</v>
      </c>
      <c r="O178" s="8">
        <f>VLOOKUP($B178,floorspace!$B$4:$O$12,'shell factors calc'!O$2+1,FALSE)</f>
        <v>781.29705799999999</v>
      </c>
      <c r="P178" s="8">
        <f>VLOOKUP($B178,floorspace!$B$4:$O$12,'shell factors calc'!P$2+1,FALSE)</f>
        <v>810.63122599999997</v>
      </c>
      <c r="Q178" s="8">
        <f>VLOOKUP($B178,floorspace!$B$4:$O$12,'shell factors calc'!Q$2+1,FALSE)</f>
        <v>37.654308</v>
      </c>
      <c r="R178" s="8">
        <f>VLOOKUP($B178,floorspace!$B$4:$O$12,'shell factors calc'!R$2+1,FALSE)</f>
        <v>106.849113</v>
      </c>
      <c r="S178" s="8">
        <f>VLOOKUP($B178,floorspace!$B$4:$O$12,'shell factors calc'!S$2+1,FALSE)</f>
        <v>112.30965399999999</v>
      </c>
      <c r="T178" s="8">
        <f>VLOOKUP($B178,floorspace!$B$4:$O$12,'shell factors calc'!T$2+1,FALSE)</f>
        <v>321.35845899999998</v>
      </c>
      <c r="U178" s="8">
        <f>VLOOKUP($B178,floorspace!$B$4:$O$12,'shell factors calc'!U$2+1,FALSE)</f>
        <v>292.84985399999999</v>
      </c>
      <c r="V178" s="8">
        <f>VLOOKUP($B178,floorspace!$B$4:$O$12,'shell factors calc'!V$2+1,FALSE)</f>
        <v>365.47903400000001</v>
      </c>
      <c r="W178" s="8">
        <f>VLOOKUP($B178,floorspace!$B$4:$O$12,'shell factors calc'!W$2+1,FALSE)</f>
        <v>999.54614300000003</v>
      </c>
      <c r="X178" s="8">
        <f>VLOOKUP($B178,floorspace!$B$4:$O$12,'shell factors calc'!X$2+1,FALSE)</f>
        <v>1249.8131100000001</v>
      </c>
      <c r="Y178" s="8">
        <f>VLOOKUP($B178,floorspace!$B$4:$O$12,'shell factors calc'!Y$2+1,FALSE)</f>
        <v>265.97723400000001</v>
      </c>
      <c r="Z178">
        <f t="shared" si="2"/>
        <v>0.63233926416801012</v>
      </c>
    </row>
    <row r="179" spans="1:26" x14ac:dyDescent="0.2">
      <c r="A179" s="5" t="s">
        <v>45</v>
      </c>
      <c r="B179" s="5" t="s">
        <v>41</v>
      </c>
      <c r="C179" s="6" t="s">
        <v>21</v>
      </c>
      <c r="D179" s="7">
        <v>0.63589099999999998</v>
      </c>
      <c r="E179">
        <v>0.64268999999999998</v>
      </c>
      <c r="F179">
        <v>0.74255099999999996</v>
      </c>
      <c r="G179">
        <v>0.54532499999999995</v>
      </c>
      <c r="H179">
        <v>0.72102900000000003</v>
      </c>
      <c r="I179">
        <v>0.51562200000000002</v>
      </c>
      <c r="J179">
        <v>0.70611699999999999</v>
      </c>
      <c r="K179">
        <v>0.676902</v>
      </c>
      <c r="L179">
        <v>0.51171800000000001</v>
      </c>
      <c r="M179">
        <v>0.69179599999999997</v>
      </c>
      <c r="N179">
        <v>0.66795599999999999</v>
      </c>
      <c r="O179" s="8">
        <f>VLOOKUP($B179,floorspace!$B$4:$O$12,'shell factors calc'!O$2+1,FALSE)</f>
        <v>781.29705799999999</v>
      </c>
      <c r="P179" s="8">
        <f>VLOOKUP($B179,floorspace!$B$4:$O$12,'shell factors calc'!P$2+1,FALSE)</f>
        <v>810.63122599999997</v>
      </c>
      <c r="Q179" s="8">
        <f>VLOOKUP($B179,floorspace!$B$4:$O$12,'shell factors calc'!Q$2+1,FALSE)</f>
        <v>37.654308</v>
      </c>
      <c r="R179" s="8">
        <f>VLOOKUP($B179,floorspace!$B$4:$O$12,'shell factors calc'!R$2+1,FALSE)</f>
        <v>106.849113</v>
      </c>
      <c r="S179" s="8">
        <f>VLOOKUP($B179,floorspace!$B$4:$O$12,'shell factors calc'!S$2+1,FALSE)</f>
        <v>112.30965399999999</v>
      </c>
      <c r="T179" s="8">
        <f>VLOOKUP($B179,floorspace!$B$4:$O$12,'shell factors calc'!T$2+1,FALSE)</f>
        <v>321.35845899999998</v>
      </c>
      <c r="U179" s="8">
        <f>VLOOKUP($B179,floorspace!$B$4:$O$12,'shell factors calc'!U$2+1,FALSE)</f>
        <v>292.84985399999999</v>
      </c>
      <c r="V179" s="8">
        <f>VLOOKUP($B179,floorspace!$B$4:$O$12,'shell factors calc'!V$2+1,FALSE)</f>
        <v>365.47903400000001</v>
      </c>
      <c r="W179" s="8">
        <f>VLOOKUP($B179,floorspace!$B$4:$O$12,'shell factors calc'!W$2+1,FALSE)</f>
        <v>999.54614300000003</v>
      </c>
      <c r="X179" s="8">
        <f>VLOOKUP($B179,floorspace!$B$4:$O$12,'shell factors calc'!X$2+1,FALSE)</f>
        <v>1249.8131100000001</v>
      </c>
      <c r="Y179" s="8">
        <f>VLOOKUP($B179,floorspace!$B$4:$O$12,'shell factors calc'!Y$2+1,FALSE)</f>
        <v>265.97723400000001</v>
      </c>
      <c r="Z179">
        <f t="shared" si="2"/>
        <v>0.62851795999675752</v>
      </c>
    </row>
    <row r="180" spans="1:26" x14ac:dyDescent="0.2">
      <c r="A180" s="5" t="s">
        <v>45</v>
      </c>
      <c r="B180" s="5" t="s">
        <v>41</v>
      </c>
      <c r="C180" s="6" t="s">
        <v>22</v>
      </c>
      <c r="D180" s="7">
        <v>0.630019</v>
      </c>
      <c r="E180">
        <v>0.63687000000000005</v>
      </c>
      <c r="F180">
        <v>0.738012</v>
      </c>
      <c r="G180">
        <v>0.53828900000000002</v>
      </c>
      <c r="H180">
        <v>0.71586099999999997</v>
      </c>
      <c r="I180">
        <v>0.506494</v>
      </c>
      <c r="J180">
        <v>0.70088399999999995</v>
      </c>
      <c r="K180">
        <v>0.67181000000000002</v>
      </c>
      <c r="L180">
        <v>0.50357300000000005</v>
      </c>
      <c r="M180">
        <v>0.69722700000000004</v>
      </c>
      <c r="N180">
        <v>0.66211799999999998</v>
      </c>
      <c r="O180" s="8">
        <f>VLOOKUP($B180,floorspace!$B$4:$O$12,'shell factors calc'!O$2+1,FALSE)</f>
        <v>781.29705799999999</v>
      </c>
      <c r="P180" s="8">
        <f>VLOOKUP($B180,floorspace!$B$4:$O$12,'shell factors calc'!P$2+1,FALSE)</f>
        <v>810.63122599999997</v>
      </c>
      <c r="Q180" s="8">
        <f>VLOOKUP($B180,floorspace!$B$4:$O$12,'shell factors calc'!Q$2+1,FALSE)</f>
        <v>37.654308</v>
      </c>
      <c r="R180" s="8">
        <f>VLOOKUP($B180,floorspace!$B$4:$O$12,'shell factors calc'!R$2+1,FALSE)</f>
        <v>106.849113</v>
      </c>
      <c r="S180" s="8">
        <f>VLOOKUP($B180,floorspace!$B$4:$O$12,'shell factors calc'!S$2+1,FALSE)</f>
        <v>112.30965399999999</v>
      </c>
      <c r="T180" s="8">
        <f>VLOOKUP($B180,floorspace!$B$4:$O$12,'shell factors calc'!T$2+1,FALSE)</f>
        <v>321.35845899999998</v>
      </c>
      <c r="U180" s="8">
        <f>VLOOKUP($B180,floorspace!$B$4:$O$12,'shell factors calc'!U$2+1,FALSE)</f>
        <v>292.84985399999999</v>
      </c>
      <c r="V180" s="8">
        <f>VLOOKUP($B180,floorspace!$B$4:$O$12,'shell factors calc'!V$2+1,FALSE)</f>
        <v>365.47903400000001</v>
      </c>
      <c r="W180" s="8">
        <f>VLOOKUP($B180,floorspace!$B$4:$O$12,'shell factors calc'!W$2+1,FALSE)</f>
        <v>999.54614300000003</v>
      </c>
      <c r="X180" s="8">
        <f>VLOOKUP($B180,floorspace!$B$4:$O$12,'shell factors calc'!X$2+1,FALSE)</f>
        <v>1249.8131100000001</v>
      </c>
      <c r="Y180" s="8">
        <f>VLOOKUP($B180,floorspace!$B$4:$O$12,'shell factors calc'!Y$2+1,FALSE)</f>
        <v>265.97723400000001</v>
      </c>
      <c r="Z180">
        <f t="shared" si="2"/>
        <v>0.62476742552185582</v>
      </c>
    </row>
    <row r="181" spans="1:26" x14ac:dyDescent="0.2">
      <c r="A181" s="5" t="s">
        <v>45</v>
      </c>
      <c r="B181" s="5" t="s">
        <v>41</v>
      </c>
      <c r="C181" s="6" t="s">
        <v>23</v>
      </c>
      <c r="D181" s="7">
        <v>0.62420200000000003</v>
      </c>
      <c r="E181">
        <v>0.63110200000000005</v>
      </c>
      <c r="F181">
        <v>0.73350000000000004</v>
      </c>
      <c r="G181">
        <v>0.53134300000000001</v>
      </c>
      <c r="H181">
        <v>0.710731</v>
      </c>
      <c r="I181">
        <v>0.49752800000000003</v>
      </c>
      <c r="J181">
        <v>0.69569099999999995</v>
      </c>
      <c r="K181">
        <v>0.66675600000000002</v>
      </c>
      <c r="L181">
        <v>0.495558</v>
      </c>
      <c r="M181">
        <v>0.70269999999999999</v>
      </c>
      <c r="N181">
        <v>0.65632999999999997</v>
      </c>
      <c r="O181" s="8">
        <f>VLOOKUP($B181,floorspace!$B$4:$O$12,'shell factors calc'!O$2+1,FALSE)</f>
        <v>781.29705799999999</v>
      </c>
      <c r="P181" s="8">
        <f>VLOOKUP($B181,floorspace!$B$4:$O$12,'shell factors calc'!P$2+1,FALSE)</f>
        <v>810.63122599999997</v>
      </c>
      <c r="Q181" s="8">
        <f>VLOOKUP($B181,floorspace!$B$4:$O$12,'shell factors calc'!Q$2+1,FALSE)</f>
        <v>37.654308</v>
      </c>
      <c r="R181" s="8">
        <f>VLOOKUP($B181,floorspace!$B$4:$O$12,'shell factors calc'!R$2+1,FALSE)</f>
        <v>106.849113</v>
      </c>
      <c r="S181" s="8">
        <f>VLOOKUP($B181,floorspace!$B$4:$O$12,'shell factors calc'!S$2+1,FALSE)</f>
        <v>112.30965399999999</v>
      </c>
      <c r="T181" s="8">
        <f>VLOOKUP($B181,floorspace!$B$4:$O$12,'shell factors calc'!T$2+1,FALSE)</f>
        <v>321.35845899999998</v>
      </c>
      <c r="U181" s="8">
        <f>VLOOKUP($B181,floorspace!$B$4:$O$12,'shell factors calc'!U$2+1,FALSE)</f>
        <v>292.84985399999999</v>
      </c>
      <c r="V181" s="8">
        <f>VLOOKUP($B181,floorspace!$B$4:$O$12,'shell factors calc'!V$2+1,FALSE)</f>
        <v>365.47903400000001</v>
      </c>
      <c r="W181" s="8">
        <f>VLOOKUP($B181,floorspace!$B$4:$O$12,'shell factors calc'!W$2+1,FALSE)</f>
        <v>999.54614300000003</v>
      </c>
      <c r="X181" s="8">
        <f>VLOOKUP($B181,floorspace!$B$4:$O$12,'shell factors calc'!X$2+1,FALSE)</f>
        <v>1249.8131100000001</v>
      </c>
      <c r="Y181" s="8">
        <f>VLOOKUP($B181,floorspace!$B$4:$O$12,'shell factors calc'!Y$2+1,FALSE)</f>
        <v>265.97723400000001</v>
      </c>
      <c r="Z181">
        <f t="shared" si="2"/>
        <v>0.62108677048224215</v>
      </c>
    </row>
    <row r="182" spans="1:26" x14ac:dyDescent="0.2">
      <c r="A182" s="5" t="s">
        <v>45</v>
      </c>
      <c r="B182" s="5" t="s">
        <v>41</v>
      </c>
      <c r="C182" s="6" t="s">
        <v>24</v>
      </c>
      <c r="D182" s="7">
        <v>0.61843800000000004</v>
      </c>
      <c r="E182">
        <v>0.625386</v>
      </c>
      <c r="F182">
        <v>0.729016</v>
      </c>
      <c r="G182">
        <v>0.52448700000000004</v>
      </c>
      <c r="H182">
        <v>0.70563799999999999</v>
      </c>
      <c r="I182">
        <v>0.48871999999999999</v>
      </c>
      <c r="J182">
        <v>0.69053600000000004</v>
      </c>
      <c r="K182">
        <v>0.66173899999999997</v>
      </c>
      <c r="L182">
        <v>0.48766999999999999</v>
      </c>
      <c r="M182">
        <v>0.70821699999999999</v>
      </c>
      <c r="N182">
        <v>0.65059400000000001</v>
      </c>
      <c r="O182" s="8">
        <f>VLOOKUP($B182,floorspace!$B$4:$O$12,'shell factors calc'!O$2+1,FALSE)</f>
        <v>781.29705799999999</v>
      </c>
      <c r="P182" s="8">
        <f>VLOOKUP($B182,floorspace!$B$4:$O$12,'shell factors calc'!P$2+1,FALSE)</f>
        <v>810.63122599999997</v>
      </c>
      <c r="Q182" s="8">
        <f>VLOOKUP($B182,floorspace!$B$4:$O$12,'shell factors calc'!Q$2+1,FALSE)</f>
        <v>37.654308</v>
      </c>
      <c r="R182" s="8">
        <f>VLOOKUP($B182,floorspace!$B$4:$O$12,'shell factors calc'!R$2+1,FALSE)</f>
        <v>106.849113</v>
      </c>
      <c r="S182" s="8">
        <f>VLOOKUP($B182,floorspace!$B$4:$O$12,'shell factors calc'!S$2+1,FALSE)</f>
        <v>112.30965399999999</v>
      </c>
      <c r="T182" s="8">
        <f>VLOOKUP($B182,floorspace!$B$4:$O$12,'shell factors calc'!T$2+1,FALSE)</f>
        <v>321.35845899999998</v>
      </c>
      <c r="U182" s="8">
        <f>VLOOKUP($B182,floorspace!$B$4:$O$12,'shell factors calc'!U$2+1,FALSE)</f>
        <v>292.84985399999999</v>
      </c>
      <c r="V182" s="8">
        <f>VLOOKUP($B182,floorspace!$B$4:$O$12,'shell factors calc'!V$2+1,FALSE)</f>
        <v>365.47903400000001</v>
      </c>
      <c r="W182" s="8">
        <f>VLOOKUP($B182,floorspace!$B$4:$O$12,'shell factors calc'!W$2+1,FALSE)</f>
        <v>999.54614300000003</v>
      </c>
      <c r="X182" s="8">
        <f>VLOOKUP($B182,floorspace!$B$4:$O$12,'shell factors calc'!X$2+1,FALSE)</f>
        <v>1249.8131100000001</v>
      </c>
      <c r="Y182" s="8">
        <f>VLOOKUP($B182,floorspace!$B$4:$O$12,'shell factors calc'!Y$2+1,FALSE)</f>
        <v>265.97723400000001</v>
      </c>
      <c r="Z182">
        <f t="shared" si="2"/>
        <v>0.61747527611134645</v>
      </c>
    </row>
    <row r="183" spans="1:26" x14ac:dyDescent="0.2">
      <c r="A183" s="5" t="s">
        <v>45</v>
      </c>
      <c r="B183" s="5" t="s">
        <v>41</v>
      </c>
      <c r="C183" s="6" t="s">
        <v>25</v>
      </c>
      <c r="D183" s="7">
        <v>0.61272800000000005</v>
      </c>
      <c r="E183">
        <v>0.61972300000000002</v>
      </c>
      <c r="F183">
        <v>0.72455899999999995</v>
      </c>
      <c r="G183">
        <v>0.51771999999999996</v>
      </c>
      <c r="H183">
        <v>0.70058100000000001</v>
      </c>
      <c r="I183">
        <v>0.48006900000000002</v>
      </c>
      <c r="J183">
        <v>0.685419</v>
      </c>
      <c r="K183">
        <v>0.65676100000000004</v>
      </c>
      <c r="L183">
        <v>0.479908</v>
      </c>
      <c r="M183">
        <v>0.71377599999999997</v>
      </c>
      <c r="N183">
        <v>0.64490700000000001</v>
      </c>
      <c r="O183" s="8">
        <f>VLOOKUP($B183,floorspace!$B$4:$O$12,'shell factors calc'!O$2+1,FALSE)</f>
        <v>781.29705799999999</v>
      </c>
      <c r="P183" s="8">
        <f>VLOOKUP($B183,floorspace!$B$4:$O$12,'shell factors calc'!P$2+1,FALSE)</f>
        <v>810.63122599999997</v>
      </c>
      <c r="Q183" s="8">
        <f>VLOOKUP($B183,floorspace!$B$4:$O$12,'shell factors calc'!Q$2+1,FALSE)</f>
        <v>37.654308</v>
      </c>
      <c r="R183" s="8">
        <f>VLOOKUP($B183,floorspace!$B$4:$O$12,'shell factors calc'!R$2+1,FALSE)</f>
        <v>106.849113</v>
      </c>
      <c r="S183" s="8">
        <f>VLOOKUP($B183,floorspace!$B$4:$O$12,'shell factors calc'!S$2+1,FALSE)</f>
        <v>112.30965399999999</v>
      </c>
      <c r="T183" s="8">
        <f>VLOOKUP($B183,floorspace!$B$4:$O$12,'shell factors calc'!T$2+1,FALSE)</f>
        <v>321.35845899999998</v>
      </c>
      <c r="U183" s="8">
        <f>VLOOKUP($B183,floorspace!$B$4:$O$12,'shell factors calc'!U$2+1,FALSE)</f>
        <v>292.84985399999999</v>
      </c>
      <c r="V183" s="8">
        <f>VLOOKUP($B183,floorspace!$B$4:$O$12,'shell factors calc'!V$2+1,FALSE)</f>
        <v>365.47903400000001</v>
      </c>
      <c r="W183" s="8">
        <f>VLOOKUP($B183,floorspace!$B$4:$O$12,'shell factors calc'!W$2+1,FALSE)</f>
        <v>999.54614300000003</v>
      </c>
      <c r="X183" s="8">
        <f>VLOOKUP($B183,floorspace!$B$4:$O$12,'shell factors calc'!X$2+1,FALSE)</f>
        <v>1249.8131100000001</v>
      </c>
      <c r="Y183" s="8">
        <f>VLOOKUP($B183,floorspace!$B$4:$O$12,'shell factors calc'!Y$2+1,FALSE)</f>
        <v>265.97723400000001</v>
      </c>
      <c r="Z183">
        <f t="shared" si="2"/>
        <v>0.61393246477043351</v>
      </c>
    </row>
    <row r="184" spans="1:26" x14ac:dyDescent="0.2">
      <c r="A184" s="5" t="s">
        <v>45</v>
      </c>
      <c r="B184" s="5" t="s">
        <v>41</v>
      </c>
      <c r="C184" s="6" t="s">
        <v>26</v>
      </c>
      <c r="D184" s="7">
        <v>0.60707</v>
      </c>
      <c r="E184">
        <v>0.61411000000000004</v>
      </c>
      <c r="F184">
        <v>0.72013000000000005</v>
      </c>
      <c r="G184">
        <v>0.51104000000000005</v>
      </c>
      <c r="H184">
        <v>0.69555999999999996</v>
      </c>
      <c r="I184">
        <v>0.47156999999999999</v>
      </c>
      <c r="J184">
        <v>0.68033999999999994</v>
      </c>
      <c r="K184">
        <v>0.65181999999999995</v>
      </c>
      <c r="L184">
        <v>0.47227000000000002</v>
      </c>
      <c r="M184">
        <v>0.71938000000000002</v>
      </c>
      <c r="N184">
        <v>0.63927</v>
      </c>
      <c r="O184" s="8">
        <f>VLOOKUP($B184,floorspace!$B$4:$O$12,'shell factors calc'!O$2+1,FALSE)</f>
        <v>781.29705799999999</v>
      </c>
      <c r="P184" s="8">
        <f>VLOOKUP($B184,floorspace!$B$4:$O$12,'shell factors calc'!P$2+1,FALSE)</f>
        <v>810.63122599999997</v>
      </c>
      <c r="Q184" s="8">
        <f>VLOOKUP($B184,floorspace!$B$4:$O$12,'shell factors calc'!Q$2+1,FALSE)</f>
        <v>37.654308</v>
      </c>
      <c r="R184" s="8">
        <f>VLOOKUP($B184,floorspace!$B$4:$O$12,'shell factors calc'!R$2+1,FALSE)</f>
        <v>106.849113</v>
      </c>
      <c r="S184" s="8">
        <f>VLOOKUP($B184,floorspace!$B$4:$O$12,'shell factors calc'!S$2+1,FALSE)</f>
        <v>112.30965399999999</v>
      </c>
      <c r="T184" s="8">
        <f>VLOOKUP($B184,floorspace!$B$4:$O$12,'shell factors calc'!T$2+1,FALSE)</f>
        <v>321.35845899999998</v>
      </c>
      <c r="U184" s="8">
        <f>VLOOKUP($B184,floorspace!$B$4:$O$12,'shell factors calc'!U$2+1,FALSE)</f>
        <v>292.84985399999999</v>
      </c>
      <c r="V184" s="8">
        <f>VLOOKUP($B184,floorspace!$B$4:$O$12,'shell factors calc'!V$2+1,FALSE)</f>
        <v>365.47903400000001</v>
      </c>
      <c r="W184" s="8">
        <f>VLOOKUP($B184,floorspace!$B$4:$O$12,'shell factors calc'!W$2+1,FALSE)</f>
        <v>999.54614300000003</v>
      </c>
      <c r="X184" s="8">
        <f>VLOOKUP($B184,floorspace!$B$4:$O$12,'shell factors calc'!X$2+1,FALSE)</f>
        <v>1249.8131100000001</v>
      </c>
      <c r="Y184" s="8">
        <f>VLOOKUP($B184,floorspace!$B$4:$O$12,'shell factors calc'!Y$2+1,FALSE)</f>
        <v>265.97723400000001</v>
      </c>
      <c r="Z184">
        <f t="shared" si="2"/>
        <v>0.6104574958616038</v>
      </c>
    </row>
    <row r="185" spans="1:26" x14ac:dyDescent="0.2">
      <c r="A185" s="5" t="s">
        <v>45</v>
      </c>
      <c r="B185" s="5" t="s">
        <v>41</v>
      </c>
      <c r="C185" s="6" t="s">
        <v>27</v>
      </c>
      <c r="D185" s="7">
        <v>0.60092699999999999</v>
      </c>
      <c r="E185">
        <v>0.60802599999999996</v>
      </c>
      <c r="F185">
        <v>0.71572899999999995</v>
      </c>
      <c r="G185">
        <v>0.50350600000000001</v>
      </c>
      <c r="H185">
        <v>0.690218</v>
      </c>
      <c r="I185">
        <v>0.46147500000000002</v>
      </c>
      <c r="J185">
        <v>0.67492399999999997</v>
      </c>
      <c r="K185">
        <v>0.64654400000000001</v>
      </c>
      <c r="L185">
        <v>0.46337499999999998</v>
      </c>
      <c r="M185">
        <v>0.72458999999999996</v>
      </c>
      <c r="N185">
        <v>0.63317800000000002</v>
      </c>
      <c r="O185" s="8">
        <f>VLOOKUP($B185,floorspace!$B$4:$O$12,'shell factors calc'!O$2+1,FALSE)</f>
        <v>781.29705799999999</v>
      </c>
      <c r="P185" s="8">
        <f>VLOOKUP($B185,floorspace!$B$4:$O$12,'shell factors calc'!P$2+1,FALSE)</f>
        <v>810.63122599999997</v>
      </c>
      <c r="Q185" s="8">
        <f>VLOOKUP($B185,floorspace!$B$4:$O$12,'shell factors calc'!Q$2+1,FALSE)</f>
        <v>37.654308</v>
      </c>
      <c r="R185" s="8">
        <f>VLOOKUP($B185,floorspace!$B$4:$O$12,'shell factors calc'!R$2+1,FALSE)</f>
        <v>106.849113</v>
      </c>
      <c r="S185" s="8">
        <f>VLOOKUP($B185,floorspace!$B$4:$O$12,'shell factors calc'!S$2+1,FALSE)</f>
        <v>112.30965399999999</v>
      </c>
      <c r="T185" s="8">
        <f>VLOOKUP($B185,floorspace!$B$4:$O$12,'shell factors calc'!T$2+1,FALSE)</f>
        <v>321.35845899999998</v>
      </c>
      <c r="U185" s="8">
        <f>VLOOKUP($B185,floorspace!$B$4:$O$12,'shell factors calc'!U$2+1,FALSE)</f>
        <v>292.84985399999999</v>
      </c>
      <c r="V185" s="8">
        <f>VLOOKUP($B185,floorspace!$B$4:$O$12,'shell factors calc'!V$2+1,FALSE)</f>
        <v>365.47903400000001</v>
      </c>
      <c r="W185" s="8">
        <f>VLOOKUP($B185,floorspace!$B$4:$O$12,'shell factors calc'!W$2+1,FALSE)</f>
        <v>999.54614300000003</v>
      </c>
      <c r="X185" s="8">
        <f>VLOOKUP($B185,floorspace!$B$4:$O$12,'shell factors calc'!X$2+1,FALSE)</f>
        <v>1249.8131100000001</v>
      </c>
      <c r="Y185" s="8">
        <f>VLOOKUP($B185,floorspace!$B$4:$O$12,'shell factors calc'!Y$2+1,FALSE)</f>
        <v>265.97723400000001</v>
      </c>
      <c r="Z185">
        <f t="shared" si="2"/>
        <v>0.60632926619717931</v>
      </c>
    </row>
    <row r="186" spans="1:26" x14ac:dyDescent="0.2">
      <c r="A186" s="5" t="s">
        <v>45</v>
      </c>
      <c r="B186" s="5" t="s">
        <v>41</v>
      </c>
      <c r="C186" s="6" t="s">
        <v>28</v>
      </c>
      <c r="D186" s="7">
        <v>0.59484499999999996</v>
      </c>
      <c r="E186">
        <v>0.60200200000000004</v>
      </c>
      <c r="F186">
        <v>0.71135499999999996</v>
      </c>
      <c r="G186">
        <v>0.49608400000000002</v>
      </c>
      <c r="H186">
        <v>0.684917</v>
      </c>
      <c r="I186">
        <v>0.451596</v>
      </c>
      <c r="J186">
        <v>0.66955100000000001</v>
      </c>
      <c r="K186">
        <v>0.64131099999999996</v>
      </c>
      <c r="L186">
        <v>0.45464700000000002</v>
      </c>
      <c r="M186">
        <v>0.72983799999999999</v>
      </c>
      <c r="N186">
        <v>0.62714499999999995</v>
      </c>
      <c r="O186" s="8">
        <f>VLOOKUP($B186,floorspace!$B$4:$O$12,'shell factors calc'!O$2+1,FALSE)</f>
        <v>781.29705799999999</v>
      </c>
      <c r="P186" s="8">
        <f>VLOOKUP($B186,floorspace!$B$4:$O$12,'shell factors calc'!P$2+1,FALSE)</f>
        <v>810.63122599999997</v>
      </c>
      <c r="Q186" s="8">
        <f>VLOOKUP($B186,floorspace!$B$4:$O$12,'shell factors calc'!Q$2+1,FALSE)</f>
        <v>37.654308</v>
      </c>
      <c r="R186" s="8">
        <f>VLOOKUP($B186,floorspace!$B$4:$O$12,'shell factors calc'!R$2+1,FALSE)</f>
        <v>106.849113</v>
      </c>
      <c r="S186" s="8">
        <f>VLOOKUP($B186,floorspace!$B$4:$O$12,'shell factors calc'!S$2+1,FALSE)</f>
        <v>112.30965399999999</v>
      </c>
      <c r="T186" s="8">
        <f>VLOOKUP($B186,floorspace!$B$4:$O$12,'shell factors calc'!T$2+1,FALSE)</f>
        <v>321.35845899999998</v>
      </c>
      <c r="U186" s="8">
        <f>VLOOKUP($B186,floorspace!$B$4:$O$12,'shell factors calc'!U$2+1,FALSE)</f>
        <v>292.84985399999999</v>
      </c>
      <c r="V186" s="8">
        <f>VLOOKUP($B186,floorspace!$B$4:$O$12,'shell factors calc'!V$2+1,FALSE)</f>
        <v>365.47903400000001</v>
      </c>
      <c r="W186" s="8">
        <f>VLOOKUP($B186,floorspace!$B$4:$O$12,'shell factors calc'!W$2+1,FALSE)</f>
        <v>999.54614300000003</v>
      </c>
      <c r="X186" s="8">
        <f>VLOOKUP($B186,floorspace!$B$4:$O$12,'shell factors calc'!X$2+1,FALSE)</f>
        <v>1249.8131100000001</v>
      </c>
      <c r="Y186" s="8">
        <f>VLOOKUP($B186,floorspace!$B$4:$O$12,'shell factors calc'!Y$2+1,FALSE)</f>
        <v>265.97723400000001</v>
      </c>
      <c r="Z186">
        <f t="shared" si="2"/>
        <v>0.60228369674912385</v>
      </c>
    </row>
    <row r="187" spans="1:26" x14ac:dyDescent="0.2">
      <c r="A187" s="5" t="s">
        <v>45</v>
      </c>
      <c r="B187" s="5" t="s">
        <v>41</v>
      </c>
      <c r="C187" s="6" t="s">
        <v>29</v>
      </c>
      <c r="D187" s="7">
        <v>0.58882599999999996</v>
      </c>
      <c r="E187">
        <v>0.59603799999999996</v>
      </c>
      <c r="F187">
        <v>0.70700700000000005</v>
      </c>
      <c r="G187">
        <v>0.48877100000000001</v>
      </c>
      <c r="H187">
        <v>0.67965699999999996</v>
      </c>
      <c r="I187">
        <v>0.44192900000000002</v>
      </c>
      <c r="J187">
        <v>0.66422099999999995</v>
      </c>
      <c r="K187">
        <v>0.63612000000000002</v>
      </c>
      <c r="L187">
        <v>0.44608399999999998</v>
      </c>
      <c r="M187">
        <v>0.73512299999999997</v>
      </c>
      <c r="N187">
        <v>0.62116899999999997</v>
      </c>
      <c r="O187" s="8">
        <f>VLOOKUP($B187,floorspace!$B$4:$O$12,'shell factors calc'!O$2+1,FALSE)</f>
        <v>781.29705799999999</v>
      </c>
      <c r="P187" s="8">
        <f>VLOOKUP($B187,floorspace!$B$4:$O$12,'shell factors calc'!P$2+1,FALSE)</f>
        <v>810.63122599999997</v>
      </c>
      <c r="Q187" s="8">
        <f>VLOOKUP($B187,floorspace!$B$4:$O$12,'shell factors calc'!Q$2+1,FALSE)</f>
        <v>37.654308</v>
      </c>
      <c r="R187" s="8">
        <f>VLOOKUP($B187,floorspace!$B$4:$O$12,'shell factors calc'!R$2+1,FALSE)</f>
        <v>106.849113</v>
      </c>
      <c r="S187" s="8">
        <f>VLOOKUP($B187,floorspace!$B$4:$O$12,'shell factors calc'!S$2+1,FALSE)</f>
        <v>112.30965399999999</v>
      </c>
      <c r="T187" s="8">
        <f>VLOOKUP($B187,floorspace!$B$4:$O$12,'shell factors calc'!T$2+1,FALSE)</f>
        <v>321.35845899999998</v>
      </c>
      <c r="U187" s="8">
        <f>VLOOKUP($B187,floorspace!$B$4:$O$12,'shell factors calc'!U$2+1,FALSE)</f>
        <v>292.84985399999999</v>
      </c>
      <c r="V187" s="8">
        <f>VLOOKUP($B187,floorspace!$B$4:$O$12,'shell factors calc'!V$2+1,FALSE)</f>
        <v>365.47903400000001</v>
      </c>
      <c r="W187" s="8">
        <f>VLOOKUP($B187,floorspace!$B$4:$O$12,'shell factors calc'!W$2+1,FALSE)</f>
        <v>999.54614300000003</v>
      </c>
      <c r="X187" s="8">
        <f>VLOOKUP($B187,floorspace!$B$4:$O$12,'shell factors calc'!X$2+1,FALSE)</f>
        <v>1249.8131100000001</v>
      </c>
      <c r="Y187" s="8">
        <f>VLOOKUP($B187,floorspace!$B$4:$O$12,'shell factors calc'!Y$2+1,FALSE)</f>
        <v>265.97723400000001</v>
      </c>
      <c r="Z187">
        <f t="shared" si="2"/>
        <v>0.5983199964309821</v>
      </c>
    </row>
    <row r="188" spans="1:26" x14ac:dyDescent="0.2">
      <c r="A188" s="5" t="s">
        <v>45</v>
      </c>
      <c r="B188" s="5" t="s">
        <v>41</v>
      </c>
      <c r="C188" s="6" t="s">
        <v>30</v>
      </c>
      <c r="D188" s="7">
        <v>0.58286700000000002</v>
      </c>
      <c r="E188">
        <v>0.59013199999999999</v>
      </c>
      <c r="F188">
        <v>0.70268600000000003</v>
      </c>
      <c r="G188">
        <v>0.48156500000000002</v>
      </c>
      <c r="H188">
        <v>0.67443699999999995</v>
      </c>
      <c r="I188">
        <v>0.43246800000000002</v>
      </c>
      <c r="J188">
        <v>0.65893299999999999</v>
      </c>
      <c r="K188">
        <v>0.63097099999999995</v>
      </c>
      <c r="L188">
        <v>0.43768200000000002</v>
      </c>
      <c r="M188">
        <v>0.74044699999999997</v>
      </c>
      <c r="N188">
        <v>0.61524900000000005</v>
      </c>
      <c r="O188" s="8">
        <f>VLOOKUP($B188,floorspace!$B$4:$O$12,'shell factors calc'!O$2+1,FALSE)</f>
        <v>781.29705799999999</v>
      </c>
      <c r="P188" s="8">
        <f>VLOOKUP($B188,floorspace!$B$4:$O$12,'shell factors calc'!P$2+1,FALSE)</f>
        <v>810.63122599999997</v>
      </c>
      <c r="Q188" s="8">
        <f>VLOOKUP($B188,floorspace!$B$4:$O$12,'shell factors calc'!Q$2+1,FALSE)</f>
        <v>37.654308</v>
      </c>
      <c r="R188" s="8">
        <f>VLOOKUP($B188,floorspace!$B$4:$O$12,'shell factors calc'!R$2+1,FALSE)</f>
        <v>106.849113</v>
      </c>
      <c r="S188" s="8">
        <f>VLOOKUP($B188,floorspace!$B$4:$O$12,'shell factors calc'!S$2+1,FALSE)</f>
        <v>112.30965399999999</v>
      </c>
      <c r="T188" s="8">
        <f>VLOOKUP($B188,floorspace!$B$4:$O$12,'shell factors calc'!T$2+1,FALSE)</f>
        <v>321.35845899999998</v>
      </c>
      <c r="U188" s="8">
        <f>VLOOKUP($B188,floorspace!$B$4:$O$12,'shell factors calc'!U$2+1,FALSE)</f>
        <v>292.84985399999999</v>
      </c>
      <c r="V188" s="8">
        <f>VLOOKUP($B188,floorspace!$B$4:$O$12,'shell factors calc'!V$2+1,FALSE)</f>
        <v>365.47903400000001</v>
      </c>
      <c r="W188" s="8">
        <f>VLOOKUP($B188,floorspace!$B$4:$O$12,'shell factors calc'!W$2+1,FALSE)</f>
        <v>999.54614300000003</v>
      </c>
      <c r="X188" s="8">
        <f>VLOOKUP($B188,floorspace!$B$4:$O$12,'shell factors calc'!X$2+1,FALSE)</f>
        <v>1249.8131100000001</v>
      </c>
      <c r="Y188" s="8">
        <f>VLOOKUP($B188,floorspace!$B$4:$O$12,'shell factors calc'!Y$2+1,FALSE)</f>
        <v>265.97723400000001</v>
      </c>
      <c r="Z188">
        <f t="shared" si="2"/>
        <v>0.59443662343784787</v>
      </c>
    </row>
    <row r="189" spans="1:26" x14ac:dyDescent="0.2">
      <c r="A189" s="5" t="s">
        <v>45</v>
      </c>
      <c r="B189" s="5" t="s">
        <v>41</v>
      </c>
      <c r="C189" s="6" t="s">
        <v>31</v>
      </c>
      <c r="D189" s="7">
        <v>0.57696899999999995</v>
      </c>
      <c r="E189">
        <v>0.58428599999999997</v>
      </c>
      <c r="F189">
        <v>0.69839200000000001</v>
      </c>
      <c r="G189">
        <v>0.474466</v>
      </c>
      <c r="H189">
        <v>0.66925800000000002</v>
      </c>
      <c r="I189">
        <v>0.42320999999999998</v>
      </c>
      <c r="J189">
        <v>0.65368800000000005</v>
      </c>
      <c r="K189">
        <v>0.62586299999999995</v>
      </c>
      <c r="L189">
        <v>0.42943799999999999</v>
      </c>
      <c r="M189">
        <v>0.74580999999999997</v>
      </c>
      <c r="N189">
        <v>0.60938700000000001</v>
      </c>
      <c r="O189" s="8">
        <f>VLOOKUP($B189,floorspace!$B$4:$O$12,'shell factors calc'!O$2+1,FALSE)</f>
        <v>781.29705799999999</v>
      </c>
      <c r="P189" s="8">
        <f>VLOOKUP($B189,floorspace!$B$4:$O$12,'shell factors calc'!P$2+1,FALSE)</f>
        <v>810.63122599999997</v>
      </c>
      <c r="Q189" s="8">
        <f>VLOOKUP($B189,floorspace!$B$4:$O$12,'shell factors calc'!Q$2+1,FALSE)</f>
        <v>37.654308</v>
      </c>
      <c r="R189" s="8">
        <f>VLOOKUP($B189,floorspace!$B$4:$O$12,'shell factors calc'!R$2+1,FALSE)</f>
        <v>106.849113</v>
      </c>
      <c r="S189" s="8">
        <f>VLOOKUP($B189,floorspace!$B$4:$O$12,'shell factors calc'!S$2+1,FALSE)</f>
        <v>112.30965399999999</v>
      </c>
      <c r="T189" s="8">
        <f>VLOOKUP($B189,floorspace!$B$4:$O$12,'shell factors calc'!T$2+1,FALSE)</f>
        <v>321.35845899999998</v>
      </c>
      <c r="U189" s="8">
        <f>VLOOKUP($B189,floorspace!$B$4:$O$12,'shell factors calc'!U$2+1,FALSE)</f>
        <v>292.84985399999999</v>
      </c>
      <c r="V189" s="8">
        <f>VLOOKUP($B189,floorspace!$B$4:$O$12,'shell factors calc'!V$2+1,FALSE)</f>
        <v>365.47903400000001</v>
      </c>
      <c r="W189" s="8">
        <f>VLOOKUP($B189,floorspace!$B$4:$O$12,'shell factors calc'!W$2+1,FALSE)</f>
        <v>999.54614300000003</v>
      </c>
      <c r="X189" s="8">
        <f>VLOOKUP($B189,floorspace!$B$4:$O$12,'shell factors calc'!X$2+1,FALSE)</f>
        <v>1249.8131100000001</v>
      </c>
      <c r="Y189" s="8">
        <f>VLOOKUP($B189,floorspace!$B$4:$O$12,'shell factors calc'!Y$2+1,FALSE)</f>
        <v>265.97723400000001</v>
      </c>
      <c r="Z189">
        <f t="shared" si="2"/>
        <v>0.59063339278416904</v>
      </c>
    </row>
    <row r="190" spans="1:26" x14ac:dyDescent="0.2">
      <c r="A190" s="5" t="s">
        <v>45</v>
      </c>
      <c r="B190" s="5" t="s">
        <v>41</v>
      </c>
      <c r="C190" s="6" t="s">
        <v>32</v>
      </c>
      <c r="D190" s="7">
        <v>0.57113000000000003</v>
      </c>
      <c r="E190">
        <v>0.57849700000000004</v>
      </c>
      <c r="F190">
        <v>0.69412399999999996</v>
      </c>
      <c r="G190">
        <v>0.467472</v>
      </c>
      <c r="H190">
        <v>0.66411799999999999</v>
      </c>
      <c r="I190">
        <v>0.41415099999999999</v>
      </c>
      <c r="J190">
        <v>0.64848399999999995</v>
      </c>
      <c r="K190">
        <v>0.62079700000000004</v>
      </c>
      <c r="L190">
        <v>0.42134899999999997</v>
      </c>
      <c r="M190">
        <v>0.75121099999999996</v>
      </c>
      <c r="N190">
        <v>0.60358000000000001</v>
      </c>
      <c r="O190" s="8">
        <f>VLOOKUP($B190,floorspace!$B$4:$O$12,'shell factors calc'!O$2+1,FALSE)</f>
        <v>781.29705799999999</v>
      </c>
      <c r="P190" s="8">
        <f>VLOOKUP($B190,floorspace!$B$4:$O$12,'shell factors calc'!P$2+1,FALSE)</f>
        <v>810.63122599999997</v>
      </c>
      <c r="Q190" s="8">
        <f>VLOOKUP($B190,floorspace!$B$4:$O$12,'shell factors calc'!Q$2+1,FALSE)</f>
        <v>37.654308</v>
      </c>
      <c r="R190" s="8">
        <f>VLOOKUP($B190,floorspace!$B$4:$O$12,'shell factors calc'!R$2+1,FALSE)</f>
        <v>106.849113</v>
      </c>
      <c r="S190" s="8">
        <f>VLOOKUP($B190,floorspace!$B$4:$O$12,'shell factors calc'!S$2+1,FALSE)</f>
        <v>112.30965399999999</v>
      </c>
      <c r="T190" s="8">
        <f>VLOOKUP($B190,floorspace!$B$4:$O$12,'shell factors calc'!T$2+1,FALSE)</f>
        <v>321.35845899999998</v>
      </c>
      <c r="U190" s="8">
        <f>VLOOKUP($B190,floorspace!$B$4:$O$12,'shell factors calc'!U$2+1,FALSE)</f>
        <v>292.84985399999999</v>
      </c>
      <c r="V190" s="8">
        <f>VLOOKUP($B190,floorspace!$B$4:$O$12,'shell factors calc'!V$2+1,FALSE)</f>
        <v>365.47903400000001</v>
      </c>
      <c r="W190" s="8">
        <f>VLOOKUP($B190,floorspace!$B$4:$O$12,'shell factors calc'!W$2+1,FALSE)</f>
        <v>999.54614300000003</v>
      </c>
      <c r="X190" s="8">
        <f>VLOOKUP($B190,floorspace!$B$4:$O$12,'shell factors calc'!X$2+1,FALSE)</f>
        <v>1249.8131100000001</v>
      </c>
      <c r="Y190" s="8">
        <f>VLOOKUP($B190,floorspace!$B$4:$O$12,'shell factors calc'!Y$2+1,FALSE)</f>
        <v>265.97723400000001</v>
      </c>
      <c r="Z190">
        <f t="shared" si="2"/>
        <v>0.5869082417862409</v>
      </c>
    </row>
    <row r="191" spans="1:26" x14ac:dyDescent="0.2">
      <c r="A191" s="5" t="s">
        <v>45</v>
      </c>
      <c r="B191" s="5" t="s">
        <v>41</v>
      </c>
      <c r="C191" s="6" t="s">
        <v>33</v>
      </c>
      <c r="D191" s="7">
        <v>0.56535000000000002</v>
      </c>
      <c r="E191">
        <v>0.572766</v>
      </c>
      <c r="F191">
        <v>0.689882</v>
      </c>
      <c r="G191">
        <v>0.46057999999999999</v>
      </c>
      <c r="H191">
        <v>0.65901699999999996</v>
      </c>
      <c r="I191">
        <v>0.40528500000000001</v>
      </c>
      <c r="J191">
        <v>0.64332199999999995</v>
      </c>
      <c r="K191">
        <v>0.61577199999999999</v>
      </c>
      <c r="L191">
        <v>0.41341299999999997</v>
      </c>
      <c r="M191">
        <v>0.75665099999999996</v>
      </c>
      <c r="N191">
        <v>0.59782800000000003</v>
      </c>
      <c r="O191" s="8">
        <f>VLOOKUP($B191,floorspace!$B$4:$O$12,'shell factors calc'!O$2+1,FALSE)</f>
        <v>781.29705799999999</v>
      </c>
      <c r="P191" s="8">
        <f>VLOOKUP($B191,floorspace!$B$4:$O$12,'shell factors calc'!P$2+1,FALSE)</f>
        <v>810.63122599999997</v>
      </c>
      <c r="Q191" s="8">
        <f>VLOOKUP($B191,floorspace!$B$4:$O$12,'shell factors calc'!Q$2+1,FALSE)</f>
        <v>37.654308</v>
      </c>
      <c r="R191" s="8">
        <f>VLOOKUP($B191,floorspace!$B$4:$O$12,'shell factors calc'!R$2+1,FALSE)</f>
        <v>106.849113</v>
      </c>
      <c r="S191" s="8">
        <f>VLOOKUP($B191,floorspace!$B$4:$O$12,'shell factors calc'!S$2+1,FALSE)</f>
        <v>112.30965399999999</v>
      </c>
      <c r="T191" s="8">
        <f>VLOOKUP($B191,floorspace!$B$4:$O$12,'shell factors calc'!T$2+1,FALSE)</f>
        <v>321.35845899999998</v>
      </c>
      <c r="U191" s="8">
        <f>VLOOKUP($B191,floorspace!$B$4:$O$12,'shell factors calc'!U$2+1,FALSE)</f>
        <v>292.84985399999999</v>
      </c>
      <c r="V191" s="8">
        <f>VLOOKUP($B191,floorspace!$B$4:$O$12,'shell factors calc'!V$2+1,FALSE)</f>
        <v>365.47903400000001</v>
      </c>
      <c r="W191" s="8">
        <f>VLOOKUP($B191,floorspace!$B$4:$O$12,'shell factors calc'!W$2+1,FALSE)</f>
        <v>999.54614300000003</v>
      </c>
      <c r="X191" s="8">
        <f>VLOOKUP($B191,floorspace!$B$4:$O$12,'shell factors calc'!X$2+1,FALSE)</f>
        <v>1249.8131100000001</v>
      </c>
      <c r="Y191" s="8">
        <f>VLOOKUP($B191,floorspace!$B$4:$O$12,'shell factors calc'!Y$2+1,FALSE)</f>
        <v>265.97723400000001</v>
      </c>
      <c r="Z191">
        <f t="shared" ref="Z191:Z252" si="3">SUMPRODUCT(D191:N191,O191:Y191)/SUM(O191:Y191)</f>
        <v>0.58326074752592572</v>
      </c>
    </row>
    <row r="192" spans="1:26" x14ac:dyDescent="0.2">
      <c r="A192" s="5" t="s">
        <v>45</v>
      </c>
      <c r="B192" s="5" t="s">
        <v>41</v>
      </c>
      <c r="C192" s="6" t="s">
        <v>34</v>
      </c>
      <c r="D192" s="7">
        <v>0.55962900000000004</v>
      </c>
      <c r="E192">
        <v>0.56709100000000001</v>
      </c>
      <c r="F192">
        <v>0.68566499999999997</v>
      </c>
      <c r="G192">
        <v>0.453791</v>
      </c>
      <c r="H192">
        <v>0.65395599999999998</v>
      </c>
      <c r="I192">
        <v>0.39660899999999999</v>
      </c>
      <c r="J192">
        <v>0.63819999999999999</v>
      </c>
      <c r="K192">
        <v>0.610788</v>
      </c>
      <c r="L192">
        <v>0.40562599999999999</v>
      </c>
      <c r="M192">
        <v>0.762131</v>
      </c>
      <c r="N192">
        <v>0.59213099999999996</v>
      </c>
      <c r="O192" s="8">
        <f>VLOOKUP($B192,floorspace!$B$4:$O$12,'shell factors calc'!O$2+1,FALSE)</f>
        <v>781.29705799999999</v>
      </c>
      <c r="P192" s="8">
        <f>VLOOKUP($B192,floorspace!$B$4:$O$12,'shell factors calc'!P$2+1,FALSE)</f>
        <v>810.63122599999997</v>
      </c>
      <c r="Q192" s="8">
        <f>VLOOKUP($B192,floorspace!$B$4:$O$12,'shell factors calc'!Q$2+1,FALSE)</f>
        <v>37.654308</v>
      </c>
      <c r="R192" s="8">
        <f>VLOOKUP($B192,floorspace!$B$4:$O$12,'shell factors calc'!R$2+1,FALSE)</f>
        <v>106.849113</v>
      </c>
      <c r="S192" s="8">
        <f>VLOOKUP($B192,floorspace!$B$4:$O$12,'shell factors calc'!S$2+1,FALSE)</f>
        <v>112.30965399999999</v>
      </c>
      <c r="T192" s="8">
        <f>VLOOKUP($B192,floorspace!$B$4:$O$12,'shell factors calc'!T$2+1,FALSE)</f>
        <v>321.35845899999998</v>
      </c>
      <c r="U192" s="8">
        <f>VLOOKUP($B192,floorspace!$B$4:$O$12,'shell factors calc'!U$2+1,FALSE)</f>
        <v>292.84985399999999</v>
      </c>
      <c r="V192" s="8">
        <f>VLOOKUP($B192,floorspace!$B$4:$O$12,'shell factors calc'!V$2+1,FALSE)</f>
        <v>365.47903400000001</v>
      </c>
      <c r="W192" s="8">
        <f>VLOOKUP($B192,floorspace!$B$4:$O$12,'shell factors calc'!W$2+1,FALSE)</f>
        <v>999.54614300000003</v>
      </c>
      <c r="X192" s="8">
        <f>VLOOKUP($B192,floorspace!$B$4:$O$12,'shell factors calc'!X$2+1,FALSE)</f>
        <v>1249.8131100000001</v>
      </c>
      <c r="Y192" s="8">
        <f>VLOOKUP($B192,floorspace!$B$4:$O$12,'shell factors calc'!Y$2+1,FALSE)</f>
        <v>265.97723400000001</v>
      </c>
      <c r="Z192">
        <f t="shared" si="3"/>
        <v>0.57968983624636228</v>
      </c>
    </row>
    <row r="193" spans="1:26" x14ac:dyDescent="0.2">
      <c r="A193" s="5" t="s">
        <v>45</v>
      </c>
      <c r="B193" s="5" t="s">
        <v>41</v>
      </c>
      <c r="C193" s="6" t="s">
        <v>35</v>
      </c>
      <c r="D193" s="7">
        <v>0.55396599999999996</v>
      </c>
      <c r="E193">
        <v>0.561473</v>
      </c>
      <c r="F193">
        <v>0.68147500000000005</v>
      </c>
      <c r="G193">
        <v>0.44710100000000003</v>
      </c>
      <c r="H193">
        <v>0.64893400000000001</v>
      </c>
      <c r="I193">
        <v>0.38811899999999999</v>
      </c>
      <c r="J193">
        <v>0.63312000000000002</v>
      </c>
      <c r="K193">
        <v>0.60584400000000005</v>
      </c>
      <c r="L193">
        <v>0.39798600000000001</v>
      </c>
      <c r="M193">
        <v>0.76765099999999997</v>
      </c>
      <c r="N193">
        <v>0.58648900000000004</v>
      </c>
      <c r="O193" s="8">
        <f>VLOOKUP($B193,floorspace!$B$4:$O$12,'shell factors calc'!O$2+1,FALSE)</f>
        <v>781.29705799999999</v>
      </c>
      <c r="P193" s="8">
        <f>VLOOKUP($B193,floorspace!$B$4:$O$12,'shell factors calc'!P$2+1,FALSE)</f>
        <v>810.63122599999997</v>
      </c>
      <c r="Q193" s="8">
        <f>VLOOKUP($B193,floorspace!$B$4:$O$12,'shell factors calc'!Q$2+1,FALSE)</f>
        <v>37.654308</v>
      </c>
      <c r="R193" s="8">
        <f>VLOOKUP($B193,floorspace!$B$4:$O$12,'shell factors calc'!R$2+1,FALSE)</f>
        <v>106.849113</v>
      </c>
      <c r="S193" s="8">
        <f>VLOOKUP($B193,floorspace!$B$4:$O$12,'shell factors calc'!S$2+1,FALSE)</f>
        <v>112.30965399999999</v>
      </c>
      <c r="T193" s="8">
        <f>VLOOKUP($B193,floorspace!$B$4:$O$12,'shell factors calc'!T$2+1,FALSE)</f>
        <v>321.35845899999998</v>
      </c>
      <c r="U193" s="8">
        <f>VLOOKUP($B193,floorspace!$B$4:$O$12,'shell factors calc'!U$2+1,FALSE)</f>
        <v>292.84985399999999</v>
      </c>
      <c r="V193" s="8">
        <f>VLOOKUP($B193,floorspace!$B$4:$O$12,'shell factors calc'!V$2+1,FALSE)</f>
        <v>365.47903400000001</v>
      </c>
      <c r="W193" s="8">
        <f>VLOOKUP($B193,floorspace!$B$4:$O$12,'shell factors calc'!W$2+1,FALSE)</f>
        <v>999.54614300000003</v>
      </c>
      <c r="X193" s="8">
        <f>VLOOKUP($B193,floorspace!$B$4:$O$12,'shell factors calc'!X$2+1,FALSE)</f>
        <v>1249.8131100000001</v>
      </c>
      <c r="Y193" s="8">
        <f>VLOOKUP($B193,floorspace!$B$4:$O$12,'shell factors calc'!Y$2+1,FALSE)</f>
        <v>265.97723400000001</v>
      </c>
      <c r="Z193">
        <f t="shared" si="3"/>
        <v>0.57619485309677709</v>
      </c>
    </row>
    <row r="194" spans="1:26" x14ac:dyDescent="0.2">
      <c r="A194" s="5" t="s">
        <v>45</v>
      </c>
      <c r="B194" s="1" t="s">
        <v>41</v>
      </c>
      <c r="C194" s="2" t="s">
        <v>36</v>
      </c>
      <c r="D194" s="4">
        <v>0.54835999999999996</v>
      </c>
      <c r="E194">
        <v>0.55591000000000002</v>
      </c>
      <c r="F194">
        <v>0.67730999999999997</v>
      </c>
      <c r="G194">
        <v>0.44051000000000001</v>
      </c>
      <c r="H194">
        <v>0.64395000000000002</v>
      </c>
      <c r="I194">
        <v>0.37980999999999998</v>
      </c>
      <c r="J194">
        <v>0.62807999999999997</v>
      </c>
      <c r="K194">
        <v>0.60094000000000003</v>
      </c>
      <c r="L194">
        <v>0.39049</v>
      </c>
      <c r="M194">
        <v>0.77320999999999995</v>
      </c>
      <c r="N194">
        <v>0.58089999999999997</v>
      </c>
      <c r="O194" s="8">
        <f>VLOOKUP($B194,floorspace!$B$4:$O$12,'shell factors calc'!O$2+1,FALSE)</f>
        <v>781.29705799999999</v>
      </c>
      <c r="P194" s="8">
        <f>VLOOKUP($B194,floorspace!$B$4:$O$12,'shell factors calc'!P$2+1,FALSE)</f>
        <v>810.63122599999997</v>
      </c>
      <c r="Q194" s="8">
        <f>VLOOKUP($B194,floorspace!$B$4:$O$12,'shell factors calc'!Q$2+1,FALSE)</f>
        <v>37.654308</v>
      </c>
      <c r="R194" s="8">
        <f>VLOOKUP($B194,floorspace!$B$4:$O$12,'shell factors calc'!R$2+1,FALSE)</f>
        <v>106.849113</v>
      </c>
      <c r="S194" s="8">
        <f>VLOOKUP($B194,floorspace!$B$4:$O$12,'shell factors calc'!S$2+1,FALSE)</f>
        <v>112.30965399999999</v>
      </c>
      <c r="T194" s="8">
        <f>VLOOKUP($B194,floorspace!$B$4:$O$12,'shell factors calc'!T$2+1,FALSE)</f>
        <v>321.35845899999998</v>
      </c>
      <c r="U194" s="8">
        <f>VLOOKUP($B194,floorspace!$B$4:$O$12,'shell factors calc'!U$2+1,FALSE)</f>
        <v>292.84985399999999</v>
      </c>
      <c r="V194" s="8">
        <f>VLOOKUP($B194,floorspace!$B$4:$O$12,'shell factors calc'!V$2+1,FALSE)</f>
        <v>365.47903400000001</v>
      </c>
      <c r="W194" s="8">
        <f>VLOOKUP($B194,floorspace!$B$4:$O$12,'shell factors calc'!W$2+1,FALSE)</f>
        <v>999.54614300000003</v>
      </c>
      <c r="X194" s="8">
        <f>VLOOKUP($B194,floorspace!$B$4:$O$12,'shell factors calc'!X$2+1,FALSE)</f>
        <v>1249.8131100000001</v>
      </c>
      <c r="Y194" s="8">
        <f>VLOOKUP($B194,floorspace!$B$4:$O$12,'shell factors calc'!Y$2+1,FALSE)</f>
        <v>265.97723400000001</v>
      </c>
      <c r="Z194">
        <f t="shared" si="3"/>
        <v>0.57277400850082427</v>
      </c>
    </row>
    <row r="195" spans="1:26" x14ac:dyDescent="0.2">
      <c r="A195" s="5" t="s">
        <v>45</v>
      </c>
      <c r="B195" s="5" t="s">
        <v>42</v>
      </c>
      <c r="C195" s="6" t="s">
        <v>5</v>
      </c>
      <c r="D195" s="7">
        <v>0.66028299999999995</v>
      </c>
      <c r="E195">
        <v>0.62179700000000004</v>
      </c>
      <c r="F195">
        <v>0.85685100000000003</v>
      </c>
      <c r="G195">
        <v>0.61012999999999995</v>
      </c>
      <c r="H195">
        <v>0.80636799999999997</v>
      </c>
      <c r="I195">
        <v>0.67572500000000002</v>
      </c>
      <c r="J195">
        <v>0.68956499999999998</v>
      </c>
      <c r="K195">
        <v>0.75591200000000003</v>
      </c>
      <c r="L195">
        <v>0.7923</v>
      </c>
      <c r="M195">
        <v>0.42135699999999998</v>
      </c>
      <c r="N195">
        <v>0.670601</v>
      </c>
      <c r="O195" s="8">
        <f>VLOOKUP($B195,floorspace!$B$4:$O$12,'shell factors calc'!O$2+1,FALSE)</f>
        <v>1465.1141359999999</v>
      </c>
      <c r="P195" s="8">
        <f>VLOOKUP($B195,floorspace!$B$4:$O$12,'shell factors calc'!P$2+1,FALSE)</f>
        <v>1778.1881100000001</v>
      </c>
      <c r="Q195" s="8">
        <f>VLOOKUP($B195,floorspace!$B$4:$O$12,'shell factors calc'!Q$2+1,FALSE)</f>
        <v>124.162651</v>
      </c>
      <c r="R195" s="8">
        <f>VLOOKUP($B195,floorspace!$B$4:$O$12,'shell factors calc'!R$2+1,FALSE)</f>
        <v>190.44966099999999</v>
      </c>
      <c r="S195" s="8">
        <f>VLOOKUP($B195,floorspace!$B$4:$O$12,'shell factors calc'!S$2+1,FALSE)</f>
        <v>228.065933</v>
      </c>
      <c r="T195" s="8">
        <f>VLOOKUP($B195,floorspace!$B$4:$O$12,'shell factors calc'!T$2+1,FALSE)</f>
        <v>751.99401899999998</v>
      </c>
      <c r="U195" s="8">
        <f>VLOOKUP($B195,floorspace!$B$4:$O$12,'shell factors calc'!U$2+1,FALSE)</f>
        <v>984.05578600000001</v>
      </c>
      <c r="V195" s="8">
        <f>VLOOKUP($B195,floorspace!$B$4:$O$12,'shell factors calc'!V$2+1,FALSE)</f>
        <v>1016.462524</v>
      </c>
      <c r="W195" s="8">
        <f>VLOOKUP($B195,floorspace!$B$4:$O$12,'shell factors calc'!W$2+1,FALSE)</f>
        <v>2180.842529</v>
      </c>
      <c r="X195" s="8">
        <f>VLOOKUP($B195,floorspace!$B$4:$O$12,'shell factors calc'!X$2+1,FALSE)</f>
        <v>2050.6289059999999</v>
      </c>
      <c r="Y195" s="8">
        <f>VLOOKUP($B195,floorspace!$B$4:$O$12,'shell factors calc'!Y$2+1,FALSE)</f>
        <v>628.40942399999994</v>
      </c>
      <c r="Z195">
        <f t="shared" si="3"/>
        <v>0.65342332041938944</v>
      </c>
    </row>
    <row r="196" spans="1:26" x14ac:dyDescent="0.2">
      <c r="A196" s="5" t="s">
        <v>45</v>
      </c>
      <c r="B196" s="5" t="s">
        <v>42</v>
      </c>
      <c r="C196" s="6" t="s">
        <v>6</v>
      </c>
      <c r="D196" s="7">
        <v>0.65286</v>
      </c>
      <c r="E196">
        <v>0.61338999999999999</v>
      </c>
      <c r="F196">
        <v>0.84567999999999999</v>
      </c>
      <c r="G196">
        <v>0.60199000000000003</v>
      </c>
      <c r="H196">
        <v>0.80120000000000002</v>
      </c>
      <c r="I196">
        <v>0.66674999999999995</v>
      </c>
      <c r="J196">
        <v>0.68174000000000001</v>
      </c>
      <c r="K196">
        <v>0.75070999999999999</v>
      </c>
      <c r="L196">
        <v>0.78749999999999998</v>
      </c>
      <c r="M196">
        <v>0.45106000000000002</v>
      </c>
      <c r="N196">
        <v>0.66434000000000004</v>
      </c>
      <c r="O196" s="8">
        <f>VLOOKUP($B196,floorspace!$B$4:$O$12,'shell factors calc'!O$2+1,FALSE)</f>
        <v>1465.1141359999999</v>
      </c>
      <c r="P196" s="8">
        <f>VLOOKUP($B196,floorspace!$B$4:$O$12,'shell factors calc'!P$2+1,FALSE)</f>
        <v>1778.1881100000001</v>
      </c>
      <c r="Q196" s="8">
        <f>VLOOKUP($B196,floorspace!$B$4:$O$12,'shell factors calc'!Q$2+1,FALSE)</f>
        <v>124.162651</v>
      </c>
      <c r="R196" s="8">
        <f>VLOOKUP($B196,floorspace!$B$4:$O$12,'shell factors calc'!R$2+1,FALSE)</f>
        <v>190.44966099999999</v>
      </c>
      <c r="S196" s="8">
        <f>VLOOKUP($B196,floorspace!$B$4:$O$12,'shell factors calc'!S$2+1,FALSE)</f>
        <v>228.065933</v>
      </c>
      <c r="T196" s="8">
        <f>VLOOKUP($B196,floorspace!$B$4:$O$12,'shell factors calc'!T$2+1,FALSE)</f>
        <v>751.99401899999998</v>
      </c>
      <c r="U196" s="8">
        <f>VLOOKUP($B196,floorspace!$B$4:$O$12,'shell factors calc'!U$2+1,FALSE)</f>
        <v>984.05578600000001</v>
      </c>
      <c r="V196" s="8">
        <f>VLOOKUP($B196,floorspace!$B$4:$O$12,'shell factors calc'!V$2+1,FALSE)</f>
        <v>1016.462524</v>
      </c>
      <c r="W196" s="8">
        <f>VLOOKUP($B196,floorspace!$B$4:$O$12,'shell factors calc'!W$2+1,FALSE)</f>
        <v>2180.842529</v>
      </c>
      <c r="X196" s="8">
        <f>VLOOKUP($B196,floorspace!$B$4:$O$12,'shell factors calc'!X$2+1,FALSE)</f>
        <v>2050.6289059999999</v>
      </c>
      <c r="Y196" s="8">
        <f>VLOOKUP($B196,floorspace!$B$4:$O$12,'shell factors calc'!Y$2+1,FALSE)</f>
        <v>628.40942399999994</v>
      </c>
      <c r="Z196">
        <f t="shared" si="3"/>
        <v>0.65314517532940075</v>
      </c>
    </row>
    <row r="197" spans="1:26" x14ac:dyDescent="0.2">
      <c r="A197" s="5" t="s">
        <v>45</v>
      </c>
      <c r="B197" s="5" t="s">
        <v>42</v>
      </c>
      <c r="C197" s="6" t="s">
        <v>7</v>
      </c>
      <c r="D197" s="7">
        <v>0.64500999999999997</v>
      </c>
      <c r="E197">
        <v>0.60437300000000005</v>
      </c>
      <c r="F197">
        <v>0.83677199999999996</v>
      </c>
      <c r="G197">
        <v>0.59326999999999996</v>
      </c>
      <c r="H197">
        <v>0.79587300000000005</v>
      </c>
      <c r="I197">
        <v>0.657142</v>
      </c>
      <c r="J197">
        <v>0.67345500000000003</v>
      </c>
      <c r="K197">
        <v>0.74533400000000005</v>
      </c>
      <c r="L197">
        <v>0.78256199999999998</v>
      </c>
      <c r="M197">
        <v>0.47378700000000001</v>
      </c>
      <c r="N197">
        <v>0.65778300000000001</v>
      </c>
      <c r="O197" s="8">
        <f>VLOOKUP($B197,floorspace!$B$4:$O$12,'shell factors calc'!O$2+1,FALSE)</f>
        <v>1465.1141359999999</v>
      </c>
      <c r="P197" s="8">
        <f>VLOOKUP($B197,floorspace!$B$4:$O$12,'shell factors calc'!P$2+1,FALSE)</f>
        <v>1778.1881100000001</v>
      </c>
      <c r="Q197" s="8">
        <f>VLOOKUP($B197,floorspace!$B$4:$O$12,'shell factors calc'!Q$2+1,FALSE)</f>
        <v>124.162651</v>
      </c>
      <c r="R197" s="8">
        <f>VLOOKUP($B197,floorspace!$B$4:$O$12,'shell factors calc'!R$2+1,FALSE)</f>
        <v>190.44966099999999</v>
      </c>
      <c r="S197" s="8">
        <f>VLOOKUP($B197,floorspace!$B$4:$O$12,'shell factors calc'!S$2+1,FALSE)</f>
        <v>228.065933</v>
      </c>
      <c r="T197" s="8">
        <f>VLOOKUP($B197,floorspace!$B$4:$O$12,'shell factors calc'!T$2+1,FALSE)</f>
        <v>751.99401899999998</v>
      </c>
      <c r="U197" s="8">
        <f>VLOOKUP($B197,floorspace!$B$4:$O$12,'shell factors calc'!U$2+1,FALSE)</f>
        <v>984.05578600000001</v>
      </c>
      <c r="V197" s="8">
        <f>VLOOKUP($B197,floorspace!$B$4:$O$12,'shell factors calc'!V$2+1,FALSE)</f>
        <v>1016.462524</v>
      </c>
      <c r="W197" s="8">
        <f>VLOOKUP($B197,floorspace!$B$4:$O$12,'shell factors calc'!W$2+1,FALSE)</f>
        <v>2180.842529</v>
      </c>
      <c r="X197" s="8">
        <f>VLOOKUP($B197,floorspace!$B$4:$O$12,'shell factors calc'!X$2+1,FALSE)</f>
        <v>2050.6289059999999</v>
      </c>
      <c r="Y197" s="8">
        <f>VLOOKUP($B197,floorspace!$B$4:$O$12,'shell factors calc'!Y$2+1,FALSE)</f>
        <v>628.40942399999994</v>
      </c>
      <c r="Z197">
        <f t="shared" si="3"/>
        <v>0.65133402761602854</v>
      </c>
    </row>
    <row r="198" spans="1:26" x14ac:dyDescent="0.2">
      <c r="A198" s="5" t="s">
        <v>45</v>
      </c>
      <c r="B198" s="5" t="s">
        <v>42</v>
      </c>
      <c r="C198" s="6" t="s">
        <v>8</v>
      </c>
      <c r="D198" s="7">
        <v>0.63725399999999999</v>
      </c>
      <c r="E198">
        <v>0.59548900000000005</v>
      </c>
      <c r="F198">
        <v>0.827959</v>
      </c>
      <c r="G198">
        <v>0.58467599999999997</v>
      </c>
      <c r="H198">
        <v>0.79058200000000001</v>
      </c>
      <c r="I198">
        <v>0.64767300000000005</v>
      </c>
      <c r="J198">
        <v>0.66527099999999995</v>
      </c>
      <c r="K198">
        <v>0.73999700000000002</v>
      </c>
      <c r="L198">
        <v>0.77765499999999999</v>
      </c>
      <c r="M198">
        <v>0.49765999999999999</v>
      </c>
      <c r="N198">
        <v>0.65129099999999995</v>
      </c>
      <c r="O198" s="8">
        <f>VLOOKUP($B198,floorspace!$B$4:$O$12,'shell factors calc'!O$2+1,FALSE)</f>
        <v>1465.1141359999999</v>
      </c>
      <c r="P198" s="8">
        <f>VLOOKUP($B198,floorspace!$B$4:$O$12,'shell factors calc'!P$2+1,FALSE)</f>
        <v>1778.1881100000001</v>
      </c>
      <c r="Q198" s="8">
        <f>VLOOKUP($B198,floorspace!$B$4:$O$12,'shell factors calc'!Q$2+1,FALSE)</f>
        <v>124.162651</v>
      </c>
      <c r="R198" s="8">
        <f>VLOOKUP($B198,floorspace!$B$4:$O$12,'shell factors calc'!R$2+1,FALSE)</f>
        <v>190.44966099999999</v>
      </c>
      <c r="S198" s="8">
        <f>VLOOKUP($B198,floorspace!$B$4:$O$12,'shell factors calc'!S$2+1,FALSE)</f>
        <v>228.065933</v>
      </c>
      <c r="T198" s="8">
        <f>VLOOKUP($B198,floorspace!$B$4:$O$12,'shell factors calc'!T$2+1,FALSE)</f>
        <v>751.99401899999998</v>
      </c>
      <c r="U198" s="8">
        <f>VLOOKUP($B198,floorspace!$B$4:$O$12,'shell factors calc'!U$2+1,FALSE)</f>
        <v>984.05578600000001</v>
      </c>
      <c r="V198" s="8">
        <f>VLOOKUP($B198,floorspace!$B$4:$O$12,'shell factors calc'!V$2+1,FALSE)</f>
        <v>1016.462524</v>
      </c>
      <c r="W198" s="8">
        <f>VLOOKUP($B198,floorspace!$B$4:$O$12,'shell factors calc'!W$2+1,FALSE)</f>
        <v>2180.842529</v>
      </c>
      <c r="X198" s="8">
        <f>VLOOKUP($B198,floorspace!$B$4:$O$12,'shell factors calc'!X$2+1,FALSE)</f>
        <v>2050.6289059999999</v>
      </c>
      <c r="Y198" s="8">
        <f>VLOOKUP($B198,floorspace!$B$4:$O$12,'shell factors calc'!Y$2+1,FALSE)</f>
        <v>628.40942399999994</v>
      </c>
      <c r="Z198">
        <f t="shared" si="3"/>
        <v>0.64979662549274686</v>
      </c>
    </row>
    <row r="199" spans="1:26" x14ac:dyDescent="0.2">
      <c r="A199" s="5" t="s">
        <v>45</v>
      </c>
      <c r="B199" s="5" t="s">
        <v>42</v>
      </c>
      <c r="C199" s="6" t="s">
        <v>9</v>
      </c>
      <c r="D199" s="7">
        <v>0.62959100000000001</v>
      </c>
      <c r="E199">
        <v>0.58673600000000004</v>
      </c>
      <c r="F199">
        <v>0.81923800000000002</v>
      </c>
      <c r="G199">
        <v>0.57620700000000002</v>
      </c>
      <c r="H199">
        <v>0.78532599999999997</v>
      </c>
      <c r="I199">
        <v>0.63834000000000002</v>
      </c>
      <c r="J199">
        <v>0.65718699999999997</v>
      </c>
      <c r="K199">
        <v>0.73469700000000004</v>
      </c>
      <c r="L199">
        <v>0.77277899999999999</v>
      </c>
      <c r="M199">
        <v>0.52273599999999998</v>
      </c>
      <c r="N199">
        <v>0.64486299999999996</v>
      </c>
      <c r="O199" s="8">
        <f>VLOOKUP($B199,floorspace!$B$4:$O$12,'shell factors calc'!O$2+1,FALSE)</f>
        <v>1465.1141359999999</v>
      </c>
      <c r="P199" s="8">
        <f>VLOOKUP($B199,floorspace!$B$4:$O$12,'shell factors calc'!P$2+1,FALSE)</f>
        <v>1778.1881100000001</v>
      </c>
      <c r="Q199" s="8">
        <f>VLOOKUP($B199,floorspace!$B$4:$O$12,'shell factors calc'!Q$2+1,FALSE)</f>
        <v>124.162651</v>
      </c>
      <c r="R199" s="8">
        <f>VLOOKUP($B199,floorspace!$B$4:$O$12,'shell factors calc'!R$2+1,FALSE)</f>
        <v>190.44966099999999</v>
      </c>
      <c r="S199" s="8">
        <f>VLOOKUP($B199,floorspace!$B$4:$O$12,'shell factors calc'!S$2+1,FALSE)</f>
        <v>228.065933</v>
      </c>
      <c r="T199" s="8">
        <f>VLOOKUP($B199,floorspace!$B$4:$O$12,'shell factors calc'!T$2+1,FALSE)</f>
        <v>751.99401899999998</v>
      </c>
      <c r="U199" s="8">
        <f>VLOOKUP($B199,floorspace!$B$4:$O$12,'shell factors calc'!U$2+1,FALSE)</f>
        <v>984.05578600000001</v>
      </c>
      <c r="V199" s="8">
        <f>VLOOKUP($B199,floorspace!$B$4:$O$12,'shell factors calc'!V$2+1,FALSE)</f>
        <v>1016.462524</v>
      </c>
      <c r="W199" s="8">
        <f>VLOOKUP($B199,floorspace!$B$4:$O$12,'shell factors calc'!W$2+1,FALSE)</f>
        <v>2180.842529</v>
      </c>
      <c r="X199" s="8">
        <f>VLOOKUP($B199,floorspace!$B$4:$O$12,'shell factors calc'!X$2+1,FALSE)</f>
        <v>2050.6289059999999</v>
      </c>
      <c r="Y199" s="8">
        <f>VLOOKUP($B199,floorspace!$B$4:$O$12,'shell factors calc'!Y$2+1,FALSE)</f>
        <v>628.40942399999994</v>
      </c>
      <c r="Z199">
        <f t="shared" si="3"/>
        <v>0.64854219588827267</v>
      </c>
    </row>
    <row r="200" spans="1:26" x14ac:dyDescent="0.2">
      <c r="A200" s="5" t="s">
        <v>45</v>
      </c>
      <c r="B200" s="5" t="s">
        <v>42</v>
      </c>
      <c r="C200" s="6" t="s">
        <v>10</v>
      </c>
      <c r="D200" s="7">
        <v>0.62202000000000002</v>
      </c>
      <c r="E200">
        <v>0.57811100000000004</v>
      </c>
      <c r="F200">
        <v>0.81060900000000002</v>
      </c>
      <c r="G200">
        <v>0.56786099999999995</v>
      </c>
      <c r="H200">
        <v>0.78010500000000005</v>
      </c>
      <c r="I200">
        <v>0.62914199999999998</v>
      </c>
      <c r="J200">
        <v>0.6492</v>
      </c>
      <c r="K200">
        <v>0.72943599999999997</v>
      </c>
      <c r="L200">
        <v>0.76793299999999998</v>
      </c>
      <c r="M200">
        <v>0.54907499999999998</v>
      </c>
      <c r="N200">
        <v>0.63849900000000004</v>
      </c>
      <c r="O200" s="8">
        <f>VLOOKUP($B200,floorspace!$B$4:$O$12,'shell factors calc'!O$2+1,FALSE)</f>
        <v>1465.1141359999999</v>
      </c>
      <c r="P200" s="8">
        <f>VLOOKUP($B200,floorspace!$B$4:$O$12,'shell factors calc'!P$2+1,FALSE)</f>
        <v>1778.1881100000001</v>
      </c>
      <c r="Q200" s="8">
        <f>VLOOKUP($B200,floorspace!$B$4:$O$12,'shell factors calc'!Q$2+1,FALSE)</f>
        <v>124.162651</v>
      </c>
      <c r="R200" s="8">
        <f>VLOOKUP($B200,floorspace!$B$4:$O$12,'shell factors calc'!R$2+1,FALSE)</f>
        <v>190.44966099999999</v>
      </c>
      <c r="S200" s="8">
        <f>VLOOKUP($B200,floorspace!$B$4:$O$12,'shell factors calc'!S$2+1,FALSE)</f>
        <v>228.065933</v>
      </c>
      <c r="T200" s="8">
        <f>VLOOKUP($B200,floorspace!$B$4:$O$12,'shell factors calc'!T$2+1,FALSE)</f>
        <v>751.99401899999998</v>
      </c>
      <c r="U200" s="8">
        <f>VLOOKUP($B200,floorspace!$B$4:$O$12,'shell factors calc'!U$2+1,FALSE)</f>
        <v>984.05578600000001</v>
      </c>
      <c r="V200" s="8">
        <f>VLOOKUP($B200,floorspace!$B$4:$O$12,'shell factors calc'!V$2+1,FALSE)</f>
        <v>1016.462524</v>
      </c>
      <c r="W200" s="8">
        <f>VLOOKUP($B200,floorspace!$B$4:$O$12,'shell factors calc'!W$2+1,FALSE)</f>
        <v>2180.842529</v>
      </c>
      <c r="X200" s="8">
        <f>VLOOKUP($B200,floorspace!$B$4:$O$12,'shell factors calc'!X$2+1,FALSE)</f>
        <v>2050.6289059999999</v>
      </c>
      <c r="Y200" s="8">
        <f>VLOOKUP($B200,floorspace!$B$4:$O$12,'shell factors calc'!Y$2+1,FALSE)</f>
        <v>628.40942399999994</v>
      </c>
      <c r="Z200">
        <f t="shared" si="3"/>
        <v>0.64758056521125573</v>
      </c>
    </row>
    <row r="201" spans="1:26" x14ac:dyDescent="0.2">
      <c r="A201" s="5" t="s">
        <v>45</v>
      </c>
      <c r="B201" s="5" t="s">
        <v>42</v>
      </c>
      <c r="C201" s="6" t="s">
        <v>11</v>
      </c>
      <c r="D201" s="7">
        <v>0.61453999999999998</v>
      </c>
      <c r="E201">
        <v>0.56961300000000004</v>
      </c>
      <c r="F201">
        <v>0.80206999999999995</v>
      </c>
      <c r="G201">
        <v>0.55963499999999999</v>
      </c>
      <c r="H201">
        <v>0.77491900000000002</v>
      </c>
      <c r="I201">
        <v>0.62007599999999996</v>
      </c>
      <c r="J201">
        <v>0.64131099999999996</v>
      </c>
      <c r="K201">
        <v>0.72421199999999997</v>
      </c>
      <c r="L201">
        <v>0.76311700000000005</v>
      </c>
      <c r="M201">
        <v>0.57674099999999995</v>
      </c>
      <c r="N201">
        <v>0.63219700000000001</v>
      </c>
      <c r="O201" s="8">
        <f>VLOOKUP($B201,floorspace!$B$4:$O$12,'shell factors calc'!O$2+1,FALSE)</f>
        <v>1465.1141359999999</v>
      </c>
      <c r="P201" s="8">
        <f>VLOOKUP($B201,floorspace!$B$4:$O$12,'shell factors calc'!P$2+1,FALSE)</f>
        <v>1778.1881100000001</v>
      </c>
      <c r="Q201" s="8">
        <f>VLOOKUP($B201,floorspace!$B$4:$O$12,'shell factors calc'!Q$2+1,FALSE)</f>
        <v>124.162651</v>
      </c>
      <c r="R201" s="8">
        <f>VLOOKUP($B201,floorspace!$B$4:$O$12,'shell factors calc'!R$2+1,FALSE)</f>
        <v>190.44966099999999</v>
      </c>
      <c r="S201" s="8">
        <f>VLOOKUP($B201,floorspace!$B$4:$O$12,'shell factors calc'!S$2+1,FALSE)</f>
        <v>228.065933</v>
      </c>
      <c r="T201" s="8">
        <f>VLOOKUP($B201,floorspace!$B$4:$O$12,'shell factors calc'!T$2+1,FALSE)</f>
        <v>751.99401899999998</v>
      </c>
      <c r="U201" s="8">
        <f>VLOOKUP($B201,floorspace!$B$4:$O$12,'shell factors calc'!U$2+1,FALSE)</f>
        <v>984.05578600000001</v>
      </c>
      <c r="V201" s="8">
        <f>VLOOKUP($B201,floorspace!$B$4:$O$12,'shell factors calc'!V$2+1,FALSE)</f>
        <v>1016.462524</v>
      </c>
      <c r="W201" s="8">
        <f>VLOOKUP($B201,floorspace!$B$4:$O$12,'shell factors calc'!W$2+1,FALSE)</f>
        <v>2180.842529</v>
      </c>
      <c r="X201" s="8">
        <f>VLOOKUP($B201,floorspace!$B$4:$O$12,'shell factors calc'!X$2+1,FALSE)</f>
        <v>2050.6289059999999</v>
      </c>
      <c r="Y201" s="8">
        <f>VLOOKUP($B201,floorspace!$B$4:$O$12,'shell factors calc'!Y$2+1,FALSE)</f>
        <v>628.40942399999994</v>
      </c>
      <c r="Z201">
        <f t="shared" si="3"/>
        <v>0.64692249075100261</v>
      </c>
    </row>
    <row r="202" spans="1:26" x14ac:dyDescent="0.2">
      <c r="A202" s="5" t="s">
        <v>45</v>
      </c>
      <c r="B202" s="5" t="s">
        <v>42</v>
      </c>
      <c r="C202" s="6" t="s">
        <v>12</v>
      </c>
      <c r="D202" s="7">
        <v>0.607151</v>
      </c>
      <c r="E202">
        <v>0.56123999999999996</v>
      </c>
      <c r="F202">
        <v>0.79362200000000005</v>
      </c>
      <c r="G202">
        <v>0.55152800000000002</v>
      </c>
      <c r="H202">
        <v>0.76976699999999998</v>
      </c>
      <c r="I202">
        <v>0.61114100000000005</v>
      </c>
      <c r="J202">
        <v>0.63351800000000003</v>
      </c>
      <c r="K202">
        <v>0.71902600000000005</v>
      </c>
      <c r="L202">
        <v>0.75833200000000001</v>
      </c>
      <c r="M202">
        <v>0.60580100000000003</v>
      </c>
      <c r="N202">
        <v>0.62595800000000001</v>
      </c>
      <c r="O202" s="8">
        <f>VLOOKUP($B202,floorspace!$B$4:$O$12,'shell factors calc'!O$2+1,FALSE)</f>
        <v>1465.1141359999999</v>
      </c>
      <c r="P202" s="8">
        <f>VLOOKUP($B202,floorspace!$B$4:$O$12,'shell factors calc'!P$2+1,FALSE)</f>
        <v>1778.1881100000001</v>
      </c>
      <c r="Q202" s="8">
        <f>VLOOKUP($B202,floorspace!$B$4:$O$12,'shell factors calc'!Q$2+1,FALSE)</f>
        <v>124.162651</v>
      </c>
      <c r="R202" s="8">
        <f>VLOOKUP($B202,floorspace!$B$4:$O$12,'shell factors calc'!R$2+1,FALSE)</f>
        <v>190.44966099999999</v>
      </c>
      <c r="S202" s="8">
        <f>VLOOKUP($B202,floorspace!$B$4:$O$12,'shell factors calc'!S$2+1,FALSE)</f>
        <v>228.065933</v>
      </c>
      <c r="T202" s="8">
        <f>VLOOKUP($B202,floorspace!$B$4:$O$12,'shell factors calc'!T$2+1,FALSE)</f>
        <v>751.99401899999998</v>
      </c>
      <c r="U202" s="8">
        <f>VLOOKUP($B202,floorspace!$B$4:$O$12,'shell factors calc'!U$2+1,FALSE)</f>
        <v>984.05578600000001</v>
      </c>
      <c r="V202" s="8">
        <f>VLOOKUP($B202,floorspace!$B$4:$O$12,'shell factors calc'!V$2+1,FALSE)</f>
        <v>1016.462524</v>
      </c>
      <c r="W202" s="8">
        <f>VLOOKUP($B202,floorspace!$B$4:$O$12,'shell factors calc'!W$2+1,FALSE)</f>
        <v>2180.842529</v>
      </c>
      <c r="X202" s="8">
        <f>VLOOKUP($B202,floorspace!$B$4:$O$12,'shell factors calc'!X$2+1,FALSE)</f>
        <v>2050.6289059999999</v>
      </c>
      <c r="Y202" s="8">
        <f>VLOOKUP($B202,floorspace!$B$4:$O$12,'shell factors calc'!Y$2+1,FALSE)</f>
        <v>628.40942399999994</v>
      </c>
      <c r="Z202">
        <f t="shared" si="3"/>
        <v>0.64657978533451932</v>
      </c>
    </row>
    <row r="203" spans="1:26" x14ac:dyDescent="0.2">
      <c r="A203" s="5" t="s">
        <v>45</v>
      </c>
      <c r="B203" s="5" t="s">
        <v>42</v>
      </c>
      <c r="C203" s="6" t="s">
        <v>13</v>
      </c>
      <c r="D203" s="7">
        <v>0.59984999999999999</v>
      </c>
      <c r="E203">
        <v>0.55298999999999998</v>
      </c>
      <c r="F203">
        <v>0.78526300000000004</v>
      </c>
      <c r="G203">
        <v>0.54353899999999999</v>
      </c>
      <c r="H203">
        <v>0.76464900000000002</v>
      </c>
      <c r="I203">
        <v>0.60233499999999995</v>
      </c>
      <c r="J203">
        <v>0.62581900000000001</v>
      </c>
      <c r="K203">
        <v>0.71387699999999998</v>
      </c>
      <c r="L203">
        <v>0.75357700000000005</v>
      </c>
      <c r="M203">
        <v>0.63632500000000003</v>
      </c>
      <c r="N203">
        <v>0.61978</v>
      </c>
      <c r="O203" s="8">
        <f>VLOOKUP($B203,floorspace!$B$4:$O$12,'shell factors calc'!O$2+1,FALSE)</f>
        <v>1465.1141359999999</v>
      </c>
      <c r="P203" s="8">
        <f>VLOOKUP($B203,floorspace!$B$4:$O$12,'shell factors calc'!P$2+1,FALSE)</f>
        <v>1778.1881100000001</v>
      </c>
      <c r="Q203" s="8">
        <f>VLOOKUP($B203,floorspace!$B$4:$O$12,'shell factors calc'!Q$2+1,FALSE)</f>
        <v>124.162651</v>
      </c>
      <c r="R203" s="8">
        <f>VLOOKUP($B203,floorspace!$B$4:$O$12,'shell factors calc'!R$2+1,FALSE)</f>
        <v>190.44966099999999</v>
      </c>
      <c r="S203" s="8">
        <f>VLOOKUP($B203,floorspace!$B$4:$O$12,'shell factors calc'!S$2+1,FALSE)</f>
        <v>228.065933</v>
      </c>
      <c r="T203" s="8">
        <f>VLOOKUP($B203,floorspace!$B$4:$O$12,'shell factors calc'!T$2+1,FALSE)</f>
        <v>751.99401899999998</v>
      </c>
      <c r="U203" s="8">
        <f>VLOOKUP($B203,floorspace!$B$4:$O$12,'shell factors calc'!U$2+1,FALSE)</f>
        <v>984.05578600000001</v>
      </c>
      <c r="V203" s="8">
        <f>VLOOKUP($B203,floorspace!$B$4:$O$12,'shell factors calc'!V$2+1,FALSE)</f>
        <v>1016.462524</v>
      </c>
      <c r="W203" s="8">
        <f>VLOOKUP($B203,floorspace!$B$4:$O$12,'shell factors calc'!W$2+1,FALSE)</f>
        <v>2180.842529</v>
      </c>
      <c r="X203" s="8">
        <f>VLOOKUP($B203,floorspace!$B$4:$O$12,'shell factors calc'!X$2+1,FALSE)</f>
        <v>2050.6289059999999</v>
      </c>
      <c r="Y203" s="8">
        <f>VLOOKUP($B203,floorspace!$B$4:$O$12,'shell factors calc'!Y$2+1,FALSE)</f>
        <v>628.40942399999994</v>
      </c>
      <c r="Z203">
        <f t="shared" si="3"/>
        <v>0.64656361084418523</v>
      </c>
    </row>
    <row r="204" spans="1:26" x14ac:dyDescent="0.2">
      <c r="A204" s="5" t="s">
        <v>45</v>
      </c>
      <c r="B204" s="5" t="s">
        <v>42</v>
      </c>
      <c r="C204" s="6" t="s">
        <v>14</v>
      </c>
      <c r="D204" s="7">
        <v>0.59263699999999997</v>
      </c>
      <c r="E204">
        <v>0.54486100000000004</v>
      </c>
      <c r="F204">
        <v>0.77699200000000002</v>
      </c>
      <c r="G204">
        <v>0.53566599999999998</v>
      </c>
      <c r="H204">
        <v>0.75956599999999996</v>
      </c>
      <c r="I204">
        <v>0.59365599999999996</v>
      </c>
      <c r="J204">
        <v>0.61821400000000004</v>
      </c>
      <c r="K204">
        <v>0.70876499999999998</v>
      </c>
      <c r="L204">
        <v>0.74885199999999996</v>
      </c>
      <c r="M204">
        <v>0.66838799999999998</v>
      </c>
      <c r="N204">
        <v>0.61366299999999996</v>
      </c>
      <c r="O204" s="8">
        <f>VLOOKUP($B204,floorspace!$B$4:$O$12,'shell factors calc'!O$2+1,FALSE)</f>
        <v>1465.1141359999999</v>
      </c>
      <c r="P204" s="8">
        <f>VLOOKUP($B204,floorspace!$B$4:$O$12,'shell factors calc'!P$2+1,FALSE)</f>
        <v>1778.1881100000001</v>
      </c>
      <c r="Q204" s="8">
        <f>VLOOKUP($B204,floorspace!$B$4:$O$12,'shell factors calc'!Q$2+1,FALSE)</f>
        <v>124.162651</v>
      </c>
      <c r="R204" s="8">
        <f>VLOOKUP($B204,floorspace!$B$4:$O$12,'shell factors calc'!R$2+1,FALSE)</f>
        <v>190.44966099999999</v>
      </c>
      <c r="S204" s="8">
        <f>VLOOKUP($B204,floorspace!$B$4:$O$12,'shell factors calc'!S$2+1,FALSE)</f>
        <v>228.065933</v>
      </c>
      <c r="T204" s="8">
        <f>VLOOKUP($B204,floorspace!$B$4:$O$12,'shell factors calc'!T$2+1,FALSE)</f>
        <v>751.99401899999998</v>
      </c>
      <c r="U204" s="8">
        <f>VLOOKUP($B204,floorspace!$B$4:$O$12,'shell factors calc'!U$2+1,FALSE)</f>
        <v>984.05578600000001</v>
      </c>
      <c r="V204" s="8">
        <f>VLOOKUP($B204,floorspace!$B$4:$O$12,'shell factors calc'!V$2+1,FALSE)</f>
        <v>1016.462524</v>
      </c>
      <c r="W204" s="8">
        <f>VLOOKUP($B204,floorspace!$B$4:$O$12,'shell factors calc'!W$2+1,FALSE)</f>
        <v>2180.842529</v>
      </c>
      <c r="X204" s="8">
        <f>VLOOKUP($B204,floorspace!$B$4:$O$12,'shell factors calc'!X$2+1,FALSE)</f>
        <v>2050.6289059999999</v>
      </c>
      <c r="Y204" s="8">
        <f>VLOOKUP($B204,floorspace!$B$4:$O$12,'shell factors calc'!Y$2+1,FALSE)</f>
        <v>628.40942399999994</v>
      </c>
      <c r="Z204">
        <f t="shared" si="3"/>
        <v>0.64688699192823818</v>
      </c>
    </row>
    <row r="205" spans="1:26" x14ac:dyDescent="0.2">
      <c r="A205" s="5" t="s">
        <v>45</v>
      </c>
      <c r="B205" s="5" t="s">
        <v>42</v>
      </c>
      <c r="C205" s="6" t="s">
        <v>15</v>
      </c>
      <c r="D205" s="7">
        <v>0.585511</v>
      </c>
      <c r="E205">
        <v>0.536852</v>
      </c>
      <c r="F205">
        <v>0.76880800000000005</v>
      </c>
      <c r="G205">
        <v>0.52790700000000002</v>
      </c>
      <c r="H205">
        <v>0.75451599999999996</v>
      </c>
      <c r="I205">
        <v>0.58510099999999998</v>
      </c>
      <c r="J205">
        <v>0.61070100000000005</v>
      </c>
      <c r="K205">
        <v>0.70368900000000001</v>
      </c>
      <c r="L205">
        <v>0.74415600000000004</v>
      </c>
      <c r="M205">
        <v>0.70206500000000005</v>
      </c>
      <c r="N205">
        <v>0.60760700000000001</v>
      </c>
      <c r="O205" s="8">
        <f>VLOOKUP($B205,floorspace!$B$4:$O$12,'shell factors calc'!O$2+1,FALSE)</f>
        <v>1465.1141359999999</v>
      </c>
      <c r="P205" s="8">
        <f>VLOOKUP($B205,floorspace!$B$4:$O$12,'shell factors calc'!P$2+1,FALSE)</f>
        <v>1778.1881100000001</v>
      </c>
      <c r="Q205" s="8">
        <f>VLOOKUP($B205,floorspace!$B$4:$O$12,'shell factors calc'!Q$2+1,FALSE)</f>
        <v>124.162651</v>
      </c>
      <c r="R205" s="8">
        <f>VLOOKUP($B205,floorspace!$B$4:$O$12,'shell factors calc'!R$2+1,FALSE)</f>
        <v>190.44966099999999</v>
      </c>
      <c r="S205" s="8">
        <f>VLOOKUP($B205,floorspace!$B$4:$O$12,'shell factors calc'!S$2+1,FALSE)</f>
        <v>228.065933</v>
      </c>
      <c r="T205" s="8">
        <f>VLOOKUP($B205,floorspace!$B$4:$O$12,'shell factors calc'!T$2+1,FALSE)</f>
        <v>751.99401899999998</v>
      </c>
      <c r="U205" s="8">
        <f>VLOOKUP($B205,floorspace!$B$4:$O$12,'shell factors calc'!U$2+1,FALSE)</f>
        <v>984.05578600000001</v>
      </c>
      <c r="V205" s="8">
        <f>VLOOKUP($B205,floorspace!$B$4:$O$12,'shell factors calc'!V$2+1,FALSE)</f>
        <v>1016.462524</v>
      </c>
      <c r="W205" s="8">
        <f>VLOOKUP($B205,floorspace!$B$4:$O$12,'shell factors calc'!W$2+1,FALSE)</f>
        <v>2180.842529</v>
      </c>
      <c r="X205" s="8">
        <f>VLOOKUP($B205,floorspace!$B$4:$O$12,'shell factors calc'!X$2+1,FALSE)</f>
        <v>2050.6289059999999</v>
      </c>
      <c r="Y205" s="8">
        <f>VLOOKUP($B205,floorspace!$B$4:$O$12,'shell factors calc'!Y$2+1,FALSE)</f>
        <v>628.40942399999994</v>
      </c>
      <c r="Z205">
        <f t="shared" si="3"/>
        <v>0.64756240153037914</v>
      </c>
    </row>
    <row r="206" spans="1:26" x14ac:dyDescent="0.2">
      <c r="A206" s="5" t="s">
        <v>45</v>
      </c>
      <c r="B206" s="5" t="s">
        <v>42</v>
      </c>
      <c r="C206" s="6" t="s">
        <v>16</v>
      </c>
      <c r="D206" s="7">
        <v>0.57847000000000004</v>
      </c>
      <c r="E206">
        <v>0.52895999999999999</v>
      </c>
      <c r="F206">
        <v>0.76071</v>
      </c>
      <c r="G206">
        <v>0.52025999999999994</v>
      </c>
      <c r="H206">
        <v>0.74950000000000006</v>
      </c>
      <c r="I206">
        <v>0.57667000000000002</v>
      </c>
      <c r="J206">
        <v>0.60328000000000004</v>
      </c>
      <c r="K206">
        <v>0.69864999999999999</v>
      </c>
      <c r="L206">
        <v>0.73948999999999998</v>
      </c>
      <c r="M206">
        <v>0.73743999999999998</v>
      </c>
      <c r="N206">
        <v>0.60160999999999998</v>
      </c>
      <c r="O206" s="8">
        <f>VLOOKUP($B206,floorspace!$B$4:$O$12,'shell factors calc'!O$2+1,FALSE)</f>
        <v>1465.1141359999999</v>
      </c>
      <c r="P206" s="8">
        <f>VLOOKUP($B206,floorspace!$B$4:$O$12,'shell factors calc'!P$2+1,FALSE)</f>
        <v>1778.1881100000001</v>
      </c>
      <c r="Q206" s="8">
        <f>VLOOKUP($B206,floorspace!$B$4:$O$12,'shell factors calc'!Q$2+1,FALSE)</f>
        <v>124.162651</v>
      </c>
      <c r="R206" s="8">
        <f>VLOOKUP($B206,floorspace!$B$4:$O$12,'shell factors calc'!R$2+1,FALSE)</f>
        <v>190.44966099999999</v>
      </c>
      <c r="S206" s="8">
        <f>VLOOKUP($B206,floorspace!$B$4:$O$12,'shell factors calc'!S$2+1,FALSE)</f>
        <v>228.065933</v>
      </c>
      <c r="T206" s="8">
        <f>VLOOKUP($B206,floorspace!$B$4:$O$12,'shell factors calc'!T$2+1,FALSE)</f>
        <v>751.99401899999998</v>
      </c>
      <c r="U206" s="8">
        <f>VLOOKUP($B206,floorspace!$B$4:$O$12,'shell factors calc'!U$2+1,FALSE)</f>
        <v>984.05578600000001</v>
      </c>
      <c r="V206" s="8">
        <f>VLOOKUP($B206,floorspace!$B$4:$O$12,'shell factors calc'!V$2+1,FALSE)</f>
        <v>1016.462524</v>
      </c>
      <c r="W206" s="8">
        <f>VLOOKUP($B206,floorspace!$B$4:$O$12,'shell factors calc'!W$2+1,FALSE)</f>
        <v>2180.842529</v>
      </c>
      <c r="X206" s="8">
        <f>VLOOKUP($B206,floorspace!$B$4:$O$12,'shell factors calc'!X$2+1,FALSE)</f>
        <v>2050.6289059999999</v>
      </c>
      <c r="Y206" s="8">
        <f>VLOOKUP($B206,floorspace!$B$4:$O$12,'shell factors calc'!Y$2+1,FALSE)</f>
        <v>628.40942399999994</v>
      </c>
      <c r="Z206">
        <f t="shared" si="3"/>
        <v>0.64860437255945402</v>
      </c>
    </row>
    <row r="207" spans="1:26" x14ac:dyDescent="0.2">
      <c r="A207" s="5" t="s">
        <v>45</v>
      </c>
      <c r="B207" s="5" t="s">
        <v>42</v>
      </c>
      <c r="C207" s="6" t="s">
        <v>17</v>
      </c>
      <c r="D207" s="7">
        <v>0.570604</v>
      </c>
      <c r="E207">
        <v>0.51989099999999999</v>
      </c>
      <c r="F207">
        <v>0.75575999999999999</v>
      </c>
      <c r="G207">
        <v>0.51149100000000003</v>
      </c>
      <c r="H207">
        <v>0.74419000000000002</v>
      </c>
      <c r="I207">
        <v>0.56700899999999999</v>
      </c>
      <c r="J207">
        <v>0.59497699999999998</v>
      </c>
      <c r="K207">
        <v>0.69328800000000002</v>
      </c>
      <c r="L207">
        <v>0.734568</v>
      </c>
      <c r="M207">
        <v>0.76193299999999997</v>
      </c>
      <c r="N207">
        <v>0.59505699999999995</v>
      </c>
      <c r="O207" s="8">
        <f>VLOOKUP($B207,floorspace!$B$4:$O$12,'shell factors calc'!O$2+1,FALSE)</f>
        <v>1465.1141359999999</v>
      </c>
      <c r="P207" s="8">
        <f>VLOOKUP($B207,floorspace!$B$4:$O$12,'shell factors calc'!P$2+1,FALSE)</f>
        <v>1778.1881100000001</v>
      </c>
      <c r="Q207" s="8">
        <f>VLOOKUP($B207,floorspace!$B$4:$O$12,'shell factors calc'!Q$2+1,FALSE)</f>
        <v>124.162651</v>
      </c>
      <c r="R207" s="8">
        <f>VLOOKUP($B207,floorspace!$B$4:$O$12,'shell factors calc'!R$2+1,FALSE)</f>
        <v>190.44966099999999</v>
      </c>
      <c r="S207" s="8">
        <f>VLOOKUP($B207,floorspace!$B$4:$O$12,'shell factors calc'!S$2+1,FALSE)</f>
        <v>228.065933</v>
      </c>
      <c r="T207" s="8">
        <f>VLOOKUP($B207,floorspace!$B$4:$O$12,'shell factors calc'!T$2+1,FALSE)</f>
        <v>751.99401899999998</v>
      </c>
      <c r="U207" s="8">
        <f>VLOOKUP($B207,floorspace!$B$4:$O$12,'shell factors calc'!U$2+1,FALSE)</f>
        <v>984.05578600000001</v>
      </c>
      <c r="V207" s="8">
        <f>VLOOKUP($B207,floorspace!$B$4:$O$12,'shell factors calc'!V$2+1,FALSE)</f>
        <v>1016.462524</v>
      </c>
      <c r="W207" s="8">
        <f>VLOOKUP($B207,floorspace!$B$4:$O$12,'shell factors calc'!W$2+1,FALSE)</f>
        <v>2180.842529</v>
      </c>
      <c r="X207" s="8">
        <f>VLOOKUP($B207,floorspace!$B$4:$O$12,'shell factors calc'!X$2+1,FALSE)</f>
        <v>2050.6289059999999</v>
      </c>
      <c r="Y207" s="8">
        <f>VLOOKUP($B207,floorspace!$B$4:$O$12,'shell factors calc'!Y$2+1,FALSE)</f>
        <v>628.40942399999994</v>
      </c>
      <c r="Z207">
        <f t="shared" si="3"/>
        <v>0.6471428846237669</v>
      </c>
    </row>
    <row r="208" spans="1:26" x14ac:dyDescent="0.2">
      <c r="A208" s="5" t="s">
        <v>45</v>
      </c>
      <c r="B208" s="5" t="s">
        <v>42</v>
      </c>
      <c r="C208" s="6" t="s">
        <v>18</v>
      </c>
      <c r="D208" s="7">
        <v>0.56284400000000001</v>
      </c>
      <c r="E208">
        <v>0.51097800000000004</v>
      </c>
      <c r="F208">
        <v>0.75084099999999998</v>
      </c>
      <c r="G208">
        <v>0.50287000000000004</v>
      </c>
      <c r="H208">
        <v>0.73891700000000005</v>
      </c>
      <c r="I208">
        <v>0.55750999999999995</v>
      </c>
      <c r="J208">
        <v>0.58678900000000001</v>
      </c>
      <c r="K208">
        <v>0.68796599999999997</v>
      </c>
      <c r="L208">
        <v>0.72967899999999997</v>
      </c>
      <c r="M208">
        <v>0.78724000000000005</v>
      </c>
      <c r="N208">
        <v>0.58857499999999996</v>
      </c>
      <c r="O208" s="8">
        <f>VLOOKUP($B208,floorspace!$B$4:$O$12,'shell factors calc'!O$2+1,FALSE)</f>
        <v>1465.1141359999999</v>
      </c>
      <c r="P208" s="8">
        <f>VLOOKUP($B208,floorspace!$B$4:$O$12,'shell factors calc'!P$2+1,FALSE)</f>
        <v>1778.1881100000001</v>
      </c>
      <c r="Q208" s="8">
        <f>VLOOKUP($B208,floorspace!$B$4:$O$12,'shell factors calc'!Q$2+1,FALSE)</f>
        <v>124.162651</v>
      </c>
      <c r="R208" s="8">
        <f>VLOOKUP($B208,floorspace!$B$4:$O$12,'shell factors calc'!R$2+1,FALSE)</f>
        <v>190.44966099999999</v>
      </c>
      <c r="S208" s="8">
        <f>VLOOKUP($B208,floorspace!$B$4:$O$12,'shell factors calc'!S$2+1,FALSE)</f>
        <v>228.065933</v>
      </c>
      <c r="T208" s="8">
        <f>VLOOKUP($B208,floorspace!$B$4:$O$12,'shell factors calc'!T$2+1,FALSE)</f>
        <v>751.99401899999998</v>
      </c>
      <c r="U208" s="8">
        <f>VLOOKUP($B208,floorspace!$B$4:$O$12,'shell factors calc'!U$2+1,FALSE)</f>
        <v>984.05578600000001</v>
      </c>
      <c r="V208" s="8">
        <f>VLOOKUP($B208,floorspace!$B$4:$O$12,'shell factors calc'!V$2+1,FALSE)</f>
        <v>1016.462524</v>
      </c>
      <c r="W208" s="8">
        <f>VLOOKUP($B208,floorspace!$B$4:$O$12,'shell factors calc'!W$2+1,FALSE)</f>
        <v>2180.842529</v>
      </c>
      <c r="X208" s="8">
        <f>VLOOKUP($B208,floorspace!$B$4:$O$12,'shell factors calc'!X$2+1,FALSE)</f>
        <v>2050.6289059999999</v>
      </c>
      <c r="Y208" s="8">
        <f>VLOOKUP($B208,floorspace!$B$4:$O$12,'shell factors calc'!Y$2+1,FALSE)</f>
        <v>628.40942399999994</v>
      </c>
      <c r="Z208">
        <f t="shared" si="3"/>
        <v>0.64590376334282895</v>
      </c>
    </row>
    <row r="209" spans="1:26" x14ac:dyDescent="0.2">
      <c r="A209" s="5" t="s">
        <v>45</v>
      </c>
      <c r="B209" s="5" t="s">
        <v>42</v>
      </c>
      <c r="C209" s="6" t="s">
        <v>19</v>
      </c>
      <c r="D209" s="7">
        <v>0.55518999999999996</v>
      </c>
      <c r="E209">
        <v>0.50221800000000005</v>
      </c>
      <c r="F209">
        <v>0.74595500000000003</v>
      </c>
      <c r="G209">
        <v>0.494394</v>
      </c>
      <c r="H209">
        <v>0.73368199999999995</v>
      </c>
      <c r="I209">
        <v>0.54817099999999996</v>
      </c>
      <c r="J209">
        <v>0.57871300000000003</v>
      </c>
      <c r="K209">
        <v>0.68268600000000002</v>
      </c>
      <c r="L209">
        <v>0.724823</v>
      </c>
      <c r="M209">
        <v>0.81338699999999997</v>
      </c>
      <c r="N209">
        <v>0.58216400000000001</v>
      </c>
      <c r="O209" s="8">
        <f>VLOOKUP($B209,floorspace!$B$4:$O$12,'shell factors calc'!O$2+1,FALSE)</f>
        <v>1465.1141359999999</v>
      </c>
      <c r="P209" s="8">
        <f>VLOOKUP($B209,floorspace!$B$4:$O$12,'shell factors calc'!P$2+1,FALSE)</f>
        <v>1778.1881100000001</v>
      </c>
      <c r="Q209" s="8">
        <f>VLOOKUP($B209,floorspace!$B$4:$O$12,'shell factors calc'!Q$2+1,FALSE)</f>
        <v>124.162651</v>
      </c>
      <c r="R209" s="8">
        <f>VLOOKUP($B209,floorspace!$B$4:$O$12,'shell factors calc'!R$2+1,FALSE)</f>
        <v>190.44966099999999</v>
      </c>
      <c r="S209" s="8">
        <f>VLOOKUP($B209,floorspace!$B$4:$O$12,'shell factors calc'!S$2+1,FALSE)</f>
        <v>228.065933</v>
      </c>
      <c r="T209" s="8">
        <f>VLOOKUP($B209,floorspace!$B$4:$O$12,'shell factors calc'!T$2+1,FALSE)</f>
        <v>751.99401899999998</v>
      </c>
      <c r="U209" s="8">
        <f>VLOOKUP($B209,floorspace!$B$4:$O$12,'shell factors calc'!U$2+1,FALSE)</f>
        <v>984.05578600000001</v>
      </c>
      <c r="V209" s="8">
        <f>VLOOKUP($B209,floorspace!$B$4:$O$12,'shell factors calc'!V$2+1,FALSE)</f>
        <v>1016.462524</v>
      </c>
      <c r="W209" s="8">
        <f>VLOOKUP($B209,floorspace!$B$4:$O$12,'shell factors calc'!W$2+1,FALSE)</f>
        <v>2180.842529</v>
      </c>
      <c r="X209" s="8">
        <f>VLOOKUP($B209,floorspace!$B$4:$O$12,'shell factors calc'!X$2+1,FALSE)</f>
        <v>2050.6289059999999</v>
      </c>
      <c r="Y209" s="8">
        <f>VLOOKUP($B209,floorspace!$B$4:$O$12,'shell factors calc'!Y$2+1,FALSE)</f>
        <v>628.40942399999994</v>
      </c>
      <c r="Z209">
        <f t="shared" si="3"/>
        <v>0.64489099732066446</v>
      </c>
    </row>
    <row r="210" spans="1:26" x14ac:dyDescent="0.2">
      <c r="A210" s="5" t="s">
        <v>45</v>
      </c>
      <c r="B210" s="5" t="s">
        <v>42</v>
      </c>
      <c r="C210" s="6" t="s">
        <v>20</v>
      </c>
      <c r="D210" s="7">
        <v>0.54764100000000004</v>
      </c>
      <c r="E210">
        <v>0.49360799999999999</v>
      </c>
      <c r="F210">
        <v>0.74110100000000001</v>
      </c>
      <c r="G210">
        <v>0.48606100000000002</v>
      </c>
      <c r="H210">
        <v>0.72848400000000002</v>
      </c>
      <c r="I210">
        <v>0.53898800000000002</v>
      </c>
      <c r="J210">
        <v>0.57074800000000003</v>
      </c>
      <c r="K210">
        <v>0.67744599999999999</v>
      </c>
      <c r="L210">
        <v>0.71999800000000003</v>
      </c>
      <c r="M210">
        <v>0.84040300000000001</v>
      </c>
      <c r="N210">
        <v>0.57582299999999997</v>
      </c>
      <c r="O210" s="8">
        <f>VLOOKUP($B210,floorspace!$B$4:$O$12,'shell factors calc'!O$2+1,FALSE)</f>
        <v>1465.1141359999999</v>
      </c>
      <c r="P210" s="8">
        <f>VLOOKUP($B210,floorspace!$B$4:$O$12,'shell factors calc'!P$2+1,FALSE)</f>
        <v>1778.1881100000001</v>
      </c>
      <c r="Q210" s="8">
        <f>VLOOKUP($B210,floorspace!$B$4:$O$12,'shell factors calc'!Q$2+1,FALSE)</f>
        <v>124.162651</v>
      </c>
      <c r="R210" s="8">
        <f>VLOOKUP($B210,floorspace!$B$4:$O$12,'shell factors calc'!R$2+1,FALSE)</f>
        <v>190.44966099999999</v>
      </c>
      <c r="S210" s="8">
        <f>VLOOKUP($B210,floorspace!$B$4:$O$12,'shell factors calc'!S$2+1,FALSE)</f>
        <v>228.065933</v>
      </c>
      <c r="T210" s="8">
        <f>VLOOKUP($B210,floorspace!$B$4:$O$12,'shell factors calc'!T$2+1,FALSE)</f>
        <v>751.99401899999998</v>
      </c>
      <c r="U210" s="8">
        <f>VLOOKUP($B210,floorspace!$B$4:$O$12,'shell factors calc'!U$2+1,FALSE)</f>
        <v>984.05578600000001</v>
      </c>
      <c r="V210" s="8">
        <f>VLOOKUP($B210,floorspace!$B$4:$O$12,'shell factors calc'!V$2+1,FALSE)</f>
        <v>1016.462524</v>
      </c>
      <c r="W210" s="8">
        <f>VLOOKUP($B210,floorspace!$B$4:$O$12,'shell factors calc'!W$2+1,FALSE)</f>
        <v>2180.842529</v>
      </c>
      <c r="X210" s="8">
        <f>VLOOKUP($B210,floorspace!$B$4:$O$12,'shell factors calc'!X$2+1,FALSE)</f>
        <v>2050.6289059999999</v>
      </c>
      <c r="Y210" s="8">
        <f>VLOOKUP($B210,floorspace!$B$4:$O$12,'shell factors calc'!Y$2+1,FALSE)</f>
        <v>628.40942399999994</v>
      </c>
      <c r="Z210">
        <f t="shared" si="3"/>
        <v>0.64410817657648733</v>
      </c>
    </row>
    <row r="211" spans="1:26" x14ac:dyDescent="0.2">
      <c r="A211" s="5" t="s">
        <v>45</v>
      </c>
      <c r="B211" s="5" t="s">
        <v>42</v>
      </c>
      <c r="C211" s="6" t="s">
        <v>21</v>
      </c>
      <c r="D211" s="7">
        <v>0.54019399999999995</v>
      </c>
      <c r="E211">
        <v>0.48514499999999999</v>
      </c>
      <c r="F211">
        <v>0.73627799999999999</v>
      </c>
      <c r="G211">
        <v>0.47786800000000001</v>
      </c>
      <c r="H211">
        <v>0.72332300000000005</v>
      </c>
      <c r="I211">
        <v>0.52995800000000004</v>
      </c>
      <c r="J211">
        <v>0.56289299999999998</v>
      </c>
      <c r="K211">
        <v>0.67224600000000001</v>
      </c>
      <c r="L211">
        <v>0.71520600000000001</v>
      </c>
      <c r="M211">
        <v>0.86831599999999998</v>
      </c>
      <c r="N211">
        <v>0.56955100000000003</v>
      </c>
      <c r="O211" s="8">
        <f>VLOOKUP($B211,floorspace!$B$4:$O$12,'shell factors calc'!O$2+1,FALSE)</f>
        <v>1465.1141359999999</v>
      </c>
      <c r="P211" s="8">
        <f>VLOOKUP($B211,floorspace!$B$4:$O$12,'shell factors calc'!P$2+1,FALSE)</f>
        <v>1778.1881100000001</v>
      </c>
      <c r="Q211" s="8">
        <f>VLOOKUP($B211,floorspace!$B$4:$O$12,'shell factors calc'!Q$2+1,FALSE)</f>
        <v>124.162651</v>
      </c>
      <c r="R211" s="8">
        <f>VLOOKUP($B211,floorspace!$B$4:$O$12,'shell factors calc'!R$2+1,FALSE)</f>
        <v>190.44966099999999</v>
      </c>
      <c r="S211" s="8">
        <f>VLOOKUP($B211,floorspace!$B$4:$O$12,'shell factors calc'!S$2+1,FALSE)</f>
        <v>228.065933</v>
      </c>
      <c r="T211" s="8">
        <f>VLOOKUP($B211,floorspace!$B$4:$O$12,'shell factors calc'!T$2+1,FALSE)</f>
        <v>751.99401899999998</v>
      </c>
      <c r="U211" s="8">
        <f>VLOOKUP($B211,floorspace!$B$4:$O$12,'shell factors calc'!U$2+1,FALSE)</f>
        <v>984.05578600000001</v>
      </c>
      <c r="V211" s="8">
        <f>VLOOKUP($B211,floorspace!$B$4:$O$12,'shell factors calc'!V$2+1,FALSE)</f>
        <v>1016.462524</v>
      </c>
      <c r="W211" s="8">
        <f>VLOOKUP($B211,floorspace!$B$4:$O$12,'shell factors calc'!W$2+1,FALSE)</f>
        <v>2180.842529</v>
      </c>
      <c r="X211" s="8">
        <f>VLOOKUP($B211,floorspace!$B$4:$O$12,'shell factors calc'!X$2+1,FALSE)</f>
        <v>2050.6289059999999</v>
      </c>
      <c r="Y211" s="8">
        <f>VLOOKUP($B211,floorspace!$B$4:$O$12,'shell factors calc'!Y$2+1,FALSE)</f>
        <v>628.40942399999994</v>
      </c>
      <c r="Z211">
        <f t="shared" si="3"/>
        <v>0.6435594670931053</v>
      </c>
    </row>
    <row r="212" spans="1:26" x14ac:dyDescent="0.2">
      <c r="A212" s="5" t="s">
        <v>45</v>
      </c>
      <c r="B212" s="5" t="s">
        <v>42</v>
      </c>
      <c r="C212" s="6" t="s">
        <v>22</v>
      </c>
      <c r="D212" s="7">
        <v>0.53284799999999999</v>
      </c>
      <c r="E212">
        <v>0.47682799999999997</v>
      </c>
      <c r="F212">
        <v>0.73148599999999997</v>
      </c>
      <c r="G212">
        <v>0.46981299999999998</v>
      </c>
      <c r="H212">
        <v>0.718198</v>
      </c>
      <c r="I212">
        <v>0.52107999999999999</v>
      </c>
      <c r="J212">
        <v>0.55514600000000003</v>
      </c>
      <c r="K212">
        <v>0.66708599999999996</v>
      </c>
      <c r="L212">
        <v>0.71044600000000002</v>
      </c>
      <c r="M212">
        <v>0.89715699999999998</v>
      </c>
      <c r="N212">
        <v>0.56334700000000004</v>
      </c>
      <c r="O212" s="8">
        <f>VLOOKUP($B212,floorspace!$B$4:$O$12,'shell factors calc'!O$2+1,FALSE)</f>
        <v>1465.1141359999999</v>
      </c>
      <c r="P212" s="8">
        <f>VLOOKUP($B212,floorspace!$B$4:$O$12,'shell factors calc'!P$2+1,FALSE)</f>
        <v>1778.1881100000001</v>
      </c>
      <c r="Q212" s="8">
        <f>VLOOKUP($B212,floorspace!$B$4:$O$12,'shell factors calc'!Q$2+1,FALSE)</f>
        <v>124.162651</v>
      </c>
      <c r="R212" s="8">
        <f>VLOOKUP($B212,floorspace!$B$4:$O$12,'shell factors calc'!R$2+1,FALSE)</f>
        <v>190.44966099999999</v>
      </c>
      <c r="S212" s="8">
        <f>VLOOKUP($B212,floorspace!$B$4:$O$12,'shell factors calc'!S$2+1,FALSE)</f>
        <v>228.065933</v>
      </c>
      <c r="T212" s="8">
        <f>VLOOKUP($B212,floorspace!$B$4:$O$12,'shell factors calc'!T$2+1,FALSE)</f>
        <v>751.99401899999998</v>
      </c>
      <c r="U212" s="8">
        <f>VLOOKUP($B212,floorspace!$B$4:$O$12,'shell factors calc'!U$2+1,FALSE)</f>
        <v>984.05578600000001</v>
      </c>
      <c r="V212" s="8">
        <f>VLOOKUP($B212,floorspace!$B$4:$O$12,'shell factors calc'!V$2+1,FALSE)</f>
        <v>1016.462524</v>
      </c>
      <c r="W212" s="8">
        <f>VLOOKUP($B212,floorspace!$B$4:$O$12,'shell factors calc'!W$2+1,FALSE)</f>
        <v>2180.842529</v>
      </c>
      <c r="X212" s="8">
        <f>VLOOKUP($B212,floorspace!$B$4:$O$12,'shell factors calc'!X$2+1,FALSE)</f>
        <v>2050.6289059999999</v>
      </c>
      <c r="Y212" s="8">
        <f>VLOOKUP($B212,floorspace!$B$4:$O$12,'shell factors calc'!Y$2+1,FALSE)</f>
        <v>628.40942399999994</v>
      </c>
      <c r="Z212">
        <f t="shared" si="3"/>
        <v>0.64324962287074416</v>
      </c>
    </row>
    <row r="213" spans="1:26" x14ac:dyDescent="0.2">
      <c r="A213" s="5" t="s">
        <v>45</v>
      </c>
      <c r="B213" s="5" t="s">
        <v>42</v>
      </c>
      <c r="C213" s="6" t="s">
        <v>23</v>
      </c>
      <c r="D213" s="7">
        <v>0.52560200000000001</v>
      </c>
      <c r="E213">
        <v>0.46865299999999999</v>
      </c>
      <c r="F213">
        <v>0.72672599999999998</v>
      </c>
      <c r="G213">
        <v>0.461895</v>
      </c>
      <c r="H213">
        <v>0.71311000000000002</v>
      </c>
      <c r="I213">
        <v>0.51234999999999997</v>
      </c>
      <c r="J213">
        <v>0.54750600000000005</v>
      </c>
      <c r="K213">
        <v>0.66196600000000005</v>
      </c>
      <c r="L213">
        <v>0.70571799999999996</v>
      </c>
      <c r="M213">
        <v>0.92695499999999997</v>
      </c>
      <c r="N213">
        <v>0.55721100000000001</v>
      </c>
      <c r="O213" s="8">
        <f>VLOOKUP($B213,floorspace!$B$4:$O$12,'shell factors calc'!O$2+1,FALSE)</f>
        <v>1465.1141359999999</v>
      </c>
      <c r="P213" s="8">
        <f>VLOOKUP($B213,floorspace!$B$4:$O$12,'shell factors calc'!P$2+1,FALSE)</f>
        <v>1778.1881100000001</v>
      </c>
      <c r="Q213" s="8">
        <f>VLOOKUP($B213,floorspace!$B$4:$O$12,'shell factors calc'!Q$2+1,FALSE)</f>
        <v>124.162651</v>
      </c>
      <c r="R213" s="8">
        <f>VLOOKUP($B213,floorspace!$B$4:$O$12,'shell factors calc'!R$2+1,FALSE)</f>
        <v>190.44966099999999</v>
      </c>
      <c r="S213" s="8">
        <f>VLOOKUP($B213,floorspace!$B$4:$O$12,'shell factors calc'!S$2+1,FALSE)</f>
        <v>228.065933</v>
      </c>
      <c r="T213" s="8">
        <f>VLOOKUP($B213,floorspace!$B$4:$O$12,'shell factors calc'!T$2+1,FALSE)</f>
        <v>751.99401899999998</v>
      </c>
      <c r="U213" s="8">
        <f>VLOOKUP($B213,floorspace!$B$4:$O$12,'shell factors calc'!U$2+1,FALSE)</f>
        <v>984.05578600000001</v>
      </c>
      <c r="V213" s="8">
        <f>VLOOKUP($B213,floorspace!$B$4:$O$12,'shell factors calc'!V$2+1,FALSE)</f>
        <v>1016.462524</v>
      </c>
      <c r="W213" s="8">
        <f>VLOOKUP($B213,floorspace!$B$4:$O$12,'shell factors calc'!W$2+1,FALSE)</f>
        <v>2180.842529</v>
      </c>
      <c r="X213" s="8">
        <f>VLOOKUP($B213,floorspace!$B$4:$O$12,'shell factors calc'!X$2+1,FALSE)</f>
        <v>2050.6289059999999</v>
      </c>
      <c r="Y213" s="8">
        <f>VLOOKUP($B213,floorspace!$B$4:$O$12,'shell factors calc'!Y$2+1,FALSE)</f>
        <v>628.40942399999994</v>
      </c>
      <c r="Z213">
        <f t="shared" si="3"/>
        <v>0.64318277257899148</v>
      </c>
    </row>
    <row r="214" spans="1:26" x14ac:dyDescent="0.2">
      <c r="A214" s="5" t="s">
        <v>45</v>
      </c>
      <c r="B214" s="5" t="s">
        <v>42</v>
      </c>
      <c r="C214" s="6" t="s">
        <v>24</v>
      </c>
      <c r="D214" s="7">
        <v>0.51845399999999997</v>
      </c>
      <c r="E214">
        <v>0.46061800000000003</v>
      </c>
      <c r="F214">
        <v>0.721997</v>
      </c>
      <c r="G214">
        <v>0.45410899999999998</v>
      </c>
      <c r="H214">
        <v>0.70805799999999997</v>
      </c>
      <c r="I214">
        <v>0.50376699999999996</v>
      </c>
      <c r="J214">
        <v>0.53997099999999998</v>
      </c>
      <c r="K214">
        <v>0.65688500000000005</v>
      </c>
      <c r="L214">
        <v>0.70102100000000001</v>
      </c>
      <c r="M214">
        <v>0.95774300000000001</v>
      </c>
      <c r="N214">
        <v>0.55114099999999999</v>
      </c>
      <c r="O214" s="8">
        <f>VLOOKUP($B214,floorspace!$B$4:$O$12,'shell factors calc'!O$2+1,FALSE)</f>
        <v>1465.1141359999999</v>
      </c>
      <c r="P214" s="8">
        <f>VLOOKUP($B214,floorspace!$B$4:$O$12,'shell factors calc'!P$2+1,FALSE)</f>
        <v>1778.1881100000001</v>
      </c>
      <c r="Q214" s="8">
        <f>VLOOKUP($B214,floorspace!$B$4:$O$12,'shell factors calc'!Q$2+1,FALSE)</f>
        <v>124.162651</v>
      </c>
      <c r="R214" s="8">
        <f>VLOOKUP($B214,floorspace!$B$4:$O$12,'shell factors calc'!R$2+1,FALSE)</f>
        <v>190.44966099999999</v>
      </c>
      <c r="S214" s="8">
        <f>VLOOKUP($B214,floorspace!$B$4:$O$12,'shell factors calc'!S$2+1,FALSE)</f>
        <v>228.065933</v>
      </c>
      <c r="T214" s="8">
        <f>VLOOKUP($B214,floorspace!$B$4:$O$12,'shell factors calc'!T$2+1,FALSE)</f>
        <v>751.99401899999998</v>
      </c>
      <c r="U214" s="8">
        <f>VLOOKUP($B214,floorspace!$B$4:$O$12,'shell factors calc'!U$2+1,FALSE)</f>
        <v>984.05578600000001</v>
      </c>
      <c r="V214" s="8">
        <f>VLOOKUP($B214,floorspace!$B$4:$O$12,'shell factors calc'!V$2+1,FALSE)</f>
        <v>1016.462524</v>
      </c>
      <c r="W214" s="8">
        <f>VLOOKUP($B214,floorspace!$B$4:$O$12,'shell factors calc'!W$2+1,FALSE)</f>
        <v>2180.842529</v>
      </c>
      <c r="X214" s="8">
        <f>VLOOKUP($B214,floorspace!$B$4:$O$12,'shell factors calc'!X$2+1,FALSE)</f>
        <v>2050.6289059999999</v>
      </c>
      <c r="Y214" s="8">
        <f>VLOOKUP($B214,floorspace!$B$4:$O$12,'shell factors calc'!Y$2+1,FALSE)</f>
        <v>628.40942399999994</v>
      </c>
      <c r="Z214">
        <f t="shared" si="3"/>
        <v>0.64336354016197406</v>
      </c>
    </row>
    <row r="215" spans="1:26" x14ac:dyDescent="0.2">
      <c r="A215" s="5" t="s">
        <v>45</v>
      </c>
      <c r="B215" s="5" t="s">
        <v>42</v>
      </c>
      <c r="C215" s="6" t="s">
        <v>25</v>
      </c>
      <c r="D215" s="7">
        <v>0.51140399999999997</v>
      </c>
      <c r="E215">
        <v>0.45272099999999998</v>
      </c>
      <c r="F215">
        <v>0.71729799999999999</v>
      </c>
      <c r="G215">
        <v>0.44645499999999999</v>
      </c>
      <c r="H215">
        <v>0.70304100000000003</v>
      </c>
      <c r="I215">
        <v>0.49532799999999999</v>
      </c>
      <c r="J215">
        <v>0.53253899999999998</v>
      </c>
      <c r="K215">
        <v>0.65184299999999995</v>
      </c>
      <c r="L215">
        <v>0.69635499999999995</v>
      </c>
      <c r="M215">
        <v>0.98955300000000002</v>
      </c>
      <c r="N215">
        <v>0.54513800000000001</v>
      </c>
      <c r="O215" s="8">
        <f>VLOOKUP($B215,floorspace!$B$4:$O$12,'shell factors calc'!O$2+1,FALSE)</f>
        <v>1465.1141359999999</v>
      </c>
      <c r="P215" s="8">
        <f>VLOOKUP($B215,floorspace!$B$4:$O$12,'shell factors calc'!P$2+1,FALSE)</f>
        <v>1778.1881100000001</v>
      </c>
      <c r="Q215" s="8">
        <f>VLOOKUP($B215,floorspace!$B$4:$O$12,'shell factors calc'!Q$2+1,FALSE)</f>
        <v>124.162651</v>
      </c>
      <c r="R215" s="8">
        <f>VLOOKUP($B215,floorspace!$B$4:$O$12,'shell factors calc'!R$2+1,FALSE)</f>
        <v>190.44966099999999</v>
      </c>
      <c r="S215" s="8">
        <f>VLOOKUP($B215,floorspace!$B$4:$O$12,'shell factors calc'!S$2+1,FALSE)</f>
        <v>228.065933</v>
      </c>
      <c r="T215" s="8">
        <f>VLOOKUP($B215,floorspace!$B$4:$O$12,'shell factors calc'!T$2+1,FALSE)</f>
        <v>751.99401899999998</v>
      </c>
      <c r="U215" s="8">
        <f>VLOOKUP($B215,floorspace!$B$4:$O$12,'shell factors calc'!U$2+1,FALSE)</f>
        <v>984.05578600000001</v>
      </c>
      <c r="V215" s="8">
        <f>VLOOKUP($B215,floorspace!$B$4:$O$12,'shell factors calc'!V$2+1,FALSE)</f>
        <v>1016.462524</v>
      </c>
      <c r="W215" s="8">
        <f>VLOOKUP($B215,floorspace!$B$4:$O$12,'shell factors calc'!W$2+1,FALSE)</f>
        <v>2180.842529</v>
      </c>
      <c r="X215" s="8">
        <f>VLOOKUP($B215,floorspace!$B$4:$O$12,'shell factors calc'!X$2+1,FALSE)</f>
        <v>2050.6289059999999</v>
      </c>
      <c r="Y215" s="8">
        <f>VLOOKUP($B215,floorspace!$B$4:$O$12,'shell factors calc'!Y$2+1,FALSE)</f>
        <v>628.40942399999994</v>
      </c>
      <c r="Z215">
        <f t="shared" si="3"/>
        <v>0.64379702422740714</v>
      </c>
    </row>
    <row r="216" spans="1:26" x14ac:dyDescent="0.2">
      <c r="A216" s="5" t="s">
        <v>45</v>
      </c>
      <c r="B216" s="5" t="s">
        <v>42</v>
      </c>
      <c r="C216" s="6" t="s">
        <v>26</v>
      </c>
      <c r="D216" s="7">
        <v>0.50444999999999995</v>
      </c>
      <c r="E216">
        <v>0.44496000000000002</v>
      </c>
      <c r="F216">
        <v>0.71262999999999999</v>
      </c>
      <c r="G216">
        <v>0.43892999999999999</v>
      </c>
      <c r="H216">
        <v>0.69806000000000001</v>
      </c>
      <c r="I216">
        <v>0.48703000000000002</v>
      </c>
      <c r="J216">
        <v>0.52520999999999995</v>
      </c>
      <c r="K216">
        <v>0.64683999999999997</v>
      </c>
      <c r="L216">
        <v>0.69172</v>
      </c>
      <c r="M216">
        <v>1.0224200000000001</v>
      </c>
      <c r="N216">
        <v>0.53920000000000001</v>
      </c>
      <c r="O216" s="8">
        <f>VLOOKUP($B216,floorspace!$B$4:$O$12,'shell factors calc'!O$2+1,FALSE)</f>
        <v>1465.1141359999999</v>
      </c>
      <c r="P216" s="8">
        <f>VLOOKUP($B216,floorspace!$B$4:$O$12,'shell factors calc'!P$2+1,FALSE)</f>
        <v>1778.1881100000001</v>
      </c>
      <c r="Q216" s="8">
        <f>VLOOKUP($B216,floorspace!$B$4:$O$12,'shell factors calc'!Q$2+1,FALSE)</f>
        <v>124.162651</v>
      </c>
      <c r="R216" s="8">
        <f>VLOOKUP($B216,floorspace!$B$4:$O$12,'shell factors calc'!R$2+1,FALSE)</f>
        <v>190.44966099999999</v>
      </c>
      <c r="S216" s="8">
        <f>VLOOKUP($B216,floorspace!$B$4:$O$12,'shell factors calc'!S$2+1,FALSE)</f>
        <v>228.065933</v>
      </c>
      <c r="T216" s="8">
        <f>VLOOKUP($B216,floorspace!$B$4:$O$12,'shell factors calc'!T$2+1,FALSE)</f>
        <v>751.99401899999998</v>
      </c>
      <c r="U216" s="8">
        <f>VLOOKUP($B216,floorspace!$B$4:$O$12,'shell factors calc'!U$2+1,FALSE)</f>
        <v>984.05578600000001</v>
      </c>
      <c r="V216" s="8">
        <f>VLOOKUP($B216,floorspace!$B$4:$O$12,'shell factors calc'!V$2+1,FALSE)</f>
        <v>1016.462524</v>
      </c>
      <c r="W216" s="8">
        <f>VLOOKUP($B216,floorspace!$B$4:$O$12,'shell factors calc'!W$2+1,FALSE)</f>
        <v>2180.842529</v>
      </c>
      <c r="X216" s="8">
        <f>VLOOKUP($B216,floorspace!$B$4:$O$12,'shell factors calc'!X$2+1,FALSE)</f>
        <v>2050.6289059999999</v>
      </c>
      <c r="Y216" s="8">
        <f>VLOOKUP($B216,floorspace!$B$4:$O$12,'shell factors calc'!Y$2+1,FALSE)</f>
        <v>628.40942399999994</v>
      </c>
      <c r="Z216">
        <f t="shared" si="3"/>
        <v>0.64448862497427073</v>
      </c>
    </row>
    <row r="217" spans="1:26" x14ac:dyDescent="0.2">
      <c r="A217" s="5" t="s">
        <v>45</v>
      </c>
      <c r="B217" s="5" t="s">
        <v>42</v>
      </c>
      <c r="C217" s="6" t="s">
        <v>27</v>
      </c>
      <c r="D217" s="7">
        <v>0.49654900000000002</v>
      </c>
      <c r="E217">
        <v>0.43579600000000002</v>
      </c>
      <c r="F217">
        <v>0.70799400000000001</v>
      </c>
      <c r="G217">
        <v>0.43007600000000001</v>
      </c>
      <c r="H217">
        <v>0.69276499999999996</v>
      </c>
      <c r="I217">
        <v>0.47727599999999998</v>
      </c>
      <c r="J217">
        <v>0.51687000000000005</v>
      </c>
      <c r="K217">
        <v>0.64149</v>
      </c>
      <c r="L217">
        <v>0.68681300000000001</v>
      </c>
      <c r="M217">
        <v>1.047757</v>
      </c>
      <c r="N217">
        <v>0.53264100000000003</v>
      </c>
      <c r="O217" s="8">
        <f>VLOOKUP($B217,floorspace!$B$4:$O$12,'shell factors calc'!O$2+1,FALSE)</f>
        <v>1465.1141359999999</v>
      </c>
      <c r="P217" s="8">
        <f>VLOOKUP($B217,floorspace!$B$4:$O$12,'shell factors calc'!P$2+1,FALSE)</f>
        <v>1778.1881100000001</v>
      </c>
      <c r="Q217" s="8">
        <f>VLOOKUP($B217,floorspace!$B$4:$O$12,'shell factors calc'!Q$2+1,FALSE)</f>
        <v>124.162651</v>
      </c>
      <c r="R217" s="8">
        <f>VLOOKUP($B217,floorspace!$B$4:$O$12,'shell factors calc'!R$2+1,FALSE)</f>
        <v>190.44966099999999</v>
      </c>
      <c r="S217" s="8">
        <f>VLOOKUP($B217,floorspace!$B$4:$O$12,'shell factors calc'!S$2+1,FALSE)</f>
        <v>228.065933</v>
      </c>
      <c r="T217" s="8">
        <f>VLOOKUP($B217,floorspace!$B$4:$O$12,'shell factors calc'!T$2+1,FALSE)</f>
        <v>751.99401899999998</v>
      </c>
      <c r="U217" s="8">
        <f>VLOOKUP($B217,floorspace!$B$4:$O$12,'shell factors calc'!U$2+1,FALSE)</f>
        <v>984.05578600000001</v>
      </c>
      <c r="V217" s="8">
        <f>VLOOKUP($B217,floorspace!$B$4:$O$12,'shell factors calc'!V$2+1,FALSE)</f>
        <v>1016.462524</v>
      </c>
      <c r="W217" s="8">
        <f>VLOOKUP($B217,floorspace!$B$4:$O$12,'shell factors calc'!W$2+1,FALSE)</f>
        <v>2180.842529</v>
      </c>
      <c r="X217" s="8">
        <f>VLOOKUP($B217,floorspace!$B$4:$O$12,'shell factors calc'!X$2+1,FALSE)</f>
        <v>2050.6289059999999</v>
      </c>
      <c r="Y217" s="8">
        <f>VLOOKUP($B217,floorspace!$B$4:$O$12,'shell factors calc'!Y$2+1,FALSE)</f>
        <v>628.40942399999994</v>
      </c>
      <c r="Z217">
        <f t="shared" si="3"/>
        <v>0.64315623773636299</v>
      </c>
    </row>
    <row r="218" spans="1:26" x14ac:dyDescent="0.2">
      <c r="A218" s="5" t="s">
        <v>45</v>
      </c>
      <c r="B218" s="5" t="s">
        <v>42</v>
      </c>
      <c r="C218" s="6" t="s">
        <v>28</v>
      </c>
      <c r="D218" s="7">
        <v>0.48877100000000001</v>
      </c>
      <c r="E218">
        <v>0.42681999999999998</v>
      </c>
      <c r="F218">
        <v>0.70338699999999998</v>
      </c>
      <c r="G218">
        <v>0.42140100000000003</v>
      </c>
      <c r="H218">
        <v>0.68750999999999995</v>
      </c>
      <c r="I218">
        <v>0.46771800000000002</v>
      </c>
      <c r="J218">
        <v>0.50866199999999995</v>
      </c>
      <c r="K218">
        <v>0.636185</v>
      </c>
      <c r="L218">
        <v>0.68194100000000002</v>
      </c>
      <c r="M218">
        <v>1.073723</v>
      </c>
      <c r="N218">
        <v>0.52616300000000005</v>
      </c>
      <c r="O218" s="8">
        <f>VLOOKUP($B218,floorspace!$B$4:$O$12,'shell factors calc'!O$2+1,FALSE)</f>
        <v>1465.1141359999999</v>
      </c>
      <c r="P218" s="8">
        <f>VLOOKUP($B218,floorspace!$B$4:$O$12,'shell factors calc'!P$2+1,FALSE)</f>
        <v>1778.1881100000001</v>
      </c>
      <c r="Q218" s="8">
        <f>VLOOKUP($B218,floorspace!$B$4:$O$12,'shell factors calc'!Q$2+1,FALSE)</f>
        <v>124.162651</v>
      </c>
      <c r="R218" s="8">
        <f>VLOOKUP($B218,floorspace!$B$4:$O$12,'shell factors calc'!R$2+1,FALSE)</f>
        <v>190.44966099999999</v>
      </c>
      <c r="S218" s="8">
        <f>VLOOKUP($B218,floorspace!$B$4:$O$12,'shell factors calc'!S$2+1,FALSE)</f>
        <v>228.065933</v>
      </c>
      <c r="T218" s="8">
        <f>VLOOKUP($B218,floorspace!$B$4:$O$12,'shell factors calc'!T$2+1,FALSE)</f>
        <v>751.99401899999998</v>
      </c>
      <c r="U218" s="8">
        <f>VLOOKUP($B218,floorspace!$B$4:$O$12,'shell factors calc'!U$2+1,FALSE)</f>
        <v>984.05578600000001</v>
      </c>
      <c r="V218" s="8">
        <f>VLOOKUP($B218,floorspace!$B$4:$O$12,'shell factors calc'!V$2+1,FALSE)</f>
        <v>1016.462524</v>
      </c>
      <c r="W218" s="8">
        <f>VLOOKUP($B218,floorspace!$B$4:$O$12,'shell factors calc'!W$2+1,FALSE)</f>
        <v>2180.842529</v>
      </c>
      <c r="X218" s="8">
        <f>VLOOKUP($B218,floorspace!$B$4:$O$12,'shell factors calc'!X$2+1,FALSE)</f>
        <v>2050.6289059999999</v>
      </c>
      <c r="Y218" s="8">
        <f>VLOOKUP($B218,floorspace!$B$4:$O$12,'shell factors calc'!Y$2+1,FALSE)</f>
        <v>628.40942399999994</v>
      </c>
      <c r="Z218">
        <f t="shared" si="3"/>
        <v>0.64202575873120205</v>
      </c>
    </row>
    <row r="219" spans="1:26" x14ac:dyDescent="0.2">
      <c r="A219" s="5" t="s">
        <v>45</v>
      </c>
      <c r="B219" s="5" t="s">
        <v>42</v>
      </c>
      <c r="C219" s="6" t="s">
        <v>29</v>
      </c>
      <c r="D219" s="7">
        <v>0.48111599999999999</v>
      </c>
      <c r="E219">
        <v>0.41802899999999998</v>
      </c>
      <c r="F219">
        <v>0.69881099999999996</v>
      </c>
      <c r="G219">
        <v>0.41289999999999999</v>
      </c>
      <c r="H219">
        <v>0.68229499999999998</v>
      </c>
      <c r="I219">
        <v>0.45835100000000001</v>
      </c>
      <c r="J219">
        <v>0.50058400000000003</v>
      </c>
      <c r="K219">
        <v>0.63092300000000001</v>
      </c>
      <c r="L219">
        <v>0.67710400000000004</v>
      </c>
      <c r="M219">
        <v>1.1003309999999999</v>
      </c>
      <c r="N219">
        <v>0.51976299999999998</v>
      </c>
      <c r="O219" s="8">
        <f>VLOOKUP($B219,floorspace!$B$4:$O$12,'shell factors calc'!O$2+1,FALSE)</f>
        <v>1465.1141359999999</v>
      </c>
      <c r="P219" s="8">
        <f>VLOOKUP($B219,floorspace!$B$4:$O$12,'shell factors calc'!P$2+1,FALSE)</f>
        <v>1778.1881100000001</v>
      </c>
      <c r="Q219" s="8">
        <f>VLOOKUP($B219,floorspace!$B$4:$O$12,'shell factors calc'!Q$2+1,FALSE)</f>
        <v>124.162651</v>
      </c>
      <c r="R219" s="8">
        <f>VLOOKUP($B219,floorspace!$B$4:$O$12,'shell factors calc'!R$2+1,FALSE)</f>
        <v>190.44966099999999</v>
      </c>
      <c r="S219" s="8">
        <f>VLOOKUP($B219,floorspace!$B$4:$O$12,'shell factors calc'!S$2+1,FALSE)</f>
        <v>228.065933</v>
      </c>
      <c r="T219" s="8">
        <f>VLOOKUP($B219,floorspace!$B$4:$O$12,'shell factors calc'!T$2+1,FALSE)</f>
        <v>751.99401899999998</v>
      </c>
      <c r="U219" s="8">
        <f>VLOOKUP($B219,floorspace!$B$4:$O$12,'shell factors calc'!U$2+1,FALSE)</f>
        <v>984.05578600000001</v>
      </c>
      <c r="V219" s="8">
        <f>VLOOKUP($B219,floorspace!$B$4:$O$12,'shell factors calc'!V$2+1,FALSE)</f>
        <v>1016.462524</v>
      </c>
      <c r="W219" s="8">
        <f>VLOOKUP($B219,floorspace!$B$4:$O$12,'shell factors calc'!W$2+1,FALSE)</f>
        <v>2180.842529</v>
      </c>
      <c r="X219" s="8">
        <f>VLOOKUP($B219,floorspace!$B$4:$O$12,'shell factors calc'!X$2+1,FALSE)</f>
        <v>2050.6289059999999</v>
      </c>
      <c r="Y219" s="8">
        <f>VLOOKUP($B219,floorspace!$B$4:$O$12,'shell factors calc'!Y$2+1,FALSE)</f>
        <v>628.40942399999994</v>
      </c>
      <c r="Z219">
        <f t="shared" si="3"/>
        <v>0.64109815067976605</v>
      </c>
    </row>
    <row r="220" spans="1:26" x14ac:dyDescent="0.2">
      <c r="A220" s="5" t="s">
        <v>45</v>
      </c>
      <c r="B220" s="5" t="s">
        <v>42</v>
      </c>
      <c r="C220" s="6" t="s">
        <v>30</v>
      </c>
      <c r="D220" s="7">
        <v>0.47358</v>
      </c>
      <c r="E220">
        <v>0.40942000000000001</v>
      </c>
      <c r="F220">
        <v>0.69426399999999999</v>
      </c>
      <c r="G220">
        <v>0.40457100000000001</v>
      </c>
      <c r="H220">
        <v>0.67711900000000003</v>
      </c>
      <c r="I220">
        <v>0.44917200000000002</v>
      </c>
      <c r="J220">
        <v>0.49263400000000002</v>
      </c>
      <c r="K220">
        <v>0.62570499999999996</v>
      </c>
      <c r="L220">
        <v>0.67230100000000004</v>
      </c>
      <c r="M220">
        <v>1.127599</v>
      </c>
      <c r="N220">
        <v>0.51344000000000001</v>
      </c>
      <c r="O220" s="8">
        <f>VLOOKUP($B220,floorspace!$B$4:$O$12,'shell factors calc'!O$2+1,FALSE)</f>
        <v>1465.1141359999999</v>
      </c>
      <c r="P220" s="8">
        <f>VLOOKUP($B220,floorspace!$B$4:$O$12,'shell factors calc'!P$2+1,FALSE)</f>
        <v>1778.1881100000001</v>
      </c>
      <c r="Q220" s="8">
        <f>VLOOKUP($B220,floorspace!$B$4:$O$12,'shell factors calc'!Q$2+1,FALSE)</f>
        <v>124.162651</v>
      </c>
      <c r="R220" s="8">
        <f>VLOOKUP($B220,floorspace!$B$4:$O$12,'shell factors calc'!R$2+1,FALSE)</f>
        <v>190.44966099999999</v>
      </c>
      <c r="S220" s="8">
        <f>VLOOKUP($B220,floorspace!$B$4:$O$12,'shell factors calc'!S$2+1,FALSE)</f>
        <v>228.065933</v>
      </c>
      <c r="T220" s="8">
        <f>VLOOKUP($B220,floorspace!$B$4:$O$12,'shell factors calc'!T$2+1,FALSE)</f>
        <v>751.99401899999998</v>
      </c>
      <c r="U220" s="8">
        <f>VLOOKUP($B220,floorspace!$B$4:$O$12,'shell factors calc'!U$2+1,FALSE)</f>
        <v>984.05578600000001</v>
      </c>
      <c r="V220" s="8">
        <f>VLOOKUP($B220,floorspace!$B$4:$O$12,'shell factors calc'!V$2+1,FALSE)</f>
        <v>1016.462524</v>
      </c>
      <c r="W220" s="8">
        <f>VLOOKUP($B220,floorspace!$B$4:$O$12,'shell factors calc'!W$2+1,FALSE)</f>
        <v>2180.842529</v>
      </c>
      <c r="X220" s="8">
        <f>VLOOKUP($B220,floorspace!$B$4:$O$12,'shell factors calc'!X$2+1,FALSE)</f>
        <v>2050.6289059999999</v>
      </c>
      <c r="Y220" s="8">
        <f>VLOOKUP($B220,floorspace!$B$4:$O$12,'shell factors calc'!Y$2+1,FALSE)</f>
        <v>628.40942399999994</v>
      </c>
      <c r="Z220">
        <f t="shared" si="3"/>
        <v>0.64037506663593369</v>
      </c>
    </row>
    <row r="221" spans="1:26" x14ac:dyDescent="0.2">
      <c r="A221" s="5" t="s">
        <v>45</v>
      </c>
      <c r="B221" s="5" t="s">
        <v>42</v>
      </c>
      <c r="C221" s="6" t="s">
        <v>31</v>
      </c>
      <c r="D221" s="7">
        <v>0.46616200000000002</v>
      </c>
      <c r="E221">
        <v>0.40098699999999998</v>
      </c>
      <c r="F221">
        <v>0.68974800000000003</v>
      </c>
      <c r="G221">
        <v>0.39641100000000001</v>
      </c>
      <c r="H221">
        <v>0.671983</v>
      </c>
      <c r="I221">
        <v>0.44017600000000001</v>
      </c>
      <c r="J221">
        <v>0.48481099999999999</v>
      </c>
      <c r="K221">
        <v>0.62053000000000003</v>
      </c>
      <c r="L221">
        <v>0.66753200000000001</v>
      </c>
      <c r="M221">
        <v>1.155543</v>
      </c>
      <c r="N221">
        <v>0.50719499999999995</v>
      </c>
      <c r="O221" s="8">
        <f>VLOOKUP($B221,floorspace!$B$4:$O$12,'shell factors calc'!O$2+1,FALSE)</f>
        <v>1465.1141359999999</v>
      </c>
      <c r="P221" s="8">
        <f>VLOOKUP($B221,floorspace!$B$4:$O$12,'shell factors calc'!P$2+1,FALSE)</f>
        <v>1778.1881100000001</v>
      </c>
      <c r="Q221" s="8">
        <f>VLOOKUP($B221,floorspace!$B$4:$O$12,'shell factors calc'!Q$2+1,FALSE)</f>
        <v>124.162651</v>
      </c>
      <c r="R221" s="8">
        <f>VLOOKUP($B221,floorspace!$B$4:$O$12,'shell factors calc'!R$2+1,FALSE)</f>
        <v>190.44966099999999</v>
      </c>
      <c r="S221" s="8">
        <f>VLOOKUP($B221,floorspace!$B$4:$O$12,'shell factors calc'!S$2+1,FALSE)</f>
        <v>228.065933</v>
      </c>
      <c r="T221" s="8">
        <f>VLOOKUP($B221,floorspace!$B$4:$O$12,'shell factors calc'!T$2+1,FALSE)</f>
        <v>751.99401899999998</v>
      </c>
      <c r="U221" s="8">
        <f>VLOOKUP($B221,floorspace!$B$4:$O$12,'shell factors calc'!U$2+1,FALSE)</f>
        <v>984.05578600000001</v>
      </c>
      <c r="V221" s="8">
        <f>VLOOKUP($B221,floorspace!$B$4:$O$12,'shell factors calc'!V$2+1,FALSE)</f>
        <v>1016.462524</v>
      </c>
      <c r="W221" s="8">
        <f>VLOOKUP($B221,floorspace!$B$4:$O$12,'shell factors calc'!W$2+1,FALSE)</f>
        <v>2180.842529</v>
      </c>
      <c r="X221" s="8">
        <f>VLOOKUP($B221,floorspace!$B$4:$O$12,'shell factors calc'!X$2+1,FALSE)</f>
        <v>2050.6289059999999</v>
      </c>
      <c r="Y221" s="8">
        <f>VLOOKUP($B221,floorspace!$B$4:$O$12,'shell factors calc'!Y$2+1,FALSE)</f>
        <v>628.40942399999994</v>
      </c>
      <c r="Z221">
        <f t="shared" si="3"/>
        <v>0.63985786194945959</v>
      </c>
    </row>
    <row r="222" spans="1:26" x14ac:dyDescent="0.2">
      <c r="A222" s="5" t="s">
        <v>45</v>
      </c>
      <c r="B222" s="5" t="s">
        <v>42</v>
      </c>
      <c r="C222" s="6" t="s">
        <v>32</v>
      </c>
      <c r="D222" s="7">
        <v>0.45885999999999999</v>
      </c>
      <c r="E222">
        <v>0.39272899999999999</v>
      </c>
      <c r="F222">
        <v>0.68525999999999998</v>
      </c>
      <c r="G222">
        <v>0.38841399999999998</v>
      </c>
      <c r="H222">
        <v>0.66688499999999995</v>
      </c>
      <c r="I222">
        <v>0.43136099999999999</v>
      </c>
      <c r="J222">
        <v>0.47711199999999998</v>
      </c>
      <c r="K222">
        <v>0.615398</v>
      </c>
      <c r="L222">
        <v>0.66279699999999997</v>
      </c>
      <c r="M222">
        <v>1.1841790000000001</v>
      </c>
      <c r="N222">
        <v>0.50102599999999997</v>
      </c>
      <c r="O222" s="8">
        <f>VLOOKUP($B222,floorspace!$B$4:$O$12,'shell factors calc'!O$2+1,FALSE)</f>
        <v>1465.1141359999999</v>
      </c>
      <c r="P222" s="8">
        <f>VLOOKUP($B222,floorspace!$B$4:$O$12,'shell factors calc'!P$2+1,FALSE)</f>
        <v>1778.1881100000001</v>
      </c>
      <c r="Q222" s="8">
        <f>VLOOKUP($B222,floorspace!$B$4:$O$12,'shell factors calc'!Q$2+1,FALSE)</f>
        <v>124.162651</v>
      </c>
      <c r="R222" s="8">
        <f>VLOOKUP($B222,floorspace!$B$4:$O$12,'shell factors calc'!R$2+1,FALSE)</f>
        <v>190.44966099999999</v>
      </c>
      <c r="S222" s="8">
        <f>VLOOKUP($B222,floorspace!$B$4:$O$12,'shell factors calc'!S$2+1,FALSE)</f>
        <v>228.065933</v>
      </c>
      <c r="T222" s="8">
        <f>VLOOKUP($B222,floorspace!$B$4:$O$12,'shell factors calc'!T$2+1,FALSE)</f>
        <v>751.99401899999998</v>
      </c>
      <c r="U222" s="8">
        <f>VLOOKUP($B222,floorspace!$B$4:$O$12,'shell factors calc'!U$2+1,FALSE)</f>
        <v>984.05578600000001</v>
      </c>
      <c r="V222" s="8">
        <f>VLOOKUP($B222,floorspace!$B$4:$O$12,'shell factors calc'!V$2+1,FALSE)</f>
        <v>1016.462524</v>
      </c>
      <c r="W222" s="8">
        <f>VLOOKUP($B222,floorspace!$B$4:$O$12,'shell factors calc'!W$2+1,FALSE)</f>
        <v>2180.842529</v>
      </c>
      <c r="X222" s="8">
        <f>VLOOKUP($B222,floorspace!$B$4:$O$12,'shell factors calc'!X$2+1,FALSE)</f>
        <v>2050.6289059999999</v>
      </c>
      <c r="Y222" s="8">
        <f>VLOOKUP($B222,floorspace!$B$4:$O$12,'shell factors calc'!Y$2+1,FALSE)</f>
        <v>628.40942399999994</v>
      </c>
      <c r="Z222">
        <f t="shared" si="3"/>
        <v>0.63954832787185589</v>
      </c>
    </row>
    <row r="223" spans="1:26" x14ac:dyDescent="0.2">
      <c r="A223" s="5" t="s">
        <v>45</v>
      </c>
      <c r="B223" s="5" t="s">
        <v>42</v>
      </c>
      <c r="C223" s="6" t="s">
        <v>33</v>
      </c>
      <c r="D223" s="7">
        <v>0.45167299999999999</v>
      </c>
      <c r="E223">
        <v>0.38463999999999998</v>
      </c>
      <c r="F223">
        <v>0.68080200000000002</v>
      </c>
      <c r="G223">
        <v>0.380579</v>
      </c>
      <c r="H223">
        <v>0.66182700000000005</v>
      </c>
      <c r="I223">
        <v>0.42272199999999999</v>
      </c>
      <c r="J223">
        <v>0.46953600000000001</v>
      </c>
      <c r="K223">
        <v>0.61030799999999996</v>
      </c>
      <c r="L223">
        <v>0.65809499999999999</v>
      </c>
      <c r="M223">
        <v>1.2135260000000001</v>
      </c>
      <c r="N223">
        <v>0.49493199999999998</v>
      </c>
      <c r="O223" s="8">
        <f>VLOOKUP($B223,floorspace!$B$4:$O$12,'shell factors calc'!O$2+1,FALSE)</f>
        <v>1465.1141359999999</v>
      </c>
      <c r="P223" s="8">
        <f>VLOOKUP($B223,floorspace!$B$4:$O$12,'shell factors calc'!P$2+1,FALSE)</f>
        <v>1778.1881100000001</v>
      </c>
      <c r="Q223" s="8">
        <f>VLOOKUP($B223,floorspace!$B$4:$O$12,'shell factors calc'!Q$2+1,FALSE)</f>
        <v>124.162651</v>
      </c>
      <c r="R223" s="8">
        <f>VLOOKUP($B223,floorspace!$B$4:$O$12,'shell factors calc'!R$2+1,FALSE)</f>
        <v>190.44966099999999</v>
      </c>
      <c r="S223" s="8">
        <f>VLOOKUP($B223,floorspace!$B$4:$O$12,'shell factors calc'!S$2+1,FALSE)</f>
        <v>228.065933</v>
      </c>
      <c r="T223" s="8">
        <f>VLOOKUP($B223,floorspace!$B$4:$O$12,'shell factors calc'!T$2+1,FALSE)</f>
        <v>751.99401899999998</v>
      </c>
      <c r="U223" s="8">
        <f>VLOOKUP($B223,floorspace!$B$4:$O$12,'shell factors calc'!U$2+1,FALSE)</f>
        <v>984.05578600000001</v>
      </c>
      <c r="V223" s="8">
        <f>VLOOKUP($B223,floorspace!$B$4:$O$12,'shell factors calc'!V$2+1,FALSE)</f>
        <v>1016.462524</v>
      </c>
      <c r="W223" s="8">
        <f>VLOOKUP($B223,floorspace!$B$4:$O$12,'shell factors calc'!W$2+1,FALSE)</f>
        <v>2180.842529</v>
      </c>
      <c r="X223" s="8">
        <f>VLOOKUP($B223,floorspace!$B$4:$O$12,'shell factors calc'!X$2+1,FALSE)</f>
        <v>2050.6289059999999</v>
      </c>
      <c r="Y223" s="8">
        <f>VLOOKUP($B223,floorspace!$B$4:$O$12,'shell factors calc'!Y$2+1,FALSE)</f>
        <v>628.40942399999994</v>
      </c>
      <c r="Z223">
        <f t="shared" si="3"/>
        <v>0.63944811130241641</v>
      </c>
    </row>
    <row r="224" spans="1:26" x14ac:dyDescent="0.2">
      <c r="A224" s="5" t="s">
        <v>45</v>
      </c>
      <c r="B224" s="5" t="s">
        <v>42</v>
      </c>
      <c r="C224" s="6" t="s">
        <v>34</v>
      </c>
      <c r="D224" s="7">
        <v>0.44459900000000002</v>
      </c>
      <c r="E224">
        <v>0.376718</v>
      </c>
      <c r="F224">
        <v>0.67637199999999997</v>
      </c>
      <c r="G224">
        <v>0.37290200000000001</v>
      </c>
      <c r="H224">
        <v>0.65680700000000003</v>
      </c>
      <c r="I224">
        <v>0.41425600000000001</v>
      </c>
      <c r="J224">
        <v>0.46207900000000002</v>
      </c>
      <c r="K224">
        <v>0.60526000000000002</v>
      </c>
      <c r="L224">
        <v>0.65342699999999998</v>
      </c>
      <c r="M224">
        <v>1.2435989999999999</v>
      </c>
      <c r="N224">
        <v>0.48891099999999998</v>
      </c>
      <c r="O224" s="8">
        <f>VLOOKUP($B224,floorspace!$B$4:$O$12,'shell factors calc'!O$2+1,FALSE)</f>
        <v>1465.1141359999999</v>
      </c>
      <c r="P224" s="8">
        <f>VLOOKUP($B224,floorspace!$B$4:$O$12,'shell factors calc'!P$2+1,FALSE)</f>
        <v>1778.1881100000001</v>
      </c>
      <c r="Q224" s="8">
        <f>VLOOKUP($B224,floorspace!$B$4:$O$12,'shell factors calc'!Q$2+1,FALSE)</f>
        <v>124.162651</v>
      </c>
      <c r="R224" s="8">
        <f>VLOOKUP($B224,floorspace!$B$4:$O$12,'shell factors calc'!R$2+1,FALSE)</f>
        <v>190.44966099999999</v>
      </c>
      <c r="S224" s="8">
        <f>VLOOKUP($B224,floorspace!$B$4:$O$12,'shell factors calc'!S$2+1,FALSE)</f>
        <v>228.065933</v>
      </c>
      <c r="T224" s="8">
        <f>VLOOKUP($B224,floorspace!$B$4:$O$12,'shell factors calc'!T$2+1,FALSE)</f>
        <v>751.99401899999998</v>
      </c>
      <c r="U224" s="8">
        <f>VLOOKUP($B224,floorspace!$B$4:$O$12,'shell factors calc'!U$2+1,FALSE)</f>
        <v>984.05578600000001</v>
      </c>
      <c r="V224" s="8">
        <f>VLOOKUP($B224,floorspace!$B$4:$O$12,'shell factors calc'!V$2+1,FALSE)</f>
        <v>1016.462524</v>
      </c>
      <c r="W224" s="8">
        <f>VLOOKUP($B224,floorspace!$B$4:$O$12,'shell factors calc'!W$2+1,FALSE)</f>
        <v>2180.842529</v>
      </c>
      <c r="X224" s="8">
        <f>VLOOKUP($B224,floorspace!$B$4:$O$12,'shell factors calc'!X$2+1,FALSE)</f>
        <v>2050.6289059999999</v>
      </c>
      <c r="Y224" s="8">
        <f>VLOOKUP($B224,floorspace!$B$4:$O$12,'shell factors calc'!Y$2+1,FALSE)</f>
        <v>628.40942399999994</v>
      </c>
      <c r="Z224">
        <f t="shared" si="3"/>
        <v>0.6395587509160664</v>
      </c>
    </row>
    <row r="225" spans="1:26" x14ac:dyDescent="0.2">
      <c r="A225" s="5" t="s">
        <v>45</v>
      </c>
      <c r="B225" s="5" t="s">
        <v>42</v>
      </c>
      <c r="C225" s="6" t="s">
        <v>35</v>
      </c>
      <c r="D225" s="7">
        <v>0.437635</v>
      </c>
      <c r="E225">
        <v>0.36895899999999998</v>
      </c>
      <c r="F225">
        <v>0.67197200000000001</v>
      </c>
      <c r="G225">
        <v>0.36537999999999998</v>
      </c>
      <c r="H225">
        <v>0.65182399999999996</v>
      </c>
      <c r="I225">
        <v>0.40595999999999999</v>
      </c>
      <c r="J225">
        <v>0.45474100000000001</v>
      </c>
      <c r="K225">
        <v>0.60025499999999998</v>
      </c>
      <c r="L225">
        <v>0.64879200000000004</v>
      </c>
      <c r="M225">
        <v>1.2744169999999999</v>
      </c>
      <c r="N225">
        <v>0.482964</v>
      </c>
      <c r="O225" s="8">
        <f>VLOOKUP($B225,floorspace!$B$4:$O$12,'shell factors calc'!O$2+1,FALSE)</f>
        <v>1465.1141359999999</v>
      </c>
      <c r="P225" s="8">
        <f>VLOOKUP($B225,floorspace!$B$4:$O$12,'shell factors calc'!P$2+1,FALSE)</f>
        <v>1778.1881100000001</v>
      </c>
      <c r="Q225" s="8">
        <f>VLOOKUP($B225,floorspace!$B$4:$O$12,'shell factors calc'!Q$2+1,FALSE)</f>
        <v>124.162651</v>
      </c>
      <c r="R225" s="8">
        <f>VLOOKUP($B225,floorspace!$B$4:$O$12,'shell factors calc'!R$2+1,FALSE)</f>
        <v>190.44966099999999</v>
      </c>
      <c r="S225" s="8">
        <f>VLOOKUP($B225,floorspace!$B$4:$O$12,'shell factors calc'!S$2+1,FALSE)</f>
        <v>228.065933</v>
      </c>
      <c r="T225" s="8">
        <f>VLOOKUP($B225,floorspace!$B$4:$O$12,'shell factors calc'!T$2+1,FALSE)</f>
        <v>751.99401899999998</v>
      </c>
      <c r="U225" s="8">
        <f>VLOOKUP($B225,floorspace!$B$4:$O$12,'shell factors calc'!U$2+1,FALSE)</f>
        <v>984.05578600000001</v>
      </c>
      <c r="V225" s="8">
        <f>VLOOKUP($B225,floorspace!$B$4:$O$12,'shell factors calc'!V$2+1,FALSE)</f>
        <v>1016.462524</v>
      </c>
      <c r="W225" s="8">
        <f>VLOOKUP($B225,floorspace!$B$4:$O$12,'shell factors calc'!W$2+1,FALSE)</f>
        <v>2180.842529</v>
      </c>
      <c r="X225" s="8">
        <f>VLOOKUP($B225,floorspace!$B$4:$O$12,'shell factors calc'!X$2+1,FALSE)</f>
        <v>2050.6289059999999</v>
      </c>
      <c r="Y225" s="8">
        <f>VLOOKUP($B225,floorspace!$B$4:$O$12,'shell factors calc'!Y$2+1,FALSE)</f>
        <v>628.40942399999994</v>
      </c>
      <c r="Z225">
        <f t="shared" si="3"/>
        <v>0.63988236199809068</v>
      </c>
    </row>
    <row r="226" spans="1:26" x14ac:dyDescent="0.2">
      <c r="A226" s="5" t="s">
        <v>45</v>
      </c>
      <c r="B226" s="1" t="s">
        <v>42</v>
      </c>
      <c r="C226" s="2" t="s">
        <v>36</v>
      </c>
      <c r="D226" s="4">
        <v>0.43078</v>
      </c>
      <c r="E226">
        <v>0.36136000000000001</v>
      </c>
      <c r="F226">
        <v>0.66759999999999997</v>
      </c>
      <c r="G226">
        <v>0.35800999999999999</v>
      </c>
      <c r="H226">
        <v>0.64688000000000001</v>
      </c>
      <c r="I226">
        <v>0.39783000000000002</v>
      </c>
      <c r="J226">
        <v>0.44751999999999997</v>
      </c>
      <c r="K226">
        <v>0.59528999999999999</v>
      </c>
      <c r="L226">
        <v>0.64419000000000004</v>
      </c>
      <c r="M226">
        <v>1.306</v>
      </c>
      <c r="N226">
        <v>0.47709000000000001</v>
      </c>
      <c r="O226" s="8">
        <f>VLOOKUP($B226,floorspace!$B$4:$O$12,'shell factors calc'!O$2+1,FALSE)</f>
        <v>1465.1141359999999</v>
      </c>
      <c r="P226" s="8">
        <f>VLOOKUP($B226,floorspace!$B$4:$O$12,'shell factors calc'!P$2+1,FALSE)</f>
        <v>1778.1881100000001</v>
      </c>
      <c r="Q226" s="8">
        <f>VLOOKUP($B226,floorspace!$B$4:$O$12,'shell factors calc'!Q$2+1,FALSE)</f>
        <v>124.162651</v>
      </c>
      <c r="R226" s="8">
        <f>VLOOKUP($B226,floorspace!$B$4:$O$12,'shell factors calc'!R$2+1,FALSE)</f>
        <v>190.44966099999999</v>
      </c>
      <c r="S226" s="8">
        <f>VLOOKUP($B226,floorspace!$B$4:$O$12,'shell factors calc'!S$2+1,FALSE)</f>
        <v>228.065933</v>
      </c>
      <c r="T226" s="8">
        <f>VLOOKUP($B226,floorspace!$B$4:$O$12,'shell factors calc'!T$2+1,FALSE)</f>
        <v>751.99401899999998</v>
      </c>
      <c r="U226" s="8">
        <f>VLOOKUP($B226,floorspace!$B$4:$O$12,'shell factors calc'!U$2+1,FALSE)</f>
        <v>984.05578600000001</v>
      </c>
      <c r="V226" s="8">
        <f>VLOOKUP($B226,floorspace!$B$4:$O$12,'shell factors calc'!V$2+1,FALSE)</f>
        <v>1016.462524</v>
      </c>
      <c r="W226" s="8">
        <f>VLOOKUP($B226,floorspace!$B$4:$O$12,'shell factors calc'!W$2+1,FALSE)</f>
        <v>2180.842529</v>
      </c>
      <c r="X226" s="8">
        <f>VLOOKUP($B226,floorspace!$B$4:$O$12,'shell factors calc'!X$2+1,FALSE)</f>
        <v>2050.6289059999999</v>
      </c>
      <c r="Y226" s="8">
        <f>VLOOKUP($B226,floorspace!$B$4:$O$12,'shell factors calc'!Y$2+1,FALSE)</f>
        <v>628.40942399999994</v>
      </c>
      <c r="Z226">
        <f t="shared" si="3"/>
        <v>0.64042115499300523</v>
      </c>
    </row>
    <row r="227" spans="1:26" x14ac:dyDescent="0.2">
      <c r="A227" s="5" t="s">
        <v>45</v>
      </c>
      <c r="B227" s="5" t="s">
        <v>43</v>
      </c>
      <c r="C227" s="6" t="s">
        <v>5</v>
      </c>
      <c r="D227" s="7">
        <v>0.78049500000000005</v>
      </c>
      <c r="E227">
        <v>0.775424</v>
      </c>
      <c r="F227">
        <v>0.84671200000000002</v>
      </c>
      <c r="G227">
        <v>0.617058</v>
      </c>
      <c r="H227">
        <v>0.804898</v>
      </c>
      <c r="I227">
        <v>0.72944100000000001</v>
      </c>
      <c r="J227">
        <v>0.813666</v>
      </c>
      <c r="K227">
        <v>0.79522300000000001</v>
      </c>
      <c r="L227">
        <v>0.73483399999999999</v>
      </c>
      <c r="M227">
        <v>0.60148299999999999</v>
      </c>
      <c r="N227">
        <v>0.78764199999999995</v>
      </c>
      <c r="O227" s="8">
        <f>VLOOKUP($B227,floorspace!$B$4:$O$12,'shell factors calc'!O$2+1,FALSE)</f>
        <v>909.66033900000002</v>
      </c>
      <c r="P227" s="8">
        <f>VLOOKUP($B227,floorspace!$B$4:$O$12,'shell factors calc'!P$2+1,FALSE)</f>
        <v>881.97393799999998</v>
      </c>
      <c r="Q227" s="8">
        <f>VLOOKUP($B227,floorspace!$B$4:$O$12,'shell factors calc'!Q$2+1,FALSE)</f>
        <v>94.492217999999994</v>
      </c>
      <c r="R227" s="8">
        <f>VLOOKUP($B227,floorspace!$B$4:$O$12,'shell factors calc'!R$2+1,FALSE)</f>
        <v>206.62240600000001</v>
      </c>
      <c r="S227" s="8">
        <f>VLOOKUP($B227,floorspace!$B$4:$O$12,'shell factors calc'!S$2+1,FALSE)</f>
        <v>171.98699999999999</v>
      </c>
      <c r="T227" s="8">
        <f>VLOOKUP($B227,floorspace!$B$4:$O$12,'shell factors calc'!T$2+1,FALSE)</f>
        <v>684.67663600000003</v>
      </c>
      <c r="U227" s="8">
        <f>VLOOKUP($B227,floorspace!$B$4:$O$12,'shell factors calc'!U$2+1,FALSE)</f>
        <v>875.10882600000002</v>
      </c>
      <c r="V227" s="8">
        <f>VLOOKUP($B227,floorspace!$B$4:$O$12,'shell factors calc'!V$2+1,FALSE)</f>
        <v>703.37530500000003</v>
      </c>
      <c r="W227" s="8">
        <f>VLOOKUP($B227,floorspace!$B$4:$O$12,'shell factors calc'!W$2+1,FALSE)</f>
        <v>1558.8479</v>
      </c>
      <c r="X227" s="8">
        <f>VLOOKUP($B227,floorspace!$B$4:$O$12,'shell factors calc'!X$2+1,FALSE)</f>
        <v>1048.3610839999999</v>
      </c>
      <c r="Y227" s="8">
        <f>VLOOKUP($B227,floorspace!$B$4:$O$12,'shell factors calc'!Y$2+1,FALSE)</f>
        <v>336.39016700000002</v>
      </c>
      <c r="Z227">
        <f t="shared" si="3"/>
        <v>0.74304603726892238</v>
      </c>
    </row>
    <row r="228" spans="1:26" x14ac:dyDescent="0.2">
      <c r="A228" s="5" t="s">
        <v>45</v>
      </c>
      <c r="B228" s="5" t="s">
        <v>43</v>
      </c>
      <c r="C228" s="6" t="s">
        <v>6</v>
      </c>
      <c r="D228" s="7">
        <v>0.77566000000000002</v>
      </c>
      <c r="E228">
        <v>0.77039999999999997</v>
      </c>
      <c r="F228">
        <v>0.83494000000000002</v>
      </c>
      <c r="G228">
        <v>0.60906000000000005</v>
      </c>
      <c r="H228">
        <v>0.79969000000000001</v>
      </c>
      <c r="I228">
        <v>0.72197999999999996</v>
      </c>
      <c r="J228">
        <v>0.80896000000000001</v>
      </c>
      <c r="K228">
        <v>0.79085000000000005</v>
      </c>
      <c r="L228">
        <v>0.72867000000000004</v>
      </c>
      <c r="M228">
        <v>0.60297000000000001</v>
      </c>
      <c r="N228">
        <v>0.78236000000000006</v>
      </c>
      <c r="O228" s="8">
        <f>VLOOKUP($B228,floorspace!$B$4:$O$12,'shell factors calc'!O$2+1,FALSE)</f>
        <v>909.66033900000002</v>
      </c>
      <c r="P228" s="8">
        <f>VLOOKUP($B228,floorspace!$B$4:$O$12,'shell factors calc'!P$2+1,FALSE)</f>
        <v>881.97393799999998</v>
      </c>
      <c r="Q228" s="8">
        <f>VLOOKUP($B228,floorspace!$B$4:$O$12,'shell factors calc'!Q$2+1,FALSE)</f>
        <v>94.492217999999994</v>
      </c>
      <c r="R228" s="8">
        <f>VLOOKUP($B228,floorspace!$B$4:$O$12,'shell factors calc'!R$2+1,FALSE)</f>
        <v>206.62240600000001</v>
      </c>
      <c r="S228" s="8">
        <f>VLOOKUP($B228,floorspace!$B$4:$O$12,'shell factors calc'!S$2+1,FALSE)</f>
        <v>171.98699999999999</v>
      </c>
      <c r="T228" s="8">
        <f>VLOOKUP($B228,floorspace!$B$4:$O$12,'shell factors calc'!T$2+1,FALSE)</f>
        <v>684.67663600000003</v>
      </c>
      <c r="U228" s="8">
        <f>VLOOKUP($B228,floorspace!$B$4:$O$12,'shell factors calc'!U$2+1,FALSE)</f>
        <v>875.10882600000002</v>
      </c>
      <c r="V228" s="8">
        <f>VLOOKUP($B228,floorspace!$B$4:$O$12,'shell factors calc'!V$2+1,FALSE)</f>
        <v>703.37530500000003</v>
      </c>
      <c r="W228" s="8">
        <f>VLOOKUP($B228,floorspace!$B$4:$O$12,'shell factors calc'!W$2+1,FALSE)</f>
        <v>1558.8479</v>
      </c>
      <c r="X228" s="8">
        <f>VLOOKUP($B228,floorspace!$B$4:$O$12,'shell factors calc'!X$2+1,FALSE)</f>
        <v>1048.3610839999999</v>
      </c>
      <c r="Y228" s="8">
        <f>VLOOKUP($B228,floorspace!$B$4:$O$12,'shell factors calc'!Y$2+1,FALSE)</f>
        <v>336.39016700000002</v>
      </c>
      <c r="Z228">
        <f t="shared" si="3"/>
        <v>0.73841255885407453</v>
      </c>
    </row>
    <row r="229" spans="1:26" x14ac:dyDescent="0.2">
      <c r="A229" s="5" t="s">
        <v>45</v>
      </c>
      <c r="B229" s="5" t="s">
        <v>43</v>
      </c>
      <c r="C229" s="6" t="s">
        <v>7</v>
      </c>
      <c r="D229" s="7">
        <v>0.77068199999999998</v>
      </c>
      <c r="E229">
        <v>0.76521799999999995</v>
      </c>
      <c r="F229">
        <v>0.82710300000000003</v>
      </c>
      <c r="G229">
        <v>0.60051200000000005</v>
      </c>
      <c r="H229">
        <v>0.79432199999999997</v>
      </c>
      <c r="I229">
        <v>0.71413000000000004</v>
      </c>
      <c r="J229">
        <v>0.80412499999999998</v>
      </c>
      <c r="K229">
        <v>0.78636600000000001</v>
      </c>
      <c r="L229">
        <v>0.72224500000000003</v>
      </c>
      <c r="M229">
        <v>0.60443199999999997</v>
      </c>
      <c r="N229">
        <v>0.77690700000000001</v>
      </c>
      <c r="O229" s="8">
        <f>VLOOKUP($B229,floorspace!$B$4:$O$12,'shell factors calc'!O$2+1,FALSE)</f>
        <v>909.66033900000002</v>
      </c>
      <c r="P229" s="8">
        <f>VLOOKUP($B229,floorspace!$B$4:$O$12,'shell factors calc'!P$2+1,FALSE)</f>
        <v>881.97393799999998</v>
      </c>
      <c r="Q229" s="8">
        <f>VLOOKUP($B229,floorspace!$B$4:$O$12,'shell factors calc'!Q$2+1,FALSE)</f>
        <v>94.492217999999994</v>
      </c>
      <c r="R229" s="8">
        <f>VLOOKUP($B229,floorspace!$B$4:$O$12,'shell factors calc'!R$2+1,FALSE)</f>
        <v>206.62240600000001</v>
      </c>
      <c r="S229" s="8">
        <f>VLOOKUP($B229,floorspace!$B$4:$O$12,'shell factors calc'!S$2+1,FALSE)</f>
        <v>171.98699999999999</v>
      </c>
      <c r="T229" s="8">
        <f>VLOOKUP($B229,floorspace!$B$4:$O$12,'shell factors calc'!T$2+1,FALSE)</f>
        <v>684.67663600000003</v>
      </c>
      <c r="U229" s="8">
        <f>VLOOKUP($B229,floorspace!$B$4:$O$12,'shell factors calc'!U$2+1,FALSE)</f>
        <v>875.10882600000002</v>
      </c>
      <c r="V229" s="8">
        <f>VLOOKUP($B229,floorspace!$B$4:$O$12,'shell factors calc'!V$2+1,FALSE)</f>
        <v>703.37530500000003</v>
      </c>
      <c r="W229" s="8">
        <f>VLOOKUP($B229,floorspace!$B$4:$O$12,'shell factors calc'!W$2+1,FALSE)</f>
        <v>1558.8479</v>
      </c>
      <c r="X229" s="8">
        <f>VLOOKUP($B229,floorspace!$B$4:$O$12,'shell factors calc'!X$2+1,FALSE)</f>
        <v>1048.3610839999999</v>
      </c>
      <c r="Y229" s="8">
        <f>VLOOKUP($B229,floorspace!$B$4:$O$12,'shell factors calc'!Y$2+1,FALSE)</f>
        <v>336.39016700000002</v>
      </c>
      <c r="Z229">
        <f t="shared" si="3"/>
        <v>0.73364702379937496</v>
      </c>
    </row>
    <row r="230" spans="1:26" x14ac:dyDescent="0.2">
      <c r="A230" s="5" t="s">
        <v>45</v>
      </c>
      <c r="B230" s="5" t="s">
        <v>43</v>
      </c>
      <c r="C230" s="6" t="s">
        <v>8</v>
      </c>
      <c r="D230" s="7">
        <v>0.76573500000000005</v>
      </c>
      <c r="E230">
        <v>0.76007100000000005</v>
      </c>
      <c r="F230">
        <v>0.81933999999999996</v>
      </c>
      <c r="G230">
        <v>0.59208400000000005</v>
      </c>
      <c r="H230">
        <v>0.78898900000000005</v>
      </c>
      <c r="I230">
        <v>0.70636500000000002</v>
      </c>
      <c r="J230">
        <v>0.799319</v>
      </c>
      <c r="K230">
        <v>0.78190800000000005</v>
      </c>
      <c r="L230">
        <v>0.71587699999999999</v>
      </c>
      <c r="M230">
        <v>0.60589700000000002</v>
      </c>
      <c r="N230">
        <v>0.77149199999999996</v>
      </c>
      <c r="O230" s="8">
        <f>VLOOKUP($B230,floorspace!$B$4:$O$12,'shell factors calc'!O$2+1,FALSE)</f>
        <v>909.66033900000002</v>
      </c>
      <c r="P230" s="8">
        <f>VLOOKUP($B230,floorspace!$B$4:$O$12,'shell factors calc'!P$2+1,FALSE)</f>
        <v>881.97393799999998</v>
      </c>
      <c r="Q230" s="8">
        <f>VLOOKUP($B230,floorspace!$B$4:$O$12,'shell factors calc'!Q$2+1,FALSE)</f>
        <v>94.492217999999994</v>
      </c>
      <c r="R230" s="8">
        <f>VLOOKUP($B230,floorspace!$B$4:$O$12,'shell factors calc'!R$2+1,FALSE)</f>
        <v>206.62240600000001</v>
      </c>
      <c r="S230" s="8">
        <f>VLOOKUP($B230,floorspace!$B$4:$O$12,'shell factors calc'!S$2+1,FALSE)</f>
        <v>171.98699999999999</v>
      </c>
      <c r="T230" s="8">
        <f>VLOOKUP($B230,floorspace!$B$4:$O$12,'shell factors calc'!T$2+1,FALSE)</f>
        <v>684.67663600000003</v>
      </c>
      <c r="U230" s="8">
        <f>VLOOKUP($B230,floorspace!$B$4:$O$12,'shell factors calc'!U$2+1,FALSE)</f>
        <v>875.10882600000002</v>
      </c>
      <c r="V230" s="8">
        <f>VLOOKUP($B230,floorspace!$B$4:$O$12,'shell factors calc'!V$2+1,FALSE)</f>
        <v>703.37530500000003</v>
      </c>
      <c r="W230" s="8">
        <f>VLOOKUP($B230,floorspace!$B$4:$O$12,'shell factors calc'!W$2+1,FALSE)</f>
        <v>1558.8479</v>
      </c>
      <c r="X230" s="8">
        <f>VLOOKUP($B230,floorspace!$B$4:$O$12,'shell factors calc'!X$2+1,FALSE)</f>
        <v>1048.3610839999999</v>
      </c>
      <c r="Y230" s="8">
        <f>VLOOKUP($B230,floorspace!$B$4:$O$12,'shell factors calc'!Y$2+1,FALSE)</f>
        <v>336.39016700000002</v>
      </c>
      <c r="Z230">
        <f t="shared" si="3"/>
        <v>0.72892211258913531</v>
      </c>
    </row>
    <row r="231" spans="1:26" x14ac:dyDescent="0.2">
      <c r="A231" s="5" t="s">
        <v>45</v>
      </c>
      <c r="B231" s="5" t="s">
        <v>43</v>
      </c>
      <c r="C231" s="6" t="s">
        <v>9</v>
      </c>
      <c r="D231" s="7">
        <v>0.76082099999999997</v>
      </c>
      <c r="E231">
        <v>0.75495800000000002</v>
      </c>
      <c r="F231">
        <v>0.81164899999999995</v>
      </c>
      <c r="G231">
        <v>0.58377400000000002</v>
      </c>
      <c r="H231">
        <v>0.78369299999999997</v>
      </c>
      <c r="I231">
        <v>0.698685</v>
      </c>
      <c r="J231">
        <v>0.79454199999999997</v>
      </c>
      <c r="K231">
        <v>0.77747500000000003</v>
      </c>
      <c r="L231">
        <v>0.70956399999999997</v>
      </c>
      <c r="M231">
        <v>0.60736699999999999</v>
      </c>
      <c r="N231">
        <v>0.76611499999999999</v>
      </c>
      <c r="O231" s="8">
        <f>VLOOKUP($B231,floorspace!$B$4:$O$12,'shell factors calc'!O$2+1,FALSE)</f>
        <v>909.66033900000002</v>
      </c>
      <c r="P231" s="8">
        <f>VLOOKUP($B231,floorspace!$B$4:$O$12,'shell factors calc'!P$2+1,FALSE)</f>
        <v>881.97393799999998</v>
      </c>
      <c r="Q231" s="8">
        <f>VLOOKUP($B231,floorspace!$B$4:$O$12,'shell factors calc'!Q$2+1,FALSE)</f>
        <v>94.492217999999994</v>
      </c>
      <c r="R231" s="8">
        <f>VLOOKUP($B231,floorspace!$B$4:$O$12,'shell factors calc'!R$2+1,FALSE)</f>
        <v>206.62240600000001</v>
      </c>
      <c r="S231" s="8">
        <f>VLOOKUP($B231,floorspace!$B$4:$O$12,'shell factors calc'!S$2+1,FALSE)</f>
        <v>171.98699999999999</v>
      </c>
      <c r="T231" s="8">
        <f>VLOOKUP($B231,floorspace!$B$4:$O$12,'shell factors calc'!T$2+1,FALSE)</f>
        <v>684.67663600000003</v>
      </c>
      <c r="U231" s="8">
        <f>VLOOKUP($B231,floorspace!$B$4:$O$12,'shell factors calc'!U$2+1,FALSE)</f>
        <v>875.10882600000002</v>
      </c>
      <c r="V231" s="8">
        <f>VLOOKUP($B231,floorspace!$B$4:$O$12,'shell factors calc'!V$2+1,FALSE)</f>
        <v>703.37530500000003</v>
      </c>
      <c r="W231" s="8">
        <f>VLOOKUP($B231,floorspace!$B$4:$O$12,'shell factors calc'!W$2+1,FALSE)</f>
        <v>1558.8479</v>
      </c>
      <c r="X231" s="8">
        <f>VLOOKUP($B231,floorspace!$B$4:$O$12,'shell factors calc'!X$2+1,FALSE)</f>
        <v>1048.3610839999999</v>
      </c>
      <c r="Y231" s="8">
        <f>VLOOKUP($B231,floorspace!$B$4:$O$12,'shell factors calc'!Y$2+1,FALSE)</f>
        <v>336.39016700000002</v>
      </c>
      <c r="Z231">
        <f t="shared" si="3"/>
        <v>0.72423768532400046</v>
      </c>
    </row>
    <row r="232" spans="1:26" x14ac:dyDescent="0.2">
      <c r="A232" s="5" t="s">
        <v>45</v>
      </c>
      <c r="B232" s="5" t="s">
        <v>43</v>
      </c>
      <c r="C232" s="6" t="s">
        <v>10</v>
      </c>
      <c r="D232" s="7">
        <v>0.75593699999999997</v>
      </c>
      <c r="E232">
        <v>0.74987999999999999</v>
      </c>
      <c r="F232">
        <v>0.80403100000000005</v>
      </c>
      <c r="G232">
        <v>0.57558100000000001</v>
      </c>
      <c r="H232">
        <v>0.77843200000000001</v>
      </c>
      <c r="I232">
        <v>0.69108800000000004</v>
      </c>
      <c r="J232">
        <v>0.78979299999999997</v>
      </c>
      <c r="K232">
        <v>0.77306699999999995</v>
      </c>
      <c r="L232">
        <v>0.70330800000000004</v>
      </c>
      <c r="M232">
        <v>0.60883900000000002</v>
      </c>
      <c r="N232">
        <v>0.76077499999999998</v>
      </c>
      <c r="O232" s="8">
        <f>VLOOKUP($B232,floorspace!$B$4:$O$12,'shell factors calc'!O$2+1,FALSE)</f>
        <v>909.66033900000002</v>
      </c>
      <c r="P232" s="8">
        <f>VLOOKUP($B232,floorspace!$B$4:$O$12,'shell factors calc'!P$2+1,FALSE)</f>
        <v>881.97393799999998</v>
      </c>
      <c r="Q232" s="8">
        <f>VLOOKUP($B232,floorspace!$B$4:$O$12,'shell factors calc'!Q$2+1,FALSE)</f>
        <v>94.492217999999994</v>
      </c>
      <c r="R232" s="8">
        <f>VLOOKUP($B232,floorspace!$B$4:$O$12,'shell factors calc'!R$2+1,FALSE)</f>
        <v>206.62240600000001</v>
      </c>
      <c r="S232" s="8">
        <f>VLOOKUP($B232,floorspace!$B$4:$O$12,'shell factors calc'!S$2+1,FALSE)</f>
        <v>171.98699999999999</v>
      </c>
      <c r="T232" s="8">
        <f>VLOOKUP($B232,floorspace!$B$4:$O$12,'shell factors calc'!T$2+1,FALSE)</f>
        <v>684.67663600000003</v>
      </c>
      <c r="U232" s="8">
        <f>VLOOKUP($B232,floorspace!$B$4:$O$12,'shell factors calc'!U$2+1,FALSE)</f>
        <v>875.10882600000002</v>
      </c>
      <c r="V232" s="8">
        <f>VLOOKUP($B232,floorspace!$B$4:$O$12,'shell factors calc'!V$2+1,FALSE)</f>
        <v>703.37530500000003</v>
      </c>
      <c r="W232" s="8">
        <f>VLOOKUP($B232,floorspace!$B$4:$O$12,'shell factors calc'!W$2+1,FALSE)</f>
        <v>1558.8479</v>
      </c>
      <c r="X232" s="8">
        <f>VLOOKUP($B232,floorspace!$B$4:$O$12,'shell factors calc'!X$2+1,FALSE)</f>
        <v>1048.3610839999999</v>
      </c>
      <c r="Y232" s="8">
        <f>VLOOKUP($B232,floorspace!$B$4:$O$12,'shell factors calc'!Y$2+1,FALSE)</f>
        <v>336.39016700000002</v>
      </c>
      <c r="Z232">
        <f t="shared" si="3"/>
        <v>0.71959308465889515</v>
      </c>
    </row>
    <row r="233" spans="1:26" x14ac:dyDescent="0.2">
      <c r="A233" s="5" t="s">
        <v>45</v>
      </c>
      <c r="B233" s="5" t="s">
        <v>43</v>
      </c>
      <c r="C233" s="6" t="s">
        <v>11</v>
      </c>
      <c r="D233" s="7">
        <v>0.75108600000000003</v>
      </c>
      <c r="E233">
        <v>0.74483600000000005</v>
      </c>
      <c r="F233">
        <v>0.79648399999999997</v>
      </c>
      <c r="G233">
        <v>0.56750199999999995</v>
      </c>
      <c r="H233">
        <v>0.77320599999999995</v>
      </c>
      <c r="I233">
        <v>0.68357299999999999</v>
      </c>
      <c r="J233">
        <v>0.78507199999999999</v>
      </c>
      <c r="K233">
        <v>0.76868400000000003</v>
      </c>
      <c r="L233">
        <v>0.697106</v>
      </c>
      <c r="M233">
        <v>0.61031500000000005</v>
      </c>
      <c r="N233">
        <v>0.75547299999999995</v>
      </c>
      <c r="O233" s="8">
        <f>VLOOKUP($B233,floorspace!$B$4:$O$12,'shell factors calc'!O$2+1,FALSE)</f>
        <v>909.66033900000002</v>
      </c>
      <c r="P233" s="8">
        <f>VLOOKUP($B233,floorspace!$B$4:$O$12,'shell factors calc'!P$2+1,FALSE)</f>
        <v>881.97393799999998</v>
      </c>
      <c r="Q233" s="8">
        <f>VLOOKUP($B233,floorspace!$B$4:$O$12,'shell factors calc'!Q$2+1,FALSE)</f>
        <v>94.492217999999994</v>
      </c>
      <c r="R233" s="8">
        <f>VLOOKUP($B233,floorspace!$B$4:$O$12,'shell factors calc'!R$2+1,FALSE)</f>
        <v>206.62240600000001</v>
      </c>
      <c r="S233" s="8">
        <f>VLOOKUP($B233,floorspace!$B$4:$O$12,'shell factors calc'!S$2+1,FALSE)</f>
        <v>171.98699999999999</v>
      </c>
      <c r="T233" s="8">
        <f>VLOOKUP($B233,floorspace!$B$4:$O$12,'shell factors calc'!T$2+1,FALSE)</f>
        <v>684.67663600000003</v>
      </c>
      <c r="U233" s="8">
        <f>VLOOKUP($B233,floorspace!$B$4:$O$12,'shell factors calc'!U$2+1,FALSE)</f>
        <v>875.10882600000002</v>
      </c>
      <c r="V233" s="8">
        <f>VLOOKUP($B233,floorspace!$B$4:$O$12,'shell factors calc'!V$2+1,FALSE)</f>
        <v>703.37530500000003</v>
      </c>
      <c r="W233" s="8">
        <f>VLOOKUP($B233,floorspace!$B$4:$O$12,'shell factors calc'!W$2+1,FALSE)</f>
        <v>1558.8479</v>
      </c>
      <c r="X233" s="8">
        <f>VLOOKUP($B233,floorspace!$B$4:$O$12,'shell factors calc'!X$2+1,FALSE)</f>
        <v>1048.3610839999999</v>
      </c>
      <c r="Y233" s="8">
        <f>VLOOKUP($B233,floorspace!$B$4:$O$12,'shell factors calc'!Y$2+1,FALSE)</f>
        <v>336.39016700000002</v>
      </c>
      <c r="Z233">
        <f t="shared" si="3"/>
        <v>0.71498805763877205</v>
      </c>
    </row>
    <row r="234" spans="1:26" x14ac:dyDescent="0.2">
      <c r="A234" s="5" t="s">
        <v>45</v>
      </c>
      <c r="B234" s="5" t="s">
        <v>43</v>
      </c>
      <c r="C234" s="6" t="s">
        <v>12</v>
      </c>
      <c r="D234" s="7">
        <v>0.74626499999999996</v>
      </c>
      <c r="E234">
        <v>0.73982599999999998</v>
      </c>
      <c r="F234">
        <v>0.78900899999999996</v>
      </c>
      <c r="G234">
        <v>0.55953699999999995</v>
      </c>
      <c r="H234">
        <v>0.76801600000000003</v>
      </c>
      <c r="I234">
        <v>0.67614099999999999</v>
      </c>
      <c r="J234">
        <v>0.78037999999999996</v>
      </c>
      <c r="K234">
        <v>0.76432599999999995</v>
      </c>
      <c r="L234">
        <v>0.69096000000000002</v>
      </c>
      <c r="M234">
        <v>0.61179499999999998</v>
      </c>
      <c r="N234">
        <v>0.75020699999999996</v>
      </c>
      <c r="O234" s="8">
        <f>VLOOKUP($B234,floorspace!$B$4:$O$12,'shell factors calc'!O$2+1,FALSE)</f>
        <v>909.66033900000002</v>
      </c>
      <c r="P234" s="8">
        <f>VLOOKUP($B234,floorspace!$B$4:$O$12,'shell factors calc'!P$2+1,FALSE)</f>
        <v>881.97393799999998</v>
      </c>
      <c r="Q234" s="8">
        <f>VLOOKUP($B234,floorspace!$B$4:$O$12,'shell factors calc'!Q$2+1,FALSE)</f>
        <v>94.492217999999994</v>
      </c>
      <c r="R234" s="8">
        <f>VLOOKUP($B234,floorspace!$B$4:$O$12,'shell factors calc'!R$2+1,FALSE)</f>
        <v>206.62240600000001</v>
      </c>
      <c r="S234" s="8">
        <f>VLOOKUP($B234,floorspace!$B$4:$O$12,'shell factors calc'!S$2+1,FALSE)</f>
        <v>171.98699999999999</v>
      </c>
      <c r="T234" s="8">
        <f>VLOOKUP($B234,floorspace!$B$4:$O$12,'shell factors calc'!T$2+1,FALSE)</f>
        <v>684.67663600000003</v>
      </c>
      <c r="U234" s="8">
        <f>VLOOKUP($B234,floorspace!$B$4:$O$12,'shell factors calc'!U$2+1,FALSE)</f>
        <v>875.10882600000002</v>
      </c>
      <c r="V234" s="8">
        <f>VLOOKUP($B234,floorspace!$B$4:$O$12,'shell factors calc'!V$2+1,FALSE)</f>
        <v>703.37530500000003</v>
      </c>
      <c r="W234" s="8">
        <f>VLOOKUP($B234,floorspace!$B$4:$O$12,'shell factors calc'!W$2+1,FALSE)</f>
        <v>1558.8479</v>
      </c>
      <c r="X234" s="8">
        <f>VLOOKUP($B234,floorspace!$B$4:$O$12,'shell factors calc'!X$2+1,FALSE)</f>
        <v>1048.3610839999999</v>
      </c>
      <c r="Y234" s="8">
        <f>VLOOKUP($B234,floorspace!$B$4:$O$12,'shell factors calc'!Y$2+1,FALSE)</f>
        <v>336.39016700000002</v>
      </c>
      <c r="Z234">
        <f t="shared" si="3"/>
        <v>0.71042281067465862</v>
      </c>
    </row>
    <row r="235" spans="1:26" x14ac:dyDescent="0.2">
      <c r="A235" s="5" t="s">
        <v>45</v>
      </c>
      <c r="B235" s="5" t="s">
        <v>43</v>
      </c>
      <c r="C235" s="6" t="s">
        <v>13</v>
      </c>
      <c r="D235" s="7">
        <v>0.741475</v>
      </c>
      <c r="E235">
        <v>0.73484899999999997</v>
      </c>
      <c r="F235">
        <v>0.78160300000000005</v>
      </c>
      <c r="G235">
        <v>0.55168399999999995</v>
      </c>
      <c r="H235">
        <v>0.76285999999999998</v>
      </c>
      <c r="I235">
        <v>0.66878899999999997</v>
      </c>
      <c r="J235">
        <v>0.77571599999999996</v>
      </c>
      <c r="K235">
        <v>0.75999300000000003</v>
      </c>
      <c r="L235">
        <v>0.684867</v>
      </c>
      <c r="M235">
        <v>0.61327799999999999</v>
      </c>
      <c r="N235">
        <v>0.74497899999999995</v>
      </c>
      <c r="O235" s="8">
        <f>VLOOKUP($B235,floorspace!$B$4:$O$12,'shell factors calc'!O$2+1,FALSE)</f>
        <v>909.66033900000002</v>
      </c>
      <c r="P235" s="8">
        <f>VLOOKUP($B235,floorspace!$B$4:$O$12,'shell factors calc'!P$2+1,FALSE)</f>
        <v>881.97393799999998</v>
      </c>
      <c r="Q235" s="8">
        <f>VLOOKUP($B235,floorspace!$B$4:$O$12,'shell factors calc'!Q$2+1,FALSE)</f>
        <v>94.492217999999994</v>
      </c>
      <c r="R235" s="8">
        <f>VLOOKUP($B235,floorspace!$B$4:$O$12,'shell factors calc'!R$2+1,FALSE)</f>
        <v>206.62240600000001</v>
      </c>
      <c r="S235" s="8">
        <f>VLOOKUP($B235,floorspace!$B$4:$O$12,'shell factors calc'!S$2+1,FALSE)</f>
        <v>171.98699999999999</v>
      </c>
      <c r="T235" s="8">
        <f>VLOOKUP($B235,floorspace!$B$4:$O$12,'shell factors calc'!T$2+1,FALSE)</f>
        <v>684.67663600000003</v>
      </c>
      <c r="U235" s="8">
        <f>VLOOKUP($B235,floorspace!$B$4:$O$12,'shell factors calc'!U$2+1,FALSE)</f>
        <v>875.10882600000002</v>
      </c>
      <c r="V235" s="8">
        <f>VLOOKUP($B235,floorspace!$B$4:$O$12,'shell factors calc'!V$2+1,FALSE)</f>
        <v>703.37530500000003</v>
      </c>
      <c r="W235" s="8">
        <f>VLOOKUP($B235,floorspace!$B$4:$O$12,'shell factors calc'!W$2+1,FALSE)</f>
        <v>1558.8479</v>
      </c>
      <c r="X235" s="8">
        <f>VLOOKUP($B235,floorspace!$B$4:$O$12,'shell factors calc'!X$2+1,FALSE)</f>
        <v>1048.3610839999999</v>
      </c>
      <c r="Y235" s="8">
        <f>VLOOKUP($B235,floorspace!$B$4:$O$12,'shell factors calc'!Y$2+1,FALSE)</f>
        <v>336.39016700000002</v>
      </c>
      <c r="Z235">
        <f t="shared" si="3"/>
        <v>0.70589613995510081</v>
      </c>
    </row>
    <row r="236" spans="1:26" x14ac:dyDescent="0.2">
      <c r="A236" s="5" t="s">
        <v>45</v>
      </c>
      <c r="B236" s="5" t="s">
        <v>43</v>
      </c>
      <c r="C236" s="6" t="s">
        <v>14</v>
      </c>
      <c r="D236" s="7">
        <v>0.73671600000000004</v>
      </c>
      <c r="E236">
        <v>0.72990699999999997</v>
      </c>
      <c r="F236">
        <v>0.77426700000000004</v>
      </c>
      <c r="G236">
        <v>0.54394100000000001</v>
      </c>
      <c r="H236">
        <v>0.75773900000000005</v>
      </c>
      <c r="I236">
        <v>0.66151700000000002</v>
      </c>
      <c r="J236">
        <v>0.77107999999999999</v>
      </c>
      <c r="K236">
        <v>0.75568400000000002</v>
      </c>
      <c r="L236">
        <v>0.67882799999999999</v>
      </c>
      <c r="M236">
        <v>0.61476500000000001</v>
      </c>
      <c r="N236">
        <v>0.73978600000000005</v>
      </c>
      <c r="O236" s="8">
        <f>VLOOKUP($B236,floorspace!$B$4:$O$12,'shell factors calc'!O$2+1,FALSE)</f>
        <v>909.66033900000002</v>
      </c>
      <c r="P236" s="8">
        <f>VLOOKUP($B236,floorspace!$B$4:$O$12,'shell factors calc'!P$2+1,FALSE)</f>
        <v>881.97393799999998</v>
      </c>
      <c r="Q236" s="8">
        <f>VLOOKUP($B236,floorspace!$B$4:$O$12,'shell factors calc'!Q$2+1,FALSE)</f>
        <v>94.492217999999994</v>
      </c>
      <c r="R236" s="8">
        <f>VLOOKUP($B236,floorspace!$B$4:$O$12,'shell factors calc'!R$2+1,FALSE)</f>
        <v>206.62240600000001</v>
      </c>
      <c r="S236" s="8">
        <f>VLOOKUP($B236,floorspace!$B$4:$O$12,'shell factors calc'!S$2+1,FALSE)</f>
        <v>171.98699999999999</v>
      </c>
      <c r="T236" s="8">
        <f>VLOOKUP($B236,floorspace!$B$4:$O$12,'shell factors calc'!T$2+1,FALSE)</f>
        <v>684.67663600000003</v>
      </c>
      <c r="U236" s="8">
        <f>VLOOKUP($B236,floorspace!$B$4:$O$12,'shell factors calc'!U$2+1,FALSE)</f>
        <v>875.10882600000002</v>
      </c>
      <c r="V236" s="8">
        <f>VLOOKUP($B236,floorspace!$B$4:$O$12,'shell factors calc'!V$2+1,FALSE)</f>
        <v>703.37530500000003</v>
      </c>
      <c r="W236" s="8">
        <f>VLOOKUP($B236,floorspace!$B$4:$O$12,'shell factors calc'!W$2+1,FALSE)</f>
        <v>1558.8479</v>
      </c>
      <c r="X236" s="8">
        <f>VLOOKUP($B236,floorspace!$B$4:$O$12,'shell factors calc'!X$2+1,FALSE)</f>
        <v>1048.3610839999999</v>
      </c>
      <c r="Y236" s="8">
        <f>VLOOKUP($B236,floorspace!$B$4:$O$12,'shell factors calc'!Y$2+1,FALSE)</f>
        <v>336.39016700000002</v>
      </c>
      <c r="Z236">
        <f t="shared" si="3"/>
        <v>0.70140838167053721</v>
      </c>
    </row>
    <row r="237" spans="1:26" x14ac:dyDescent="0.2">
      <c r="A237" s="5" t="s">
        <v>45</v>
      </c>
      <c r="B237" s="5" t="s">
        <v>43</v>
      </c>
      <c r="C237" s="6" t="s">
        <v>15</v>
      </c>
      <c r="D237" s="7">
        <v>0.73198799999999997</v>
      </c>
      <c r="E237">
        <v>0.724997</v>
      </c>
      <c r="F237">
        <v>0.76699899999999999</v>
      </c>
      <c r="G237">
        <v>0.53630699999999998</v>
      </c>
      <c r="H237">
        <v>0.75265300000000002</v>
      </c>
      <c r="I237">
        <v>0.65432400000000002</v>
      </c>
      <c r="J237">
        <v>0.76647100000000001</v>
      </c>
      <c r="K237">
        <v>0.75139999999999996</v>
      </c>
      <c r="L237">
        <v>0.67284299999999997</v>
      </c>
      <c r="M237">
        <v>0.61625600000000003</v>
      </c>
      <c r="N237">
        <v>0.73463000000000001</v>
      </c>
      <c r="O237" s="8">
        <f>VLOOKUP($B237,floorspace!$B$4:$O$12,'shell factors calc'!O$2+1,FALSE)</f>
        <v>909.66033900000002</v>
      </c>
      <c r="P237" s="8">
        <f>VLOOKUP($B237,floorspace!$B$4:$O$12,'shell factors calc'!P$2+1,FALSE)</f>
        <v>881.97393799999998</v>
      </c>
      <c r="Q237" s="8">
        <f>VLOOKUP($B237,floorspace!$B$4:$O$12,'shell factors calc'!Q$2+1,FALSE)</f>
        <v>94.492217999999994</v>
      </c>
      <c r="R237" s="8">
        <f>VLOOKUP($B237,floorspace!$B$4:$O$12,'shell factors calc'!R$2+1,FALSE)</f>
        <v>206.62240600000001</v>
      </c>
      <c r="S237" s="8">
        <f>VLOOKUP($B237,floorspace!$B$4:$O$12,'shell factors calc'!S$2+1,FALSE)</f>
        <v>171.98699999999999</v>
      </c>
      <c r="T237" s="8">
        <f>VLOOKUP($B237,floorspace!$B$4:$O$12,'shell factors calc'!T$2+1,FALSE)</f>
        <v>684.67663600000003</v>
      </c>
      <c r="U237" s="8">
        <f>VLOOKUP($B237,floorspace!$B$4:$O$12,'shell factors calc'!U$2+1,FALSE)</f>
        <v>875.10882600000002</v>
      </c>
      <c r="V237" s="8">
        <f>VLOOKUP($B237,floorspace!$B$4:$O$12,'shell factors calc'!V$2+1,FALSE)</f>
        <v>703.37530500000003</v>
      </c>
      <c r="W237" s="8">
        <f>VLOOKUP($B237,floorspace!$B$4:$O$12,'shell factors calc'!W$2+1,FALSE)</f>
        <v>1558.8479</v>
      </c>
      <c r="X237" s="8">
        <f>VLOOKUP($B237,floorspace!$B$4:$O$12,'shell factors calc'!X$2+1,FALSE)</f>
        <v>1048.3610839999999</v>
      </c>
      <c r="Y237" s="8">
        <f>VLOOKUP($B237,floorspace!$B$4:$O$12,'shell factors calc'!Y$2+1,FALSE)</f>
        <v>336.39016700000002</v>
      </c>
      <c r="Z237">
        <f t="shared" si="3"/>
        <v>0.69695910415928253</v>
      </c>
    </row>
    <row r="238" spans="1:26" x14ac:dyDescent="0.2">
      <c r="A238" s="5" t="s">
        <v>45</v>
      </c>
      <c r="B238" s="5" t="s">
        <v>43</v>
      </c>
      <c r="C238" s="6" t="s">
        <v>16</v>
      </c>
      <c r="D238" s="7">
        <v>0.72728999999999999</v>
      </c>
      <c r="E238">
        <v>0.72011999999999998</v>
      </c>
      <c r="F238">
        <v>0.75980000000000003</v>
      </c>
      <c r="G238">
        <v>0.52878000000000003</v>
      </c>
      <c r="H238">
        <v>0.74760000000000004</v>
      </c>
      <c r="I238">
        <v>0.64720999999999995</v>
      </c>
      <c r="J238">
        <v>0.76188999999999996</v>
      </c>
      <c r="K238">
        <v>0.74714000000000003</v>
      </c>
      <c r="L238">
        <v>0.66691</v>
      </c>
      <c r="M238">
        <v>0.61775000000000002</v>
      </c>
      <c r="N238">
        <v>0.72950999999999999</v>
      </c>
      <c r="O238" s="8">
        <f>VLOOKUP($B238,floorspace!$B$4:$O$12,'shell factors calc'!O$2+1,FALSE)</f>
        <v>909.66033900000002</v>
      </c>
      <c r="P238" s="8">
        <f>VLOOKUP($B238,floorspace!$B$4:$O$12,'shell factors calc'!P$2+1,FALSE)</f>
        <v>881.97393799999998</v>
      </c>
      <c r="Q238" s="8">
        <f>VLOOKUP($B238,floorspace!$B$4:$O$12,'shell factors calc'!Q$2+1,FALSE)</f>
        <v>94.492217999999994</v>
      </c>
      <c r="R238" s="8">
        <f>VLOOKUP($B238,floorspace!$B$4:$O$12,'shell factors calc'!R$2+1,FALSE)</f>
        <v>206.62240600000001</v>
      </c>
      <c r="S238" s="8">
        <f>VLOOKUP($B238,floorspace!$B$4:$O$12,'shell factors calc'!S$2+1,FALSE)</f>
        <v>171.98699999999999</v>
      </c>
      <c r="T238" s="8">
        <f>VLOOKUP($B238,floorspace!$B$4:$O$12,'shell factors calc'!T$2+1,FALSE)</f>
        <v>684.67663600000003</v>
      </c>
      <c r="U238" s="8">
        <f>VLOOKUP($B238,floorspace!$B$4:$O$12,'shell factors calc'!U$2+1,FALSE)</f>
        <v>875.10882600000002</v>
      </c>
      <c r="V238" s="8">
        <f>VLOOKUP($B238,floorspace!$B$4:$O$12,'shell factors calc'!V$2+1,FALSE)</f>
        <v>703.37530500000003</v>
      </c>
      <c r="W238" s="8">
        <f>VLOOKUP($B238,floorspace!$B$4:$O$12,'shell factors calc'!W$2+1,FALSE)</f>
        <v>1558.8479</v>
      </c>
      <c r="X238" s="8">
        <f>VLOOKUP($B238,floorspace!$B$4:$O$12,'shell factors calc'!X$2+1,FALSE)</f>
        <v>1048.3610839999999</v>
      </c>
      <c r="Y238" s="8">
        <f>VLOOKUP($B238,floorspace!$B$4:$O$12,'shell factors calc'!Y$2+1,FALSE)</f>
        <v>336.39016700000002</v>
      </c>
      <c r="Z238">
        <f t="shared" si="3"/>
        <v>0.69254763538368225</v>
      </c>
    </row>
    <row r="239" spans="1:26" x14ac:dyDescent="0.2">
      <c r="A239" s="5" t="s">
        <v>45</v>
      </c>
      <c r="B239" s="5" t="s">
        <v>43</v>
      </c>
      <c r="C239" s="6" t="s">
        <v>17</v>
      </c>
      <c r="D239" s="7">
        <v>0.72232600000000002</v>
      </c>
      <c r="E239">
        <v>0.71495299999999995</v>
      </c>
      <c r="F239">
        <v>0.75520900000000002</v>
      </c>
      <c r="G239">
        <v>0.52019099999999996</v>
      </c>
      <c r="H239">
        <v>0.74224800000000002</v>
      </c>
      <c r="I239">
        <v>0.63935299999999995</v>
      </c>
      <c r="J239">
        <v>0.75707199999999997</v>
      </c>
      <c r="K239">
        <v>0.742672</v>
      </c>
      <c r="L239">
        <v>0.660493</v>
      </c>
      <c r="M239">
        <v>0.61920500000000001</v>
      </c>
      <c r="N239">
        <v>0.72407200000000005</v>
      </c>
      <c r="O239" s="8">
        <f>VLOOKUP($B239,floorspace!$B$4:$O$12,'shell factors calc'!O$2+1,FALSE)</f>
        <v>909.66033900000002</v>
      </c>
      <c r="P239" s="8">
        <f>VLOOKUP($B239,floorspace!$B$4:$O$12,'shell factors calc'!P$2+1,FALSE)</f>
        <v>881.97393799999998</v>
      </c>
      <c r="Q239" s="8">
        <f>VLOOKUP($B239,floorspace!$B$4:$O$12,'shell factors calc'!Q$2+1,FALSE)</f>
        <v>94.492217999999994</v>
      </c>
      <c r="R239" s="8">
        <f>VLOOKUP($B239,floorspace!$B$4:$O$12,'shell factors calc'!R$2+1,FALSE)</f>
        <v>206.62240600000001</v>
      </c>
      <c r="S239" s="8">
        <f>VLOOKUP($B239,floorspace!$B$4:$O$12,'shell factors calc'!S$2+1,FALSE)</f>
        <v>171.98699999999999</v>
      </c>
      <c r="T239" s="8">
        <f>VLOOKUP($B239,floorspace!$B$4:$O$12,'shell factors calc'!T$2+1,FALSE)</f>
        <v>684.67663600000003</v>
      </c>
      <c r="U239" s="8">
        <f>VLOOKUP($B239,floorspace!$B$4:$O$12,'shell factors calc'!U$2+1,FALSE)</f>
        <v>875.10882600000002</v>
      </c>
      <c r="V239" s="8">
        <f>VLOOKUP($B239,floorspace!$B$4:$O$12,'shell factors calc'!V$2+1,FALSE)</f>
        <v>703.37530500000003</v>
      </c>
      <c r="W239" s="8">
        <f>VLOOKUP($B239,floorspace!$B$4:$O$12,'shell factors calc'!W$2+1,FALSE)</f>
        <v>1558.8479</v>
      </c>
      <c r="X239" s="8">
        <f>VLOOKUP($B239,floorspace!$B$4:$O$12,'shell factors calc'!X$2+1,FALSE)</f>
        <v>1048.3610839999999</v>
      </c>
      <c r="Y239" s="8">
        <f>VLOOKUP($B239,floorspace!$B$4:$O$12,'shell factors calc'!Y$2+1,FALSE)</f>
        <v>336.39016700000002</v>
      </c>
      <c r="Z239">
        <f t="shared" si="3"/>
        <v>0.68783008042588289</v>
      </c>
    </row>
    <row r="240" spans="1:26" x14ac:dyDescent="0.2">
      <c r="A240" s="5" t="s">
        <v>45</v>
      </c>
      <c r="B240" s="5" t="s">
        <v>43</v>
      </c>
      <c r="C240" s="6" t="s">
        <v>18</v>
      </c>
      <c r="D240" s="7">
        <v>0.71739600000000003</v>
      </c>
      <c r="E240">
        <v>0.70982400000000001</v>
      </c>
      <c r="F240">
        <v>0.75064600000000004</v>
      </c>
      <c r="G240">
        <v>0.511741</v>
      </c>
      <c r="H240">
        <v>0.73693399999999998</v>
      </c>
      <c r="I240">
        <v>0.63159200000000004</v>
      </c>
      <c r="J240">
        <v>0.75228499999999998</v>
      </c>
      <c r="K240">
        <v>0.73823000000000005</v>
      </c>
      <c r="L240">
        <v>0.654138</v>
      </c>
      <c r="M240">
        <v>0.62066399999999999</v>
      </c>
      <c r="N240">
        <v>0.71867499999999995</v>
      </c>
      <c r="O240" s="8">
        <f>VLOOKUP($B240,floorspace!$B$4:$O$12,'shell factors calc'!O$2+1,FALSE)</f>
        <v>909.66033900000002</v>
      </c>
      <c r="P240" s="8">
        <f>VLOOKUP($B240,floorspace!$B$4:$O$12,'shell factors calc'!P$2+1,FALSE)</f>
        <v>881.97393799999998</v>
      </c>
      <c r="Q240" s="8">
        <f>VLOOKUP($B240,floorspace!$B$4:$O$12,'shell factors calc'!Q$2+1,FALSE)</f>
        <v>94.492217999999994</v>
      </c>
      <c r="R240" s="8">
        <f>VLOOKUP($B240,floorspace!$B$4:$O$12,'shell factors calc'!R$2+1,FALSE)</f>
        <v>206.62240600000001</v>
      </c>
      <c r="S240" s="8">
        <f>VLOOKUP($B240,floorspace!$B$4:$O$12,'shell factors calc'!S$2+1,FALSE)</f>
        <v>171.98699999999999</v>
      </c>
      <c r="T240" s="8">
        <f>VLOOKUP($B240,floorspace!$B$4:$O$12,'shell factors calc'!T$2+1,FALSE)</f>
        <v>684.67663600000003</v>
      </c>
      <c r="U240" s="8">
        <f>VLOOKUP($B240,floorspace!$B$4:$O$12,'shell factors calc'!U$2+1,FALSE)</f>
        <v>875.10882600000002</v>
      </c>
      <c r="V240" s="8">
        <f>VLOOKUP($B240,floorspace!$B$4:$O$12,'shell factors calc'!V$2+1,FALSE)</f>
        <v>703.37530500000003</v>
      </c>
      <c r="W240" s="8">
        <f>VLOOKUP($B240,floorspace!$B$4:$O$12,'shell factors calc'!W$2+1,FALSE)</f>
        <v>1558.8479</v>
      </c>
      <c r="X240" s="8">
        <f>VLOOKUP($B240,floorspace!$B$4:$O$12,'shell factors calc'!X$2+1,FALSE)</f>
        <v>1048.3610839999999</v>
      </c>
      <c r="Y240" s="8">
        <f>VLOOKUP($B240,floorspace!$B$4:$O$12,'shell factors calc'!Y$2+1,FALSE)</f>
        <v>336.39016700000002</v>
      </c>
      <c r="Z240">
        <f t="shared" si="3"/>
        <v>0.68315644229159966</v>
      </c>
    </row>
    <row r="241" spans="1:26" x14ac:dyDescent="0.2">
      <c r="A241" s="5" t="s">
        <v>45</v>
      </c>
      <c r="B241" s="5" t="s">
        <v>43</v>
      </c>
      <c r="C241" s="6" t="s">
        <v>19</v>
      </c>
      <c r="D241" s="7">
        <v>0.71250000000000002</v>
      </c>
      <c r="E241">
        <v>0.704731</v>
      </c>
      <c r="F241">
        <v>0.74611000000000005</v>
      </c>
      <c r="G241">
        <v>0.50342799999999999</v>
      </c>
      <c r="H241">
        <v>0.73165800000000003</v>
      </c>
      <c r="I241">
        <v>0.62392499999999995</v>
      </c>
      <c r="J241">
        <v>0.74752799999999997</v>
      </c>
      <c r="K241">
        <v>0.733815</v>
      </c>
      <c r="L241">
        <v>0.64784399999999998</v>
      </c>
      <c r="M241">
        <v>0.62212699999999999</v>
      </c>
      <c r="N241">
        <v>0.71331800000000001</v>
      </c>
      <c r="O241" s="8">
        <f>VLOOKUP($B241,floorspace!$B$4:$O$12,'shell factors calc'!O$2+1,FALSE)</f>
        <v>909.66033900000002</v>
      </c>
      <c r="P241" s="8">
        <f>VLOOKUP($B241,floorspace!$B$4:$O$12,'shell factors calc'!P$2+1,FALSE)</f>
        <v>881.97393799999998</v>
      </c>
      <c r="Q241" s="8">
        <f>VLOOKUP($B241,floorspace!$B$4:$O$12,'shell factors calc'!Q$2+1,FALSE)</f>
        <v>94.492217999999994</v>
      </c>
      <c r="R241" s="8">
        <f>VLOOKUP($B241,floorspace!$B$4:$O$12,'shell factors calc'!R$2+1,FALSE)</f>
        <v>206.62240600000001</v>
      </c>
      <c r="S241" s="8">
        <f>VLOOKUP($B241,floorspace!$B$4:$O$12,'shell factors calc'!S$2+1,FALSE)</f>
        <v>171.98699999999999</v>
      </c>
      <c r="T241" s="8">
        <f>VLOOKUP($B241,floorspace!$B$4:$O$12,'shell factors calc'!T$2+1,FALSE)</f>
        <v>684.67663600000003</v>
      </c>
      <c r="U241" s="8">
        <f>VLOOKUP($B241,floorspace!$B$4:$O$12,'shell factors calc'!U$2+1,FALSE)</f>
        <v>875.10882600000002</v>
      </c>
      <c r="V241" s="8">
        <f>VLOOKUP($B241,floorspace!$B$4:$O$12,'shell factors calc'!V$2+1,FALSE)</f>
        <v>703.37530500000003</v>
      </c>
      <c r="W241" s="8">
        <f>VLOOKUP($B241,floorspace!$B$4:$O$12,'shell factors calc'!W$2+1,FALSE)</f>
        <v>1558.8479</v>
      </c>
      <c r="X241" s="8">
        <f>VLOOKUP($B241,floorspace!$B$4:$O$12,'shell factors calc'!X$2+1,FALSE)</f>
        <v>1048.3610839999999</v>
      </c>
      <c r="Y241" s="8">
        <f>VLOOKUP($B241,floorspace!$B$4:$O$12,'shell factors calc'!Y$2+1,FALSE)</f>
        <v>336.39016700000002</v>
      </c>
      <c r="Z241">
        <f t="shared" si="3"/>
        <v>0.67852595700934581</v>
      </c>
    </row>
    <row r="242" spans="1:26" x14ac:dyDescent="0.2">
      <c r="A242" s="5" t="s">
        <v>45</v>
      </c>
      <c r="B242" s="5" t="s">
        <v>43</v>
      </c>
      <c r="C242" s="6" t="s">
        <v>20</v>
      </c>
      <c r="D242" s="7">
        <v>0.70763799999999999</v>
      </c>
      <c r="E242">
        <v>0.69967500000000005</v>
      </c>
      <c r="F242">
        <v>0.74160199999999998</v>
      </c>
      <c r="G242">
        <v>0.49525000000000002</v>
      </c>
      <c r="H242">
        <v>0.72641999999999995</v>
      </c>
      <c r="I242">
        <v>0.61635099999999998</v>
      </c>
      <c r="J242">
        <v>0.74280100000000004</v>
      </c>
      <c r="K242">
        <v>0.72942600000000002</v>
      </c>
      <c r="L242">
        <v>0.64161100000000004</v>
      </c>
      <c r="M242">
        <v>0.62359200000000004</v>
      </c>
      <c r="N242">
        <v>0.70800099999999999</v>
      </c>
      <c r="O242" s="8">
        <f>VLOOKUP($B242,floorspace!$B$4:$O$12,'shell factors calc'!O$2+1,FALSE)</f>
        <v>909.66033900000002</v>
      </c>
      <c r="P242" s="8">
        <f>VLOOKUP($B242,floorspace!$B$4:$O$12,'shell factors calc'!P$2+1,FALSE)</f>
        <v>881.97393799999998</v>
      </c>
      <c r="Q242" s="8">
        <f>VLOOKUP($B242,floorspace!$B$4:$O$12,'shell factors calc'!Q$2+1,FALSE)</f>
        <v>94.492217999999994</v>
      </c>
      <c r="R242" s="8">
        <f>VLOOKUP($B242,floorspace!$B$4:$O$12,'shell factors calc'!R$2+1,FALSE)</f>
        <v>206.62240600000001</v>
      </c>
      <c r="S242" s="8">
        <f>VLOOKUP($B242,floorspace!$B$4:$O$12,'shell factors calc'!S$2+1,FALSE)</f>
        <v>171.98699999999999</v>
      </c>
      <c r="T242" s="8">
        <f>VLOOKUP($B242,floorspace!$B$4:$O$12,'shell factors calc'!T$2+1,FALSE)</f>
        <v>684.67663600000003</v>
      </c>
      <c r="U242" s="8">
        <f>VLOOKUP($B242,floorspace!$B$4:$O$12,'shell factors calc'!U$2+1,FALSE)</f>
        <v>875.10882600000002</v>
      </c>
      <c r="V242" s="8">
        <f>VLOOKUP($B242,floorspace!$B$4:$O$12,'shell factors calc'!V$2+1,FALSE)</f>
        <v>703.37530500000003</v>
      </c>
      <c r="W242" s="8">
        <f>VLOOKUP($B242,floorspace!$B$4:$O$12,'shell factors calc'!W$2+1,FALSE)</f>
        <v>1558.8479</v>
      </c>
      <c r="X242" s="8">
        <f>VLOOKUP($B242,floorspace!$B$4:$O$12,'shell factors calc'!X$2+1,FALSE)</f>
        <v>1048.3610839999999</v>
      </c>
      <c r="Y242" s="8">
        <f>VLOOKUP($B242,floorspace!$B$4:$O$12,'shell factors calc'!Y$2+1,FALSE)</f>
        <v>336.39016700000002</v>
      </c>
      <c r="Z242">
        <f t="shared" si="3"/>
        <v>0.67393823355263449</v>
      </c>
    </row>
    <row r="243" spans="1:26" x14ac:dyDescent="0.2">
      <c r="A243" s="5" t="s">
        <v>45</v>
      </c>
      <c r="B243" s="5" t="s">
        <v>43</v>
      </c>
      <c r="C243" s="6" t="s">
        <v>21</v>
      </c>
      <c r="D243" s="7">
        <v>0.70280799999999999</v>
      </c>
      <c r="E243">
        <v>0.69465500000000002</v>
      </c>
      <c r="F243">
        <v>0.73712100000000003</v>
      </c>
      <c r="G243">
        <v>0.48720599999999997</v>
      </c>
      <c r="H243">
        <v>0.72121999999999997</v>
      </c>
      <c r="I243">
        <v>0.60886899999999999</v>
      </c>
      <c r="J243">
        <v>0.73810399999999998</v>
      </c>
      <c r="K243">
        <v>0.72506400000000004</v>
      </c>
      <c r="L243">
        <v>0.63543700000000003</v>
      </c>
      <c r="M243">
        <v>0.62506200000000001</v>
      </c>
      <c r="N243">
        <v>0.70272299999999999</v>
      </c>
      <c r="O243" s="8">
        <f>VLOOKUP($B243,floorspace!$B$4:$O$12,'shell factors calc'!O$2+1,FALSE)</f>
        <v>909.66033900000002</v>
      </c>
      <c r="P243" s="8">
        <f>VLOOKUP($B243,floorspace!$B$4:$O$12,'shell factors calc'!P$2+1,FALSE)</f>
        <v>881.97393799999998</v>
      </c>
      <c r="Q243" s="8">
        <f>VLOOKUP($B243,floorspace!$B$4:$O$12,'shell factors calc'!Q$2+1,FALSE)</f>
        <v>94.492217999999994</v>
      </c>
      <c r="R243" s="8">
        <f>VLOOKUP($B243,floorspace!$B$4:$O$12,'shell factors calc'!R$2+1,FALSE)</f>
        <v>206.62240600000001</v>
      </c>
      <c r="S243" s="8">
        <f>VLOOKUP($B243,floorspace!$B$4:$O$12,'shell factors calc'!S$2+1,FALSE)</f>
        <v>171.98699999999999</v>
      </c>
      <c r="T243" s="8">
        <f>VLOOKUP($B243,floorspace!$B$4:$O$12,'shell factors calc'!T$2+1,FALSE)</f>
        <v>684.67663600000003</v>
      </c>
      <c r="U243" s="8">
        <f>VLOOKUP($B243,floorspace!$B$4:$O$12,'shell factors calc'!U$2+1,FALSE)</f>
        <v>875.10882600000002</v>
      </c>
      <c r="V243" s="8">
        <f>VLOOKUP($B243,floorspace!$B$4:$O$12,'shell factors calc'!V$2+1,FALSE)</f>
        <v>703.37530500000003</v>
      </c>
      <c r="W243" s="8">
        <f>VLOOKUP($B243,floorspace!$B$4:$O$12,'shell factors calc'!W$2+1,FALSE)</f>
        <v>1558.8479</v>
      </c>
      <c r="X243" s="8">
        <f>VLOOKUP($B243,floorspace!$B$4:$O$12,'shell factors calc'!X$2+1,FALSE)</f>
        <v>1048.3610839999999</v>
      </c>
      <c r="Y243" s="8">
        <f>VLOOKUP($B243,floorspace!$B$4:$O$12,'shell factors calc'!Y$2+1,FALSE)</f>
        <v>336.39016700000002</v>
      </c>
      <c r="Z243">
        <f t="shared" si="3"/>
        <v>0.66939283121810877</v>
      </c>
    </row>
    <row r="244" spans="1:26" x14ac:dyDescent="0.2">
      <c r="A244" s="5" t="s">
        <v>45</v>
      </c>
      <c r="B244" s="5" t="s">
        <v>43</v>
      </c>
      <c r="C244" s="6" t="s">
        <v>22</v>
      </c>
      <c r="D244" s="7">
        <v>0.69801100000000005</v>
      </c>
      <c r="E244">
        <v>0.68967100000000003</v>
      </c>
      <c r="F244">
        <v>0.73266799999999999</v>
      </c>
      <c r="G244">
        <v>0.479292</v>
      </c>
      <c r="H244">
        <v>0.71605600000000003</v>
      </c>
      <c r="I244">
        <v>0.60147799999999996</v>
      </c>
      <c r="J244">
        <v>0.73343599999999998</v>
      </c>
      <c r="K244">
        <v>0.72072800000000004</v>
      </c>
      <c r="L244">
        <v>0.62932299999999997</v>
      </c>
      <c r="M244">
        <v>0.62653400000000004</v>
      </c>
      <c r="N244">
        <v>0.69748500000000002</v>
      </c>
      <c r="O244" s="8">
        <f>VLOOKUP($B244,floorspace!$B$4:$O$12,'shell factors calc'!O$2+1,FALSE)</f>
        <v>909.66033900000002</v>
      </c>
      <c r="P244" s="8">
        <f>VLOOKUP($B244,floorspace!$B$4:$O$12,'shell factors calc'!P$2+1,FALSE)</f>
        <v>881.97393799999998</v>
      </c>
      <c r="Q244" s="8">
        <f>VLOOKUP($B244,floorspace!$B$4:$O$12,'shell factors calc'!Q$2+1,FALSE)</f>
        <v>94.492217999999994</v>
      </c>
      <c r="R244" s="8">
        <f>VLOOKUP($B244,floorspace!$B$4:$O$12,'shell factors calc'!R$2+1,FALSE)</f>
        <v>206.62240600000001</v>
      </c>
      <c r="S244" s="8">
        <f>VLOOKUP($B244,floorspace!$B$4:$O$12,'shell factors calc'!S$2+1,FALSE)</f>
        <v>171.98699999999999</v>
      </c>
      <c r="T244" s="8">
        <f>VLOOKUP($B244,floorspace!$B$4:$O$12,'shell factors calc'!T$2+1,FALSE)</f>
        <v>684.67663600000003</v>
      </c>
      <c r="U244" s="8">
        <f>VLOOKUP($B244,floorspace!$B$4:$O$12,'shell factors calc'!U$2+1,FALSE)</f>
        <v>875.10882600000002</v>
      </c>
      <c r="V244" s="8">
        <f>VLOOKUP($B244,floorspace!$B$4:$O$12,'shell factors calc'!V$2+1,FALSE)</f>
        <v>703.37530500000003</v>
      </c>
      <c r="W244" s="8">
        <f>VLOOKUP($B244,floorspace!$B$4:$O$12,'shell factors calc'!W$2+1,FALSE)</f>
        <v>1558.8479</v>
      </c>
      <c r="X244" s="8">
        <f>VLOOKUP($B244,floorspace!$B$4:$O$12,'shell factors calc'!X$2+1,FALSE)</f>
        <v>1048.3610839999999</v>
      </c>
      <c r="Y244" s="8">
        <f>VLOOKUP($B244,floorspace!$B$4:$O$12,'shell factors calc'!Y$2+1,FALSE)</f>
        <v>336.39016700000002</v>
      </c>
      <c r="Z244">
        <f t="shared" si="3"/>
        <v>0.66488925755859241</v>
      </c>
    </row>
    <row r="245" spans="1:26" x14ac:dyDescent="0.2">
      <c r="A245" s="5" t="s">
        <v>45</v>
      </c>
      <c r="B245" s="5" t="s">
        <v>43</v>
      </c>
      <c r="C245" s="6" t="s">
        <v>23</v>
      </c>
      <c r="D245" s="7">
        <v>0.69324799999999998</v>
      </c>
      <c r="E245">
        <v>0.68472299999999997</v>
      </c>
      <c r="F245">
        <v>0.72824100000000003</v>
      </c>
      <c r="G245">
        <v>0.47150599999999998</v>
      </c>
      <c r="H245">
        <v>0.71092999999999995</v>
      </c>
      <c r="I245">
        <v>0.59417699999999996</v>
      </c>
      <c r="J245">
        <v>0.72879799999999995</v>
      </c>
      <c r="K245">
        <v>0.71641699999999997</v>
      </c>
      <c r="L245">
        <v>0.62326800000000004</v>
      </c>
      <c r="M245">
        <v>0.62800999999999996</v>
      </c>
      <c r="N245">
        <v>0.69228599999999996</v>
      </c>
      <c r="O245" s="8">
        <f>VLOOKUP($B245,floorspace!$B$4:$O$12,'shell factors calc'!O$2+1,FALSE)</f>
        <v>909.66033900000002</v>
      </c>
      <c r="P245" s="8">
        <f>VLOOKUP($B245,floorspace!$B$4:$O$12,'shell factors calc'!P$2+1,FALSE)</f>
        <v>881.97393799999998</v>
      </c>
      <c r="Q245" s="8">
        <f>VLOOKUP($B245,floorspace!$B$4:$O$12,'shell factors calc'!Q$2+1,FALSE)</f>
        <v>94.492217999999994</v>
      </c>
      <c r="R245" s="8">
        <f>VLOOKUP($B245,floorspace!$B$4:$O$12,'shell factors calc'!R$2+1,FALSE)</f>
        <v>206.62240600000001</v>
      </c>
      <c r="S245" s="8">
        <f>VLOOKUP($B245,floorspace!$B$4:$O$12,'shell factors calc'!S$2+1,FALSE)</f>
        <v>171.98699999999999</v>
      </c>
      <c r="T245" s="8">
        <f>VLOOKUP($B245,floorspace!$B$4:$O$12,'shell factors calc'!T$2+1,FALSE)</f>
        <v>684.67663600000003</v>
      </c>
      <c r="U245" s="8">
        <f>VLOOKUP($B245,floorspace!$B$4:$O$12,'shell factors calc'!U$2+1,FALSE)</f>
        <v>875.10882600000002</v>
      </c>
      <c r="V245" s="8">
        <f>VLOOKUP($B245,floorspace!$B$4:$O$12,'shell factors calc'!V$2+1,FALSE)</f>
        <v>703.37530500000003</v>
      </c>
      <c r="W245" s="8">
        <f>VLOOKUP($B245,floorspace!$B$4:$O$12,'shell factors calc'!W$2+1,FALSE)</f>
        <v>1558.8479</v>
      </c>
      <c r="X245" s="8">
        <f>VLOOKUP($B245,floorspace!$B$4:$O$12,'shell factors calc'!X$2+1,FALSE)</f>
        <v>1048.3610839999999</v>
      </c>
      <c r="Y245" s="8">
        <f>VLOOKUP($B245,floorspace!$B$4:$O$12,'shell factors calc'!Y$2+1,FALSE)</f>
        <v>336.39016700000002</v>
      </c>
      <c r="Z245">
        <f t="shared" si="3"/>
        <v>0.66042755807315079</v>
      </c>
    </row>
    <row r="246" spans="1:26" x14ac:dyDescent="0.2">
      <c r="A246" s="5" t="s">
        <v>45</v>
      </c>
      <c r="B246" s="5" t="s">
        <v>43</v>
      </c>
      <c r="C246" s="6" t="s">
        <v>24</v>
      </c>
      <c r="D246" s="7">
        <v>0.68851600000000002</v>
      </c>
      <c r="E246">
        <v>0.67981000000000003</v>
      </c>
      <c r="F246">
        <v>0.72384099999999996</v>
      </c>
      <c r="G246">
        <v>0.46384700000000001</v>
      </c>
      <c r="H246">
        <v>0.70584000000000002</v>
      </c>
      <c r="I246">
        <v>0.58696400000000004</v>
      </c>
      <c r="J246">
        <v>0.72419</v>
      </c>
      <c r="K246">
        <v>0.71213300000000002</v>
      </c>
      <c r="L246">
        <v>0.61727100000000001</v>
      </c>
      <c r="M246">
        <v>0.62948999999999999</v>
      </c>
      <c r="N246">
        <v>0.68712600000000001</v>
      </c>
      <c r="O246" s="8">
        <f>VLOOKUP($B246,floorspace!$B$4:$O$12,'shell factors calc'!O$2+1,FALSE)</f>
        <v>909.66033900000002</v>
      </c>
      <c r="P246" s="8">
        <f>VLOOKUP($B246,floorspace!$B$4:$O$12,'shell factors calc'!P$2+1,FALSE)</f>
        <v>881.97393799999998</v>
      </c>
      <c r="Q246" s="8">
        <f>VLOOKUP($B246,floorspace!$B$4:$O$12,'shell factors calc'!Q$2+1,FALSE)</f>
        <v>94.492217999999994</v>
      </c>
      <c r="R246" s="8">
        <f>VLOOKUP($B246,floorspace!$B$4:$O$12,'shell factors calc'!R$2+1,FALSE)</f>
        <v>206.62240600000001</v>
      </c>
      <c r="S246" s="8">
        <f>VLOOKUP($B246,floorspace!$B$4:$O$12,'shell factors calc'!S$2+1,FALSE)</f>
        <v>171.98699999999999</v>
      </c>
      <c r="T246" s="8">
        <f>VLOOKUP($B246,floorspace!$B$4:$O$12,'shell factors calc'!T$2+1,FALSE)</f>
        <v>684.67663600000003</v>
      </c>
      <c r="U246" s="8">
        <f>VLOOKUP($B246,floorspace!$B$4:$O$12,'shell factors calc'!U$2+1,FALSE)</f>
        <v>875.10882600000002</v>
      </c>
      <c r="V246" s="8">
        <f>VLOOKUP($B246,floorspace!$B$4:$O$12,'shell factors calc'!V$2+1,FALSE)</f>
        <v>703.37530500000003</v>
      </c>
      <c r="W246" s="8">
        <f>VLOOKUP($B246,floorspace!$B$4:$O$12,'shell factors calc'!W$2+1,FALSE)</f>
        <v>1558.8479</v>
      </c>
      <c r="X246" s="8">
        <f>VLOOKUP($B246,floorspace!$B$4:$O$12,'shell factors calc'!X$2+1,FALSE)</f>
        <v>1048.3610839999999</v>
      </c>
      <c r="Y246" s="8">
        <f>VLOOKUP($B246,floorspace!$B$4:$O$12,'shell factors calc'!Y$2+1,FALSE)</f>
        <v>336.39016700000002</v>
      </c>
      <c r="Z246">
        <f t="shared" si="3"/>
        <v>0.65600698478442576</v>
      </c>
    </row>
    <row r="247" spans="1:26" x14ac:dyDescent="0.2">
      <c r="A247" s="5" t="s">
        <v>45</v>
      </c>
      <c r="B247" s="5" t="s">
        <v>43</v>
      </c>
      <c r="C247" s="6" t="s">
        <v>25</v>
      </c>
      <c r="D247" s="7">
        <v>0.68381700000000001</v>
      </c>
      <c r="E247">
        <v>0.67493199999999998</v>
      </c>
      <c r="F247">
        <v>0.71946699999999997</v>
      </c>
      <c r="G247">
        <v>0.456312</v>
      </c>
      <c r="H247">
        <v>0.70078700000000005</v>
      </c>
      <c r="I247">
        <v>0.57983899999999999</v>
      </c>
      <c r="J247">
        <v>0.71960999999999997</v>
      </c>
      <c r="K247">
        <v>0.707874</v>
      </c>
      <c r="L247">
        <v>0.61133199999999999</v>
      </c>
      <c r="M247">
        <v>0.63097300000000001</v>
      </c>
      <c r="N247">
        <v>0.68200400000000005</v>
      </c>
      <c r="O247" s="8">
        <f>VLOOKUP($B247,floorspace!$B$4:$O$12,'shell factors calc'!O$2+1,FALSE)</f>
        <v>909.66033900000002</v>
      </c>
      <c r="P247" s="8">
        <f>VLOOKUP($B247,floorspace!$B$4:$O$12,'shell factors calc'!P$2+1,FALSE)</f>
        <v>881.97393799999998</v>
      </c>
      <c r="Q247" s="8">
        <f>VLOOKUP($B247,floorspace!$B$4:$O$12,'shell factors calc'!Q$2+1,FALSE)</f>
        <v>94.492217999999994</v>
      </c>
      <c r="R247" s="8">
        <f>VLOOKUP($B247,floorspace!$B$4:$O$12,'shell factors calc'!R$2+1,FALSE)</f>
        <v>206.62240600000001</v>
      </c>
      <c r="S247" s="8">
        <f>VLOOKUP($B247,floorspace!$B$4:$O$12,'shell factors calc'!S$2+1,FALSE)</f>
        <v>171.98699999999999</v>
      </c>
      <c r="T247" s="8">
        <f>VLOOKUP($B247,floorspace!$B$4:$O$12,'shell factors calc'!T$2+1,FALSE)</f>
        <v>684.67663600000003</v>
      </c>
      <c r="U247" s="8">
        <f>VLOOKUP($B247,floorspace!$B$4:$O$12,'shell factors calc'!U$2+1,FALSE)</f>
        <v>875.10882600000002</v>
      </c>
      <c r="V247" s="8">
        <f>VLOOKUP($B247,floorspace!$B$4:$O$12,'shell factors calc'!V$2+1,FALSE)</f>
        <v>703.37530500000003</v>
      </c>
      <c r="W247" s="8">
        <f>VLOOKUP($B247,floorspace!$B$4:$O$12,'shell factors calc'!W$2+1,FALSE)</f>
        <v>1558.8479</v>
      </c>
      <c r="X247" s="8">
        <f>VLOOKUP($B247,floorspace!$B$4:$O$12,'shell factors calc'!X$2+1,FALSE)</f>
        <v>1048.3610839999999</v>
      </c>
      <c r="Y247" s="8">
        <f>VLOOKUP($B247,floorspace!$B$4:$O$12,'shell factors calc'!Y$2+1,FALSE)</f>
        <v>336.39016700000002</v>
      </c>
      <c r="Z247">
        <f t="shared" si="3"/>
        <v>0.6516271007288762</v>
      </c>
    </row>
    <row r="248" spans="1:26" x14ac:dyDescent="0.2">
      <c r="A248" s="5" t="s">
        <v>45</v>
      </c>
      <c r="B248" s="5" t="s">
        <v>43</v>
      </c>
      <c r="C248" s="6" t="s">
        <v>26</v>
      </c>
      <c r="D248" s="7">
        <v>0.67915000000000003</v>
      </c>
      <c r="E248">
        <v>0.67008999999999996</v>
      </c>
      <c r="F248">
        <v>0.71511999999999998</v>
      </c>
      <c r="G248">
        <v>0.44890000000000002</v>
      </c>
      <c r="H248">
        <v>0.69577</v>
      </c>
      <c r="I248">
        <v>0.57279999999999998</v>
      </c>
      <c r="J248">
        <v>0.71506000000000003</v>
      </c>
      <c r="K248">
        <v>0.70364000000000004</v>
      </c>
      <c r="L248">
        <v>0.60545000000000004</v>
      </c>
      <c r="M248">
        <v>0.63246000000000002</v>
      </c>
      <c r="N248">
        <v>0.67691999999999997</v>
      </c>
      <c r="O248" s="8">
        <f>VLOOKUP($B248,floorspace!$B$4:$O$12,'shell factors calc'!O$2+1,FALSE)</f>
        <v>909.66033900000002</v>
      </c>
      <c r="P248" s="8">
        <f>VLOOKUP($B248,floorspace!$B$4:$O$12,'shell factors calc'!P$2+1,FALSE)</f>
        <v>881.97393799999998</v>
      </c>
      <c r="Q248" s="8">
        <f>VLOOKUP($B248,floorspace!$B$4:$O$12,'shell factors calc'!Q$2+1,FALSE)</f>
        <v>94.492217999999994</v>
      </c>
      <c r="R248" s="8">
        <f>VLOOKUP($B248,floorspace!$B$4:$O$12,'shell factors calc'!R$2+1,FALSE)</f>
        <v>206.62240600000001</v>
      </c>
      <c r="S248" s="8">
        <f>VLOOKUP($B248,floorspace!$B$4:$O$12,'shell factors calc'!S$2+1,FALSE)</f>
        <v>171.98699999999999</v>
      </c>
      <c r="T248" s="8">
        <f>VLOOKUP($B248,floorspace!$B$4:$O$12,'shell factors calc'!T$2+1,FALSE)</f>
        <v>684.67663600000003</v>
      </c>
      <c r="U248" s="8">
        <f>VLOOKUP($B248,floorspace!$B$4:$O$12,'shell factors calc'!U$2+1,FALSE)</f>
        <v>875.10882600000002</v>
      </c>
      <c r="V248" s="8">
        <f>VLOOKUP($B248,floorspace!$B$4:$O$12,'shell factors calc'!V$2+1,FALSE)</f>
        <v>703.37530500000003</v>
      </c>
      <c r="W248" s="8">
        <f>VLOOKUP($B248,floorspace!$B$4:$O$12,'shell factors calc'!W$2+1,FALSE)</f>
        <v>1558.8479</v>
      </c>
      <c r="X248" s="8">
        <f>VLOOKUP($B248,floorspace!$B$4:$O$12,'shell factors calc'!X$2+1,FALSE)</f>
        <v>1048.3610839999999</v>
      </c>
      <c r="Y248" s="8">
        <f>VLOOKUP($B248,floorspace!$B$4:$O$12,'shell factors calc'!Y$2+1,FALSE)</f>
        <v>336.39016700000002</v>
      </c>
      <c r="Z248">
        <f t="shared" si="3"/>
        <v>0.64728784682515639</v>
      </c>
    </row>
    <row r="249" spans="1:26" x14ac:dyDescent="0.2">
      <c r="A249" s="5" t="s">
        <v>45</v>
      </c>
      <c r="B249" s="5" t="s">
        <v>43</v>
      </c>
      <c r="C249" s="6" t="s">
        <v>27</v>
      </c>
      <c r="D249" s="7">
        <v>0.67420100000000005</v>
      </c>
      <c r="E249">
        <v>0.66493599999999997</v>
      </c>
      <c r="F249">
        <v>0.71079899999999996</v>
      </c>
      <c r="G249">
        <v>0.44023600000000002</v>
      </c>
      <c r="H249">
        <v>0.69043200000000005</v>
      </c>
      <c r="I249">
        <v>0.56492600000000004</v>
      </c>
      <c r="J249">
        <v>0.71025700000000003</v>
      </c>
      <c r="K249">
        <v>0.699187</v>
      </c>
      <c r="L249">
        <v>0.59903700000000004</v>
      </c>
      <c r="M249">
        <v>0.63390800000000003</v>
      </c>
      <c r="N249">
        <v>0.67149400000000004</v>
      </c>
      <c r="O249" s="8">
        <f>VLOOKUP($B249,floorspace!$B$4:$O$12,'shell factors calc'!O$2+1,FALSE)</f>
        <v>909.66033900000002</v>
      </c>
      <c r="P249" s="8">
        <f>VLOOKUP($B249,floorspace!$B$4:$O$12,'shell factors calc'!P$2+1,FALSE)</f>
        <v>881.97393799999998</v>
      </c>
      <c r="Q249" s="8">
        <f>VLOOKUP($B249,floorspace!$B$4:$O$12,'shell factors calc'!Q$2+1,FALSE)</f>
        <v>94.492217999999994</v>
      </c>
      <c r="R249" s="8">
        <f>VLOOKUP($B249,floorspace!$B$4:$O$12,'shell factors calc'!R$2+1,FALSE)</f>
        <v>206.62240600000001</v>
      </c>
      <c r="S249" s="8">
        <f>VLOOKUP($B249,floorspace!$B$4:$O$12,'shell factors calc'!S$2+1,FALSE)</f>
        <v>171.98699999999999</v>
      </c>
      <c r="T249" s="8">
        <f>VLOOKUP($B249,floorspace!$B$4:$O$12,'shell factors calc'!T$2+1,FALSE)</f>
        <v>684.67663600000003</v>
      </c>
      <c r="U249" s="8">
        <f>VLOOKUP($B249,floorspace!$B$4:$O$12,'shell factors calc'!U$2+1,FALSE)</f>
        <v>875.10882600000002</v>
      </c>
      <c r="V249" s="8">
        <f>VLOOKUP($B249,floorspace!$B$4:$O$12,'shell factors calc'!V$2+1,FALSE)</f>
        <v>703.37530500000003</v>
      </c>
      <c r="W249" s="8">
        <f>VLOOKUP($B249,floorspace!$B$4:$O$12,'shell factors calc'!W$2+1,FALSE)</f>
        <v>1558.8479</v>
      </c>
      <c r="X249" s="8">
        <f>VLOOKUP($B249,floorspace!$B$4:$O$12,'shell factors calc'!X$2+1,FALSE)</f>
        <v>1048.3610839999999</v>
      </c>
      <c r="Y249" s="8">
        <f>VLOOKUP($B249,floorspace!$B$4:$O$12,'shell factors calc'!Y$2+1,FALSE)</f>
        <v>336.39016700000002</v>
      </c>
      <c r="Z249">
        <f t="shared" si="3"/>
        <v>0.64257731936347451</v>
      </c>
    </row>
    <row r="250" spans="1:26" x14ac:dyDescent="0.2">
      <c r="A250" s="5" t="s">
        <v>45</v>
      </c>
      <c r="B250" s="5" t="s">
        <v>43</v>
      </c>
      <c r="C250" s="6" t="s">
        <v>28</v>
      </c>
      <c r="D250" s="7">
        <v>0.66928799999999999</v>
      </c>
      <c r="E250">
        <v>0.65982200000000002</v>
      </c>
      <c r="F250">
        <v>0.70650500000000005</v>
      </c>
      <c r="G250">
        <v>0.43173899999999998</v>
      </c>
      <c r="H250">
        <v>0.68513599999999997</v>
      </c>
      <c r="I250">
        <v>0.55716100000000002</v>
      </c>
      <c r="J250">
        <v>0.70548699999999998</v>
      </c>
      <c r="K250">
        <v>0.69476300000000002</v>
      </c>
      <c r="L250">
        <v>0.59269099999999997</v>
      </c>
      <c r="M250">
        <v>0.63535900000000001</v>
      </c>
      <c r="N250">
        <v>0.66611200000000004</v>
      </c>
      <c r="O250" s="8">
        <f>VLOOKUP($B250,floorspace!$B$4:$O$12,'shell factors calc'!O$2+1,FALSE)</f>
        <v>909.66033900000002</v>
      </c>
      <c r="P250" s="8">
        <f>VLOOKUP($B250,floorspace!$B$4:$O$12,'shell factors calc'!P$2+1,FALSE)</f>
        <v>881.97393799999998</v>
      </c>
      <c r="Q250" s="8">
        <f>VLOOKUP($B250,floorspace!$B$4:$O$12,'shell factors calc'!Q$2+1,FALSE)</f>
        <v>94.492217999999994</v>
      </c>
      <c r="R250" s="8">
        <f>VLOOKUP($B250,floorspace!$B$4:$O$12,'shell factors calc'!R$2+1,FALSE)</f>
        <v>206.62240600000001</v>
      </c>
      <c r="S250" s="8">
        <f>VLOOKUP($B250,floorspace!$B$4:$O$12,'shell factors calc'!S$2+1,FALSE)</f>
        <v>171.98699999999999</v>
      </c>
      <c r="T250" s="8">
        <f>VLOOKUP($B250,floorspace!$B$4:$O$12,'shell factors calc'!T$2+1,FALSE)</f>
        <v>684.67663600000003</v>
      </c>
      <c r="U250" s="8">
        <f>VLOOKUP($B250,floorspace!$B$4:$O$12,'shell factors calc'!U$2+1,FALSE)</f>
        <v>875.10882600000002</v>
      </c>
      <c r="V250" s="8">
        <f>VLOOKUP($B250,floorspace!$B$4:$O$12,'shell factors calc'!V$2+1,FALSE)</f>
        <v>703.37530500000003</v>
      </c>
      <c r="W250" s="8">
        <f>VLOOKUP($B250,floorspace!$B$4:$O$12,'shell factors calc'!W$2+1,FALSE)</f>
        <v>1558.8479</v>
      </c>
      <c r="X250" s="8">
        <f>VLOOKUP($B250,floorspace!$B$4:$O$12,'shell factors calc'!X$2+1,FALSE)</f>
        <v>1048.3610839999999</v>
      </c>
      <c r="Y250" s="8">
        <f>VLOOKUP($B250,floorspace!$B$4:$O$12,'shell factors calc'!Y$2+1,FALSE)</f>
        <v>336.39016700000002</v>
      </c>
      <c r="Z250">
        <f t="shared" si="3"/>
        <v>0.6379147880075825</v>
      </c>
    </row>
    <row r="251" spans="1:26" x14ac:dyDescent="0.2">
      <c r="A251" s="5" t="s">
        <v>45</v>
      </c>
      <c r="B251" s="5" t="s">
        <v>43</v>
      </c>
      <c r="C251" s="6" t="s">
        <v>29</v>
      </c>
      <c r="D251" s="7">
        <v>0.66440999999999995</v>
      </c>
      <c r="E251">
        <v>0.65474699999999997</v>
      </c>
      <c r="F251">
        <v>0.70223599999999997</v>
      </c>
      <c r="G251">
        <v>0.423406</v>
      </c>
      <c r="H251">
        <v>0.67988000000000004</v>
      </c>
      <c r="I251">
        <v>0.54950200000000005</v>
      </c>
      <c r="J251">
        <v>0.70074899999999996</v>
      </c>
      <c r="K251">
        <v>0.69036600000000004</v>
      </c>
      <c r="L251">
        <v>0.58641299999999996</v>
      </c>
      <c r="M251">
        <v>0.63681399999999999</v>
      </c>
      <c r="N251">
        <v>0.66077300000000005</v>
      </c>
      <c r="O251" s="8">
        <f>VLOOKUP($B251,floorspace!$B$4:$O$12,'shell factors calc'!O$2+1,FALSE)</f>
        <v>909.66033900000002</v>
      </c>
      <c r="P251" s="8">
        <f>VLOOKUP($B251,floorspace!$B$4:$O$12,'shell factors calc'!P$2+1,FALSE)</f>
        <v>881.97393799999998</v>
      </c>
      <c r="Q251" s="8">
        <f>VLOOKUP($B251,floorspace!$B$4:$O$12,'shell factors calc'!Q$2+1,FALSE)</f>
        <v>94.492217999999994</v>
      </c>
      <c r="R251" s="8">
        <f>VLOOKUP($B251,floorspace!$B$4:$O$12,'shell factors calc'!R$2+1,FALSE)</f>
        <v>206.62240600000001</v>
      </c>
      <c r="S251" s="8">
        <f>VLOOKUP($B251,floorspace!$B$4:$O$12,'shell factors calc'!S$2+1,FALSE)</f>
        <v>171.98699999999999</v>
      </c>
      <c r="T251" s="8">
        <f>VLOOKUP($B251,floorspace!$B$4:$O$12,'shell factors calc'!T$2+1,FALSE)</f>
        <v>684.67663600000003</v>
      </c>
      <c r="U251" s="8">
        <f>VLOOKUP($B251,floorspace!$B$4:$O$12,'shell factors calc'!U$2+1,FALSE)</f>
        <v>875.10882600000002</v>
      </c>
      <c r="V251" s="8">
        <f>VLOOKUP($B251,floorspace!$B$4:$O$12,'shell factors calc'!V$2+1,FALSE)</f>
        <v>703.37530500000003</v>
      </c>
      <c r="W251" s="8">
        <f>VLOOKUP($B251,floorspace!$B$4:$O$12,'shell factors calc'!W$2+1,FALSE)</f>
        <v>1558.8479</v>
      </c>
      <c r="X251" s="8">
        <f>VLOOKUP($B251,floorspace!$B$4:$O$12,'shell factors calc'!X$2+1,FALSE)</f>
        <v>1048.3610839999999</v>
      </c>
      <c r="Y251" s="8">
        <f>VLOOKUP($B251,floorspace!$B$4:$O$12,'shell factors calc'!Y$2+1,FALSE)</f>
        <v>336.39016700000002</v>
      </c>
      <c r="Z251">
        <f t="shared" si="3"/>
        <v>0.633299582271867</v>
      </c>
    </row>
    <row r="252" spans="1:26" x14ac:dyDescent="0.2">
      <c r="A252" s="5" t="s">
        <v>45</v>
      </c>
      <c r="B252" s="5" t="s">
        <v>43</v>
      </c>
      <c r="C252" s="6" t="s">
        <v>30</v>
      </c>
      <c r="D252" s="7">
        <v>0.65956899999999996</v>
      </c>
      <c r="E252">
        <v>0.64971199999999996</v>
      </c>
      <c r="F252">
        <v>0.697994</v>
      </c>
      <c r="G252">
        <v>0.41523399999999999</v>
      </c>
      <c r="H252">
        <v>0.67466400000000004</v>
      </c>
      <c r="I252">
        <v>0.54194900000000001</v>
      </c>
      <c r="J252">
        <v>0.69604200000000005</v>
      </c>
      <c r="K252">
        <v>0.685998</v>
      </c>
      <c r="L252">
        <v>0.580202</v>
      </c>
      <c r="M252">
        <v>0.63827199999999995</v>
      </c>
      <c r="N252">
        <v>0.65547699999999998</v>
      </c>
      <c r="O252" s="8">
        <f>VLOOKUP($B252,floorspace!$B$4:$O$12,'shell factors calc'!O$2+1,FALSE)</f>
        <v>909.66033900000002</v>
      </c>
      <c r="P252" s="8">
        <f>VLOOKUP($B252,floorspace!$B$4:$O$12,'shell factors calc'!P$2+1,FALSE)</f>
        <v>881.97393799999998</v>
      </c>
      <c r="Q252" s="8">
        <f>VLOOKUP($B252,floorspace!$B$4:$O$12,'shell factors calc'!Q$2+1,FALSE)</f>
        <v>94.492217999999994</v>
      </c>
      <c r="R252" s="8">
        <f>VLOOKUP($B252,floorspace!$B$4:$O$12,'shell factors calc'!R$2+1,FALSE)</f>
        <v>206.62240600000001</v>
      </c>
      <c r="S252" s="8">
        <f>VLOOKUP($B252,floorspace!$B$4:$O$12,'shell factors calc'!S$2+1,FALSE)</f>
        <v>171.98699999999999</v>
      </c>
      <c r="T252" s="8">
        <f>VLOOKUP($B252,floorspace!$B$4:$O$12,'shell factors calc'!T$2+1,FALSE)</f>
        <v>684.67663600000003</v>
      </c>
      <c r="U252" s="8">
        <f>VLOOKUP($B252,floorspace!$B$4:$O$12,'shell factors calc'!U$2+1,FALSE)</f>
        <v>875.10882600000002</v>
      </c>
      <c r="V252" s="8">
        <f>VLOOKUP($B252,floorspace!$B$4:$O$12,'shell factors calc'!V$2+1,FALSE)</f>
        <v>703.37530500000003</v>
      </c>
      <c r="W252" s="8">
        <f>VLOOKUP($B252,floorspace!$B$4:$O$12,'shell factors calc'!W$2+1,FALSE)</f>
        <v>1558.8479</v>
      </c>
      <c r="X252" s="8">
        <f>VLOOKUP($B252,floorspace!$B$4:$O$12,'shell factors calc'!X$2+1,FALSE)</f>
        <v>1048.3610839999999</v>
      </c>
      <c r="Y252" s="8">
        <f>VLOOKUP($B252,floorspace!$B$4:$O$12,'shell factors calc'!Y$2+1,FALSE)</f>
        <v>336.39016700000002</v>
      </c>
      <c r="Z252">
        <f t="shared" si="3"/>
        <v>0.62873172823472545</v>
      </c>
    </row>
    <row r="253" spans="1:26" x14ac:dyDescent="0.2">
      <c r="A253" s="5" t="s">
        <v>45</v>
      </c>
      <c r="B253" s="5" t="s">
        <v>43</v>
      </c>
      <c r="C253" s="6" t="s">
        <v>31</v>
      </c>
      <c r="D253" s="7">
        <v>0.65476199999999996</v>
      </c>
      <c r="E253">
        <v>0.64471500000000004</v>
      </c>
      <c r="F253">
        <v>0.69377699999999998</v>
      </c>
      <c r="G253">
        <v>0.40722000000000003</v>
      </c>
      <c r="H253">
        <v>0.669489</v>
      </c>
      <c r="I253">
        <v>0.53449999999999998</v>
      </c>
      <c r="J253">
        <v>0.69136799999999998</v>
      </c>
      <c r="K253">
        <v>0.68165699999999996</v>
      </c>
      <c r="L253">
        <v>0.57405600000000001</v>
      </c>
      <c r="M253">
        <v>0.639733</v>
      </c>
      <c r="N253">
        <v>0.650223</v>
      </c>
      <c r="O253" s="8">
        <f>VLOOKUP($B253,floorspace!$B$4:$O$12,'shell factors calc'!O$2+1,FALSE)</f>
        <v>909.66033900000002</v>
      </c>
      <c r="P253" s="8">
        <f>VLOOKUP($B253,floorspace!$B$4:$O$12,'shell factors calc'!P$2+1,FALSE)</f>
        <v>881.97393799999998</v>
      </c>
      <c r="Q253" s="8">
        <f>VLOOKUP($B253,floorspace!$B$4:$O$12,'shell factors calc'!Q$2+1,FALSE)</f>
        <v>94.492217999999994</v>
      </c>
      <c r="R253" s="8">
        <f>VLOOKUP($B253,floorspace!$B$4:$O$12,'shell factors calc'!R$2+1,FALSE)</f>
        <v>206.62240600000001</v>
      </c>
      <c r="S253" s="8">
        <f>VLOOKUP($B253,floorspace!$B$4:$O$12,'shell factors calc'!S$2+1,FALSE)</f>
        <v>171.98699999999999</v>
      </c>
      <c r="T253" s="8">
        <f>VLOOKUP($B253,floorspace!$B$4:$O$12,'shell factors calc'!T$2+1,FALSE)</f>
        <v>684.67663600000003</v>
      </c>
      <c r="U253" s="8">
        <f>VLOOKUP($B253,floorspace!$B$4:$O$12,'shell factors calc'!U$2+1,FALSE)</f>
        <v>875.10882600000002</v>
      </c>
      <c r="V253" s="8">
        <f>VLOOKUP($B253,floorspace!$B$4:$O$12,'shell factors calc'!V$2+1,FALSE)</f>
        <v>703.37530500000003</v>
      </c>
      <c r="W253" s="8">
        <f>VLOOKUP($B253,floorspace!$B$4:$O$12,'shell factors calc'!W$2+1,FALSE)</f>
        <v>1558.8479</v>
      </c>
      <c r="X253" s="8">
        <f>VLOOKUP($B253,floorspace!$B$4:$O$12,'shell factors calc'!X$2+1,FALSE)</f>
        <v>1048.3610839999999</v>
      </c>
      <c r="Y253" s="8">
        <f>VLOOKUP($B253,floorspace!$B$4:$O$12,'shell factors calc'!Y$2+1,FALSE)</f>
        <v>336.39016700000002</v>
      </c>
      <c r="Z253">
        <f t="shared" ref="Z253:Z313" si="4">SUMPRODUCT(D253:N253,O253:Y253)/SUM(O253:Y253)</f>
        <v>0.62420993970581773</v>
      </c>
    </row>
    <row r="254" spans="1:26" x14ac:dyDescent="0.2">
      <c r="A254" s="5" t="s">
        <v>45</v>
      </c>
      <c r="B254" s="5" t="s">
        <v>43</v>
      </c>
      <c r="C254" s="6" t="s">
        <v>32</v>
      </c>
      <c r="D254" s="7">
        <v>0.64999099999999999</v>
      </c>
      <c r="E254">
        <v>0.63975599999999999</v>
      </c>
      <c r="F254">
        <v>0.689585</v>
      </c>
      <c r="G254">
        <v>0.39935999999999999</v>
      </c>
      <c r="H254">
        <v>0.66435299999999997</v>
      </c>
      <c r="I254">
        <v>0.52715199999999995</v>
      </c>
      <c r="J254">
        <v>0.686724</v>
      </c>
      <c r="K254">
        <v>0.67734300000000003</v>
      </c>
      <c r="L254">
        <v>0.56797500000000001</v>
      </c>
      <c r="M254">
        <v>0.64119800000000005</v>
      </c>
      <c r="N254">
        <v>0.64501200000000003</v>
      </c>
      <c r="O254" s="8">
        <f>VLOOKUP($B254,floorspace!$B$4:$O$12,'shell factors calc'!O$2+1,FALSE)</f>
        <v>909.66033900000002</v>
      </c>
      <c r="P254" s="8">
        <f>VLOOKUP($B254,floorspace!$B$4:$O$12,'shell factors calc'!P$2+1,FALSE)</f>
        <v>881.97393799999998</v>
      </c>
      <c r="Q254" s="8">
        <f>VLOOKUP($B254,floorspace!$B$4:$O$12,'shell factors calc'!Q$2+1,FALSE)</f>
        <v>94.492217999999994</v>
      </c>
      <c r="R254" s="8">
        <f>VLOOKUP($B254,floorspace!$B$4:$O$12,'shell factors calc'!R$2+1,FALSE)</f>
        <v>206.62240600000001</v>
      </c>
      <c r="S254" s="8">
        <f>VLOOKUP($B254,floorspace!$B$4:$O$12,'shell factors calc'!S$2+1,FALSE)</f>
        <v>171.98699999999999</v>
      </c>
      <c r="T254" s="8">
        <f>VLOOKUP($B254,floorspace!$B$4:$O$12,'shell factors calc'!T$2+1,FALSE)</f>
        <v>684.67663600000003</v>
      </c>
      <c r="U254" s="8">
        <f>VLOOKUP($B254,floorspace!$B$4:$O$12,'shell factors calc'!U$2+1,FALSE)</f>
        <v>875.10882600000002</v>
      </c>
      <c r="V254" s="8">
        <f>VLOOKUP($B254,floorspace!$B$4:$O$12,'shell factors calc'!V$2+1,FALSE)</f>
        <v>703.37530500000003</v>
      </c>
      <c r="W254" s="8">
        <f>VLOOKUP($B254,floorspace!$B$4:$O$12,'shell factors calc'!W$2+1,FALSE)</f>
        <v>1558.8479</v>
      </c>
      <c r="X254" s="8">
        <f>VLOOKUP($B254,floorspace!$B$4:$O$12,'shell factors calc'!X$2+1,FALSE)</f>
        <v>1048.3610839999999</v>
      </c>
      <c r="Y254" s="8">
        <f>VLOOKUP($B254,floorspace!$B$4:$O$12,'shell factors calc'!Y$2+1,FALSE)</f>
        <v>336.39016700000002</v>
      </c>
      <c r="Z254">
        <f t="shared" si="4"/>
        <v>0.6197338625729093</v>
      </c>
    </row>
    <row r="255" spans="1:26" x14ac:dyDescent="0.2">
      <c r="A255" s="5" t="s">
        <v>45</v>
      </c>
      <c r="B255" s="5" t="s">
        <v>43</v>
      </c>
      <c r="C255" s="6" t="s">
        <v>33</v>
      </c>
      <c r="D255" s="7">
        <v>0.64525399999999999</v>
      </c>
      <c r="E255">
        <v>0.63483599999999996</v>
      </c>
      <c r="F255">
        <v>0.685419</v>
      </c>
      <c r="G255">
        <v>0.391652</v>
      </c>
      <c r="H255">
        <v>0.65925599999999995</v>
      </c>
      <c r="I255">
        <v>0.51990599999999998</v>
      </c>
      <c r="J255">
        <v>0.68211200000000005</v>
      </c>
      <c r="K255">
        <v>0.67305700000000002</v>
      </c>
      <c r="L255">
        <v>0.56195899999999999</v>
      </c>
      <c r="M255">
        <v>0.64266599999999996</v>
      </c>
      <c r="N255">
        <v>0.63984200000000002</v>
      </c>
      <c r="O255" s="8">
        <f>VLOOKUP($B255,floorspace!$B$4:$O$12,'shell factors calc'!O$2+1,FALSE)</f>
        <v>909.66033900000002</v>
      </c>
      <c r="P255" s="8">
        <f>VLOOKUP($B255,floorspace!$B$4:$O$12,'shell factors calc'!P$2+1,FALSE)</f>
        <v>881.97393799999998</v>
      </c>
      <c r="Q255" s="8">
        <f>VLOOKUP($B255,floorspace!$B$4:$O$12,'shell factors calc'!Q$2+1,FALSE)</f>
        <v>94.492217999999994</v>
      </c>
      <c r="R255" s="8">
        <f>VLOOKUP($B255,floorspace!$B$4:$O$12,'shell factors calc'!R$2+1,FALSE)</f>
        <v>206.62240600000001</v>
      </c>
      <c r="S255" s="8">
        <f>VLOOKUP($B255,floorspace!$B$4:$O$12,'shell factors calc'!S$2+1,FALSE)</f>
        <v>171.98699999999999</v>
      </c>
      <c r="T255" s="8">
        <f>VLOOKUP($B255,floorspace!$B$4:$O$12,'shell factors calc'!T$2+1,FALSE)</f>
        <v>684.67663600000003</v>
      </c>
      <c r="U255" s="8">
        <f>VLOOKUP($B255,floorspace!$B$4:$O$12,'shell factors calc'!U$2+1,FALSE)</f>
        <v>875.10882600000002</v>
      </c>
      <c r="V255" s="8">
        <f>VLOOKUP($B255,floorspace!$B$4:$O$12,'shell factors calc'!V$2+1,FALSE)</f>
        <v>703.37530500000003</v>
      </c>
      <c r="W255" s="8">
        <f>VLOOKUP($B255,floorspace!$B$4:$O$12,'shell factors calc'!W$2+1,FALSE)</f>
        <v>1558.8479</v>
      </c>
      <c r="X255" s="8">
        <f>VLOOKUP($B255,floorspace!$B$4:$O$12,'shell factors calc'!X$2+1,FALSE)</f>
        <v>1048.3610839999999</v>
      </c>
      <c r="Y255" s="8">
        <f>VLOOKUP($B255,floorspace!$B$4:$O$12,'shell factors calc'!Y$2+1,FALSE)</f>
        <v>336.39016700000002</v>
      </c>
      <c r="Z255">
        <f t="shared" si="4"/>
        <v>0.61530351838842379</v>
      </c>
    </row>
    <row r="256" spans="1:26" x14ac:dyDescent="0.2">
      <c r="A256" s="5" t="s">
        <v>45</v>
      </c>
      <c r="B256" s="5" t="s">
        <v>43</v>
      </c>
      <c r="C256" s="6" t="s">
        <v>34</v>
      </c>
      <c r="D256" s="7">
        <v>0.64055200000000001</v>
      </c>
      <c r="E256">
        <v>0.62995299999999999</v>
      </c>
      <c r="F256">
        <v>0.68127700000000002</v>
      </c>
      <c r="G256">
        <v>0.38409300000000002</v>
      </c>
      <c r="H256">
        <v>0.65419899999999997</v>
      </c>
      <c r="I256">
        <v>0.51275999999999999</v>
      </c>
      <c r="J256">
        <v>0.67753099999999999</v>
      </c>
      <c r="K256">
        <v>0.668798</v>
      </c>
      <c r="L256">
        <v>0.55600700000000003</v>
      </c>
      <c r="M256">
        <v>0.64413699999999996</v>
      </c>
      <c r="N256">
        <v>0.634714</v>
      </c>
      <c r="O256" s="8">
        <f>VLOOKUP($B256,floorspace!$B$4:$O$12,'shell factors calc'!O$2+1,FALSE)</f>
        <v>909.66033900000002</v>
      </c>
      <c r="P256" s="8">
        <f>VLOOKUP($B256,floorspace!$B$4:$O$12,'shell factors calc'!P$2+1,FALSE)</f>
        <v>881.97393799999998</v>
      </c>
      <c r="Q256" s="8">
        <f>VLOOKUP($B256,floorspace!$B$4:$O$12,'shell factors calc'!Q$2+1,FALSE)</f>
        <v>94.492217999999994</v>
      </c>
      <c r="R256" s="8">
        <f>VLOOKUP($B256,floorspace!$B$4:$O$12,'shell factors calc'!R$2+1,FALSE)</f>
        <v>206.62240600000001</v>
      </c>
      <c r="S256" s="8">
        <f>VLOOKUP($B256,floorspace!$B$4:$O$12,'shell factors calc'!S$2+1,FALSE)</f>
        <v>171.98699999999999</v>
      </c>
      <c r="T256" s="8">
        <f>VLOOKUP($B256,floorspace!$B$4:$O$12,'shell factors calc'!T$2+1,FALSE)</f>
        <v>684.67663600000003</v>
      </c>
      <c r="U256" s="8">
        <f>VLOOKUP($B256,floorspace!$B$4:$O$12,'shell factors calc'!U$2+1,FALSE)</f>
        <v>875.10882600000002</v>
      </c>
      <c r="V256" s="8">
        <f>VLOOKUP($B256,floorspace!$B$4:$O$12,'shell factors calc'!V$2+1,FALSE)</f>
        <v>703.37530500000003</v>
      </c>
      <c r="W256" s="8">
        <f>VLOOKUP($B256,floorspace!$B$4:$O$12,'shell factors calc'!W$2+1,FALSE)</f>
        <v>1558.8479</v>
      </c>
      <c r="X256" s="8">
        <f>VLOOKUP($B256,floorspace!$B$4:$O$12,'shell factors calc'!X$2+1,FALSE)</f>
        <v>1048.3610839999999</v>
      </c>
      <c r="Y256" s="8">
        <f>VLOOKUP($B256,floorspace!$B$4:$O$12,'shell factors calc'!Y$2+1,FALSE)</f>
        <v>336.39016700000002</v>
      </c>
      <c r="Z256">
        <f t="shared" si="4"/>
        <v>0.61091814941288491</v>
      </c>
    </row>
    <row r="257" spans="1:26" x14ac:dyDescent="0.2">
      <c r="A257" s="5" t="s">
        <v>45</v>
      </c>
      <c r="B257" s="5" t="s">
        <v>43</v>
      </c>
      <c r="C257" s="6" t="s">
        <v>35</v>
      </c>
      <c r="D257" s="7">
        <v>0.635884</v>
      </c>
      <c r="E257">
        <v>0.625108</v>
      </c>
      <c r="F257">
        <v>0.67716100000000001</v>
      </c>
      <c r="G257">
        <v>0.37668000000000001</v>
      </c>
      <c r="H257">
        <v>0.64917999999999998</v>
      </c>
      <c r="I257">
        <v>0.50571100000000002</v>
      </c>
      <c r="J257">
        <v>0.67298000000000002</v>
      </c>
      <c r="K257">
        <v>0.66456599999999999</v>
      </c>
      <c r="L257">
        <v>0.55011699999999997</v>
      </c>
      <c r="M257">
        <v>0.64561199999999996</v>
      </c>
      <c r="N257">
        <v>0.62962600000000002</v>
      </c>
      <c r="O257" s="8">
        <f>VLOOKUP($B257,floorspace!$B$4:$O$12,'shell factors calc'!O$2+1,FALSE)</f>
        <v>909.66033900000002</v>
      </c>
      <c r="P257" s="8">
        <f>VLOOKUP($B257,floorspace!$B$4:$O$12,'shell factors calc'!P$2+1,FALSE)</f>
        <v>881.97393799999998</v>
      </c>
      <c r="Q257" s="8">
        <f>VLOOKUP($B257,floorspace!$B$4:$O$12,'shell factors calc'!Q$2+1,FALSE)</f>
        <v>94.492217999999994</v>
      </c>
      <c r="R257" s="8">
        <f>VLOOKUP($B257,floorspace!$B$4:$O$12,'shell factors calc'!R$2+1,FALSE)</f>
        <v>206.62240600000001</v>
      </c>
      <c r="S257" s="8">
        <f>VLOOKUP($B257,floorspace!$B$4:$O$12,'shell factors calc'!S$2+1,FALSE)</f>
        <v>171.98699999999999</v>
      </c>
      <c r="T257" s="8">
        <f>VLOOKUP($B257,floorspace!$B$4:$O$12,'shell factors calc'!T$2+1,FALSE)</f>
        <v>684.67663600000003</v>
      </c>
      <c r="U257" s="8">
        <f>VLOOKUP($B257,floorspace!$B$4:$O$12,'shell factors calc'!U$2+1,FALSE)</f>
        <v>875.10882600000002</v>
      </c>
      <c r="V257" s="8">
        <f>VLOOKUP($B257,floorspace!$B$4:$O$12,'shell factors calc'!V$2+1,FALSE)</f>
        <v>703.37530500000003</v>
      </c>
      <c r="W257" s="8">
        <f>VLOOKUP($B257,floorspace!$B$4:$O$12,'shell factors calc'!W$2+1,FALSE)</f>
        <v>1558.8479</v>
      </c>
      <c r="X257" s="8">
        <f>VLOOKUP($B257,floorspace!$B$4:$O$12,'shell factors calc'!X$2+1,FALSE)</f>
        <v>1048.3610839999999</v>
      </c>
      <c r="Y257" s="8">
        <f>VLOOKUP($B257,floorspace!$B$4:$O$12,'shell factors calc'!Y$2+1,FALSE)</f>
        <v>336.39016700000002</v>
      </c>
      <c r="Z257">
        <f t="shared" si="4"/>
        <v>0.60657688918031005</v>
      </c>
    </row>
    <row r="258" spans="1:26" x14ac:dyDescent="0.2">
      <c r="A258" s="5" t="s">
        <v>45</v>
      </c>
      <c r="B258" s="1" t="s">
        <v>43</v>
      </c>
      <c r="C258" s="2" t="s">
        <v>36</v>
      </c>
      <c r="D258" s="4">
        <v>0.63124999999999998</v>
      </c>
      <c r="E258">
        <v>0.62029999999999996</v>
      </c>
      <c r="F258">
        <v>0.67306999999999995</v>
      </c>
      <c r="G258">
        <v>0.36941000000000002</v>
      </c>
      <c r="H258">
        <v>0.64419999999999999</v>
      </c>
      <c r="I258">
        <v>0.49875999999999998</v>
      </c>
      <c r="J258">
        <v>0.66846000000000005</v>
      </c>
      <c r="K258">
        <v>0.66035999999999995</v>
      </c>
      <c r="L258">
        <v>0.54429000000000005</v>
      </c>
      <c r="M258">
        <v>0.64709000000000005</v>
      </c>
      <c r="N258">
        <v>0.62458000000000002</v>
      </c>
      <c r="O258" s="8">
        <f>VLOOKUP($B258,floorspace!$B$4:$O$12,'shell factors calc'!O$2+1,FALSE)</f>
        <v>909.66033900000002</v>
      </c>
      <c r="P258" s="8">
        <f>VLOOKUP($B258,floorspace!$B$4:$O$12,'shell factors calc'!P$2+1,FALSE)</f>
        <v>881.97393799999998</v>
      </c>
      <c r="Q258" s="8">
        <f>VLOOKUP($B258,floorspace!$B$4:$O$12,'shell factors calc'!Q$2+1,FALSE)</f>
        <v>94.492217999999994</v>
      </c>
      <c r="R258" s="8">
        <f>VLOOKUP($B258,floorspace!$B$4:$O$12,'shell factors calc'!R$2+1,FALSE)</f>
        <v>206.62240600000001</v>
      </c>
      <c r="S258" s="8">
        <f>VLOOKUP($B258,floorspace!$B$4:$O$12,'shell factors calc'!S$2+1,FALSE)</f>
        <v>171.98699999999999</v>
      </c>
      <c r="T258" s="8">
        <f>VLOOKUP($B258,floorspace!$B$4:$O$12,'shell factors calc'!T$2+1,FALSE)</f>
        <v>684.67663600000003</v>
      </c>
      <c r="U258" s="8">
        <f>VLOOKUP($B258,floorspace!$B$4:$O$12,'shell factors calc'!U$2+1,FALSE)</f>
        <v>875.10882600000002</v>
      </c>
      <c r="V258" s="8">
        <f>VLOOKUP($B258,floorspace!$B$4:$O$12,'shell factors calc'!V$2+1,FALSE)</f>
        <v>703.37530500000003</v>
      </c>
      <c r="W258" s="8">
        <f>VLOOKUP($B258,floorspace!$B$4:$O$12,'shell factors calc'!W$2+1,FALSE)</f>
        <v>1558.8479</v>
      </c>
      <c r="X258" s="8">
        <f>VLOOKUP($B258,floorspace!$B$4:$O$12,'shell factors calc'!X$2+1,FALSE)</f>
        <v>1048.3610839999999</v>
      </c>
      <c r="Y258" s="8">
        <f>VLOOKUP($B258,floorspace!$B$4:$O$12,'shell factors calc'!Y$2+1,FALSE)</f>
        <v>336.39016700000002</v>
      </c>
      <c r="Z258">
        <f t="shared" si="4"/>
        <v>0.60227982004782665</v>
      </c>
    </row>
    <row r="259" spans="1:26" x14ac:dyDescent="0.2">
      <c r="A259" s="5" t="s">
        <v>45</v>
      </c>
      <c r="B259" s="5" t="s">
        <v>44</v>
      </c>
      <c r="C259" s="6" t="s">
        <v>5</v>
      </c>
      <c r="D259" s="7">
        <v>0.799203</v>
      </c>
      <c r="E259">
        <v>0.75889600000000002</v>
      </c>
      <c r="F259">
        <v>0.84702299999999997</v>
      </c>
      <c r="G259">
        <v>0.55396599999999996</v>
      </c>
      <c r="H259">
        <v>0.88011399999999995</v>
      </c>
      <c r="I259">
        <v>0.75790999999999997</v>
      </c>
      <c r="J259">
        <v>0.75812500000000005</v>
      </c>
      <c r="K259">
        <v>0.83540800000000004</v>
      </c>
      <c r="L259">
        <v>0.90592700000000004</v>
      </c>
      <c r="M259">
        <v>0.60157799999999995</v>
      </c>
      <c r="N259">
        <v>0.776725</v>
      </c>
      <c r="O259" s="8">
        <f>VLOOKUP($B259,floorspace!$B$4:$O$12,'shell factors calc'!O$2+1,FALSE)</f>
        <v>1426.487427</v>
      </c>
      <c r="P259" s="8">
        <f>VLOOKUP($B259,floorspace!$B$4:$O$12,'shell factors calc'!P$2+1,FALSE)</f>
        <v>1360.7664789999999</v>
      </c>
      <c r="Q259" s="8">
        <f>VLOOKUP($B259,floorspace!$B$4:$O$12,'shell factors calc'!Q$2+1,FALSE)</f>
        <v>115.483704</v>
      </c>
      <c r="R259" s="8">
        <f>VLOOKUP($B259,floorspace!$B$4:$O$12,'shell factors calc'!R$2+1,FALSE)</f>
        <v>190.85375999999999</v>
      </c>
      <c r="S259" s="8">
        <f>VLOOKUP($B259,floorspace!$B$4:$O$12,'shell factors calc'!S$2+1,FALSE)</f>
        <v>325.72094700000002</v>
      </c>
      <c r="T259" s="8">
        <f>VLOOKUP($B259,floorspace!$B$4:$O$12,'shell factors calc'!T$2+1,FALSE)</f>
        <v>885.83789100000001</v>
      </c>
      <c r="U259" s="8">
        <f>VLOOKUP($B259,floorspace!$B$4:$O$12,'shell factors calc'!U$2+1,FALSE)</f>
        <v>1391.6861570000001</v>
      </c>
      <c r="V259" s="8">
        <f>VLOOKUP($B259,floorspace!$B$4:$O$12,'shell factors calc'!V$2+1,FALSE)</f>
        <v>952.37109399999997</v>
      </c>
      <c r="W259" s="8">
        <f>VLOOKUP($B259,floorspace!$B$4:$O$12,'shell factors calc'!W$2+1,FALSE)</f>
        <v>1766.4886469999999</v>
      </c>
      <c r="X259" s="8">
        <f>VLOOKUP($B259,floorspace!$B$4:$O$12,'shell factors calc'!X$2+1,FALSE)</f>
        <v>2912.772461</v>
      </c>
      <c r="Y259" s="8">
        <f>VLOOKUP($B259,floorspace!$B$4:$O$12,'shell factors calc'!Y$2+1,FALSE)</f>
        <v>529.23895300000004</v>
      </c>
      <c r="Z259">
        <f t="shared" si="4"/>
        <v>0.7546709411840945</v>
      </c>
    </row>
    <row r="260" spans="1:26" x14ac:dyDescent="0.2">
      <c r="A260" s="5" t="s">
        <v>45</v>
      </c>
      <c r="B260" s="5" t="s">
        <v>44</v>
      </c>
      <c r="C260" s="6" t="s">
        <v>6</v>
      </c>
      <c r="D260" s="7">
        <v>0.79479999999999995</v>
      </c>
      <c r="E260">
        <v>0.75351000000000001</v>
      </c>
      <c r="F260">
        <v>0.83816999999999997</v>
      </c>
      <c r="G260">
        <v>0.54466999999999999</v>
      </c>
      <c r="H260">
        <v>0.87690999999999997</v>
      </c>
      <c r="I260">
        <v>0.75122999999999995</v>
      </c>
      <c r="J260">
        <v>0.75202000000000002</v>
      </c>
      <c r="K260">
        <v>0.83189000000000002</v>
      </c>
      <c r="L260">
        <v>0.90373000000000003</v>
      </c>
      <c r="M260">
        <v>0.60316000000000003</v>
      </c>
      <c r="N260">
        <v>0.77117999999999998</v>
      </c>
      <c r="O260" s="8">
        <f>VLOOKUP($B260,floorspace!$B$4:$O$12,'shell factors calc'!O$2+1,FALSE)</f>
        <v>1426.487427</v>
      </c>
      <c r="P260" s="8">
        <f>VLOOKUP($B260,floorspace!$B$4:$O$12,'shell factors calc'!P$2+1,FALSE)</f>
        <v>1360.7664789999999</v>
      </c>
      <c r="Q260" s="8">
        <f>VLOOKUP($B260,floorspace!$B$4:$O$12,'shell factors calc'!Q$2+1,FALSE)</f>
        <v>115.483704</v>
      </c>
      <c r="R260" s="8">
        <f>VLOOKUP($B260,floorspace!$B$4:$O$12,'shell factors calc'!R$2+1,FALSE)</f>
        <v>190.85375999999999</v>
      </c>
      <c r="S260" s="8">
        <f>VLOOKUP($B260,floorspace!$B$4:$O$12,'shell factors calc'!S$2+1,FALSE)</f>
        <v>325.72094700000002</v>
      </c>
      <c r="T260" s="8">
        <f>VLOOKUP($B260,floorspace!$B$4:$O$12,'shell factors calc'!T$2+1,FALSE)</f>
        <v>885.83789100000001</v>
      </c>
      <c r="U260" s="8">
        <f>VLOOKUP($B260,floorspace!$B$4:$O$12,'shell factors calc'!U$2+1,FALSE)</f>
        <v>1391.6861570000001</v>
      </c>
      <c r="V260" s="8">
        <f>VLOOKUP($B260,floorspace!$B$4:$O$12,'shell factors calc'!V$2+1,FALSE)</f>
        <v>952.37109399999997</v>
      </c>
      <c r="W260" s="8">
        <f>VLOOKUP($B260,floorspace!$B$4:$O$12,'shell factors calc'!W$2+1,FALSE)</f>
        <v>1766.4886469999999</v>
      </c>
      <c r="X260" s="8">
        <f>VLOOKUP($B260,floorspace!$B$4:$O$12,'shell factors calc'!X$2+1,FALSE)</f>
        <v>2912.772461</v>
      </c>
      <c r="Y260" s="8">
        <f>VLOOKUP($B260,floorspace!$B$4:$O$12,'shell factors calc'!Y$2+1,FALSE)</f>
        <v>529.23895300000004</v>
      </c>
      <c r="Z260">
        <f t="shared" si="4"/>
        <v>0.75151503957662813</v>
      </c>
    </row>
    <row r="261" spans="1:26" x14ac:dyDescent="0.2">
      <c r="A261" s="5" t="s">
        <v>45</v>
      </c>
      <c r="B261" s="5" t="s">
        <v>44</v>
      </c>
      <c r="C261" s="6" t="s">
        <v>7</v>
      </c>
      <c r="D261" s="7">
        <v>0.79028900000000002</v>
      </c>
      <c r="E261">
        <v>0.74793600000000005</v>
      </c>
      <c r="F261">
        <v>0.83081499999999997</v>
      </c>
      <c r="G261">
        <v>0.53450799999999998</v>
      </c>
      <c r="H261">
        <v>0.87365599999999999</v>
      </c>
      <c r="I261">
        <v>0.744255</v>
      </c>
      <c r="J261">
        <v>0.74566900000000003</v>
      </c>
      <c r="K261">
        <v>0.82830599999999999</v>
      </c>
      <c r="L261">
        <v>0.90151099999999995</v>
      </c>
      <c r="M261">
        <v>0.60471699999999995</v>
      </c>
      <c r="N261">
        <v>0.76544299999999998</v>
      </c>
      <c r="O261" s="8">
        <f>VLOOKUP($B261,floorspace!$B$4:$O$12,'shell factors calc'!O$2+1,FALSE)</f>
        <v>1426.487427</v>
      </c>
      <c r="P261" s="8">
        <f>VLOOKUP($B261,floorspace!$B$4:$O$12,'shell factors calc'!P$2+1,FALSE)</f>
        <v>1360.7664789999999</v>
      </c>
      <c r="Q261" s="8">
        <f>VLOOKUP($B261,floorspace!$B$4:$O$12,'shell factors calc'!Q$2+1,FALSE)</f>
        <v>115.483704</v>
      </c>
      <c r="R261" s="8">
        <f>VLOOKUP($B261,floorspace!$B$4:$O$12,'shell factors calc'!R$2+1,FALSE)</f>
        <v>190.85375999999999</v>
      </c>
      <c r="S261" s="8">
        <f>VLOOKUP($B261,floorspace!$B$4:$O$12,'shell factors calc'!S$2+1,FALSE)</f>
        <v>325.72094700000002</v>
      </c>
      <c r="T261" s="8">
        <f>VLOOKUP($B261,floorspace!$B$4:$O$12,'shell factors calc'!T$2+1,FALSE)</f>
        <v>885.83789100000001</v>
      </c>
      <c r="U261" s="8">
        <f>VLOOKUP($B261,floorspace!$B$4:$O$12,'shell factors calc'!U$2+1,FALSE)</f>
        <v>1391.6861570000001</v>
      </c>
      <c r="V261" s="8">
        <f>VLOOKUP($B261,floorspace!$B$4:$O$12,'shell factors calc'!V$2+1,FALSE)</f>
        <v>952.37109399999997</v>
      </c>
      <c r="W261" s="8">
        <f>VLOOKUP($B261,floorspace!$B$4:$O$12,'shell factors calc'!W$2+1,FALSE)</f>
        <v>1766.4886469999999</v>
      </c>
      <c r="X261" s="8">
        <f>VLOOKUP($B261,floorspace!$B$4:$O$12,'shell factors calc'!X$2+1,FALSE)</f>
        <v>2912.772461</v>
      </c>
      <c r="Y261" s="8">
        <f>VLOOKUP($B261,floorspace!$B$4:$O$12,'shell factors calc'!Y$2+1,FALSE)</f>
        <v>529.23895300000004</v>
      </c>
      <c r="Z261">
        <f t="shared" si="4"/>
        <v>0.74824964927092019</v>
      </c>
    </row>
    <row r="262" spans="1:26" x14ac:dyDescent="0.2">
      <c r="A262" s="5" t="s">
        <v>45</v>
      </c>
      <c r="B262" s="5" t="s">
        <v>44</v>
      </c>
      <c r="C262" s="6" t="s">
        <v>8</v>
      </c>
      <c r="D262" s="7">
        <v>0.78580300000000003</v>
      </c>
      <c r="E262">
        <v>0.74240300000000004</v>
      </c>
      <c r="F262">
        <v>0.82352499999999995</v>
      </c>
      <c r="G262">
        <v>0.52453499999999997</v>
      </c>
      <c r="H262">
        <v>0.87041400000000002</v>
      </c>
      <c r="I262">
        <v>0.737344</v>
      </c>
      <c r="J262">
        <v>0.73937200000000003</v>
      </c>
      <c r="K262">
        <v>0.82473799999999997</v>
      </c>
      <c r="L262">
        <v>0.89929700000000001</v>
      </c>
      <c r="M262">
        <v>0.60627799999999998</v>
      </c>
      <c r="N262">
        <v>0.75974799999999998</v>
      </c>
      <c r="O262" s="8">
        <f>VLOOKUP($B262,floorspace!$B$4:$O$12,'shell factors calc'!O$2+1,FALSE)</f>
        <v>1426.487427</v>
      </c>
      <c r="P262" s="8">
        <f>VLOOKUP($B262,floorspace!$B$4:$O$12,'shell factors calc'!P$2+1,FALSE)</f>
        <v>1360.7664789999999</v>
      </c>
      <c r="Q262" s="8">
        <f>VLOOKUP($B262,floorspace!$B$4:$O$12,'shell factors calc'!Q$2+1,FALSE)</f>
        <v>115.483704</v>
      </c>
      <c r="R262" s="8">
        <f>VLOOKUP($B262,floorspace!$B$4:$O$12,'shell factors calc'!R$2+1,FALSE)</f>
        <v>190.85375999999999</v>
      </c>
      <c r="S262" s="8">
        <f>VLOOKUP($B262,floorspace!$B$4:$O$12,'shell factors calc'!S$2+1,FALSE)</f>
        <v>325.72094700000002</v>
      </c>
      <c r="T262" s="8">
        <f>VLOOKUP($B262,floorspace!$B$4:$O$12,'shell factors calc'!T$2+1,FALSE)</f>
        <v>885.83789100000001</v>
      </c>
      <c r="U262" s="8">
        <f>VLOOKUP($B262,floorspace!$B$4:$O$12,'shell factors calc'!U$2+1,FALSE)</f>
        <v>1391.6861570000001</v>
      </c>
      <c r="V262" s="8">
        <f>VLOOKUP($B262,floorspace!$B$4:$O$12,'shell factors calc'!V$2+1,FALSE)</f>
        <v>952.37109399999997</v>
      </c>
      <c r="W262" s="8">
        <f>VLOOKUP($B262,floorspace!$B$4:$O$12,'shell factors calc'!W$2+1,FALSE)</f>
        <v>1766.4886469999999</v>
      </c>
      <c r="X262" s="8">
        <f>VLOOKUP($B262,floorspace!$B$4:$O$12,'shell factors calc'!X$2+1,FALSE)</f>
        <v>2912.772461</v>
      </c>
      <c r="Y262" s="8">
        <f>VLOOKUP($B262,floorspace!$B$4:$O$12,'shell factors calc'!Y$2+1,FALSE)</f>
        <v>529.23895300000004</v>
      </c>
      <c r="Z262">
        <f t="shared" si="4"/>
        <v>0.74501198222011944</v>
      </c>
    </row>
    <row r="263" spans="1:26" x14ac:dyDescent="0.2">
      <c r="A263" s="5" t="s">
        <v>45</v>
      </c>
      <c r="B263" s="5" t="s">
        <v>44</v>
      </c>
      <c r="C263" s="6" t="s">
        <v>9</v>
      </c>
      <c r="D263" s="7">
        <v>0.78134199999999998</v>
      </c>
      <c r="E263">
        <v>0.73691200000000001</v>
      </c>
      <c r="F263">
        <v>0.816299</v>
      </c>
      <c r="G263">
        <v>0.51474900000000001</v>
      </c>
      <c r="H263">
        <v>0.86718499999999998</v>
      </c>
      <c r="I263">
        <v>0.73049799999999998</v>
      </c>
      <c r="J263">
        <v>0.73312699999999997</v>
      </c>
      <c r="K263">
        <v>0.82118500000000005</v>
      </c>
      <c r="L263">
        <v>0.897088</v>
      </c>
      <c r="M263">
        <v>0.60784199999999999</v>
      </c>
      <c r="N263">
        <v>0.75409599999999999</v>
      </c>
      <c r="O263" s="8">
        <f>VLOOKUP($B263,floorspace!$B$4:$O$12,'shell factors calc'!O$2+1,FALSE)</f>
        <v>1426.487427</v>
      </c>
      <c r="P263" s="8">
        <f>VLOOKUP($B263,floorspace!$B$4:$O$12,'shell factors calc'!P$2+1,FALSE)</f>
        <v>1360.7664789999999</v>
      </c>
      <c r="Q263" s="8">
        <f>VLOOKUP($B263,floorspace!$B$4:$O$12,'shell factors calc'!Q$2+1,FALSE)</f>
        <v>115.483704</v>
      </c>
      <c r="R263" s="8">
        <f>VLOOKUP($B263,floorspace!$B$4:$O$12,'shell factors calc'!R$2+1,FALSE)</f>
        <v>190.85375999999999</v>
      </c>
      <c r="S263" s="8">
        <f>VLOOKUP($B263,floorspace!$B$4:$O$12,'shell factors calc'!S$2+1,FALSE)</f>
        <v>325.72094700000002</v>
      </c>
      <c r="T263" s="8">
        <f>VLOOKUP($B263,floorspace!$B$4:$O$12,'shell factors calc'!T$2+1,FALSE)</f>
        <v>885.83789100000001</v>
      </c>
      <c r="U263" s="8">
        <f>VLOOKUP($B263,floorspace!$B$4:$O$12,'shell factors calc'!U$2+1,FALSE)</f>
        <v>1391.6861570000001</v>
      </c>
      <c r="V263" s="8">
        <f>VLOOKUP($B263,floorspace!$B$4:$O$12,'shell factors calc'!V$2+1,FALSE)</f>
        <v>952.37109399999997</v>
      </c>
      <c r="W263" s="8">
        <f>VLOOKUP($B263,floorspace!$B$4:$O$12,'shell factors calc'!W$2+1,FALSE)</f>
        <v>1766.4886469999999</v>
      </c>
      <c r="X263" s="8">
        <f>VLOOKUP($B263,floorspace!$B$4:$O$12,'shell factors calc'!X$2+1,FALSE)</f>
        <v>2912.772461</v>
      </c>
      <c r="Y263" s="8">
        <f>VLOOKUP($B263,floorspace!$B$4:$O$12,'shell factors calc'!Y$2+1,FALSE)</f>
        <v>529.23895300000004</v>
      </c>
      <c r="Z263">
        <f t="shared" si="4"/>
        <v>0.74180169736818113</v>
      </c>
    </row>
    <row r="264" spans="1:26" x14ac:dyDescent="0.2">
      <c r="A264" s="5" t="s">
        <v>45</v>
      </c>
      <c r="B264" s="5" t="s">
        <v>44</v>
      </c>
      <c r="C264" s="6" t="s">
        <v>10</v>
      </c>
      <c r="D264" s="7">
        <v>0.77690700000000001</v>
      </c>
      <c r="E264">
        <v>0.73146</v>
      </c>
      <c r="F264">
        <v>0.80913599999999997</v>
      </c>
      <c r="G264">
        <v>0.50514499999999996</v>
      </c>
      <c r="H264">
        <v>0.86396700000000004</v>
      </c>
      <c r="I264">
        <v>0.723715</v>
      </c>
      <c r="J264">
        <v>0.72693600000000003</v>
      </c>
      <c r="K264">
        <v>0.81764800000000004</v>
      </c>
      <c r="L264">
        <v>0.89488500000000004</v>
      </c>
      <c r="M264">
        <v>0.60941100000000004</v>
      </c>
      <c r="N264">
        <v>0.74848599999999998</v>
      </c>
      <c r="O264" s="8">
        <f>VLOOKUP($B264,floorspace!$B$4:$O$12,'shell factors calc'!O$2+1,FALSE)</f>
        <v>1426.487427</v>
      </c>
      <c r="P264" s="8">
        <f>VLOOKUP($B264,floorspace!$B$4:$O$12,'shell factors calc'!P$2+1,FALSE)</f>
        <v>1360.7664789999999</v>
      </c>
      <c r="Q264" s="8">
        <f>VLOOKUP($B264,floorspace!$B$4:$O$12,'shell factors calc'!Q$2+1,FALSE)</f>
        <v>115.483704</v>
      </c>
      <c r="R264" s="8">
        <f>VLOOKUP($B264,floorspace!$B$4:$O$12,'shell factors calc'!R$2+1,FALSE)</f>
        <v>190.85375999999999</v>
      </c>
      <c r="S264" s="8">
        <f>VLOOKUP($B264,floorspace!$B$4:$O$12,'shell factors calc'!S$2+1,FALSE)</f>
        <v>325.72094700000002</v>
      </c>
      <c r="T264" s="8">
        <f>VLOOKUP($B264,floorspace!$B$4:$O$12,'shell factors calc'!T$2+1,FALSE)</f>
        <v>885.83789100000001</v>
      </c>
      <c r="U264" s="8">
        <f>VLOOKUP($B264,floorspace!$B$4:$O$12,'shell factors calc'!U$2+1,FALSE)</f>
        <v>1391.6861570000001</v>
      </c>
      <c r="V264" s="8">
        <f>VLOOKUP($B264,floorspace!$B$4:$O$12,'shell factors calc'!V$2+1,FALSE)</f>
        <v>952.37109399999997</v>
      </c>
      <c r="W264" s="8">
        <f>VLOOKUP($B264,floorspace!$B$4:$O$12,'shell factors calc'!W$2+1,FALSE)</f>
        <v>1766.4886469999999</v>
      </c>
      <c r="X264" s="8">
        <f>VLOOKUP($B264,floorspace!$B$4:$O$12,'shell factors calc'!X$2+1,FALSE)</f>
        <v>2912.772461</v>
      </c>
      <c r="Y264" s="8">
        <f>VLOOKUP($B264,floorspace!$B$4:$O$12,'shell factors calc'!Y$2+1,FALSE)</f>
        <v>529.23895300000004</v>
      </c>
      <c r="Z264">
        <f t="shared" si="4"/>
        <v>0.73861918685294692</v>
      </c>
    </row>
    <row r="265" spans="1:26" x14ac:dyDescent="0.2">
      <c r="A265" s="5" t="s">
        <v>45</v>
      </c>
      <c r="B265" s="5" t="s">
        <v>44</v>
      </c>
      <c r="C265" s="6" t="s">
        <v>11</v>
      </c>
      <c r="D265" s="7">
        <v>0.77249699999999999</v>
      </c>
      <c r="E265">
        <v>0.72604999999999997</v>
      </c>
      <c r="F265">
        <v>0.80203599999999997</v>
      </c>
      <c r="G265">
        <v>0.49571999999999999</v>
      </c>
      <c r="H265">
        <v>0.860761</v>
      </c>
      <c r="I265">
        <v>0.71699500000000005</v>
      </c>
      <c r="J265">
        <v>0.72079700000000002</v>
      </c>
      <c r="K265">
        <v>0.81412499999999999</v>
      </c>
      <c r="L265">
        <v>0.89268800000000004</v>
      </c>
      <c r="M265">
        <v>0.61098399999999997</v>
      </c>
      <c r="N265">
        <v>0.74291700000000005</v>
      </c>
      <c r="O265" s="8">
        <f>VLOOKUP($B265,floorspace!$B$4:$O$12,'shell factors calc'!O$2+1,FALSE)</f>
        <v>1426.487427</v>
      </c>
      <c r="P265" s="8">
        <f>VLOOKUP($B265,floorspace!$B$4:$O$12,'shell factors calc'!P$2+1,FALSE)</f>
        <v>1360.7664789999999</v>
      </c>
      <c r="Q265" s="8">
        <f>VLOOKUP($B265,floorspace!$B$4:$O$12,'shell factors calc'!Q$2+1,FALSE)</f>
        <v>115.483704</v>
      </c>
      <c r="R265" s="8">
        <f>VLOOKUP($B265,floorspace!$B$4:$O$12,'shell factors calc'!R$2+1,FALSE)</f>
        <v>190.85375999999999</v>
      </c>
      <c r="S265" s="8">
        <f>VLOOKUP($B265,floorspace!$B$4:$O$12,'shell factors calc'!S$2+1,FALSE)</f>
        <v>325.72094700000002</v>
      </c>
      <c r="T265" s="8">
        <f>VLOOKUP($B265,floorspace!$B$4:$O$12,'shell factors calc'!T$2+1,FALSE)</f>
        <v>885.83789100000001</v>
      </c>
      <c r="U265" s="8">
        <f>VLOOKUP($B265,floorspace!$B$4:$O$12,'shell factors calc'!U$2+1,FALSE)</f>
        <v>1391.6861570000001</v>
      </c>
      <c r="V265" s="8">
        <f>VLOOKUP($B265,floorspace!$B$4:$O$12,'shell factors calc'!V$2+1,FALSE)</f>
        <v>952.37109399999997</v>
      </c>
      <c r="W265" s="8">
        <f>VLOOKUP($B265,floorspace!$B$4:$O$12,'shell factors calc'!W$2+1,FALSE)</f>
        <v>1766.4886469999999</v>
      </c>
      <c r="X265" s="8">
        <f>VLOOKUP($B265,floorspace!$B$4:$O$12,'shell factors calc'!X$2+1,FALSE)</f>
        <v>2912.772461</v>
      </c>
      <c r="Y265" s="8">
        <f>VLOOKUP($B265,floorspace!$B$4:$O$12,'shell factors calc'!Y$2+1,FALSE)</f>
        <v>529.23895300000004</v>
      </c>
      <c r="Z265">
        <f t="shared" si="4"/>
        <v>0.73546396819040993</v>
      </c>
    </row>
    <row r="266" spans="1:26" x14ac:dyDescent="0.2">
      <c r="A266" s="5" t="s">
        <v>45</v>
      </c>
      <c r="B266" s="5" t="s">
        <v>44</v>
      </c>
      <c r="C266" s="6" t="s">
        <v>12</v>
      </c>
      <c r="D266" s="7">
        <v>0.76811200000000002</v>
      </c>
      <c r="E266">
        <v>0.72067899999999996</v>
      </c>
      <c r="F266">
        <v>0.79499799999999998</v>
      </c>
      <c r="G266">
        <v>0.48647200000000002</v>
      </c>
      <c r="H266">
        <v>0.85756699999999997</v>
      </c>
      <c r="I266">
        <v>0.710337</v>
      </c>
      <c r="J266">
        <v>0.71470999999999996</v>
      </c>
      <c r="K266">
        <v>0.81061799999999995</v>
      </c>
      <c r="L266">
        <v>0.89049500000000004</v>
      </c>
      <c r="M266">
        <v>0.61256100000000002</v>
      </c>
      <c r="N266">
        <v>0.73738999999999999</v>
      </c>
      <c r="O266" s="8">
        <f>VLOOKUP($B266,floorspace!$B$4:$O$12,'shell factors calc'!O$2+1,FALSE)</f>
        <v>1426.487427</v>
      </c>
      <c r="P266" s="8">
        <f>VLOOKUP($B266,floorspace!$B$4:$O$12,'shell factors calc'!P$2+1,FALSE)</f>
        <v>1360.7664789999999</v>
      </c>
      <c r="Q266" s="8">
        <f>VLOOKUP($B266,floorspace!$B$4:$O$12,'shell factors calc'!Q$2+1,FALSE)</f>
        <v>115.483704</v>
      </c>
      <c r="R266" s="8">
        <f>VLOOKUP($B266,floorspace!$B$4:$O$12,'shell factors calc'!R$2+1,FALSE)</f>
        <v>190.85375999999999</v>
      </c>
      <c r="S266" s="8">
        <f>VLOOKUP($B266,floorspace!$B$4:$O$12,'shell factors calc'!S$2+1,FALSE)</f>
        <v>325.72094700000002</v>
      </c>
      <c r="T266" s="8">
        <f>VLOOKUP($B266,floorspace!$B$4:$O$12,'shell factors calc'!T$2+1,FALSE)</f>
        <v>885.83789100000001</v>
      </c>
      <c r="U266" s="8">
        <f>VLOOKUP($B266,floorspace!$B$4:$O$12,'shell factors calc'!U$2+1,FALSE)</f>
        <v>1391.6861570000001</v>
      </c>
      <c r="V266" s="8">
        <f>VLOOKUP($B266,floorspace!$B$4:$O$12,'shell factors calc'!V$2+1,FALSE)</f>
        <v>952.37109399999997</v>
      </c>
      <c r="W266" s="8">
        <f>VLOOKUP($B266,floorspace!$B$4:$O$12,'shell factors calc'!W$2+1,FALSE)</f>
        <v>1766.4886469999999</v>
      </c>
      <c r="X266" s="8">
        <f>VLOOKUP($B266,floorspace!$B$4:$O$12,'shell factors calc'!X$2+1,FALSE)</f>
        <v>2912.772461</v>
      </c>
      <c r="Y266" s="8">
        <f>VLOOKUP($B266,floorspace!$B$4:$O$12,'shell factors calc'!Y$2+1,FALSE)</f>
        <v>529.23895300000004</v>
      </c>
      <c r="Z266">
        <f t="shared" si="4"/>
        <v>0.73233548778918689</v>
      </c>
    </row>
    <row r="267" spans="1:26" x14ac:dyDescent="0.2">
      <c r="A267" s="5" t="s">
        <v>45</v>
      </c>
      <c r="B267" s="5" t="s">
        <v>44</v>
      </c>
      <c r="C267" s="6" t="s">
        <v>13</v>
      </c>
      <c r="D267" s="7">
        <v>0.76375199999999999</v>
      </c>
      <c r="E267">
        <v>0.71534799999999998</v>
      </c>
      <c r="F267">
        <v>0.788022</v>
      </c>
      <c r="G267">
        <v>0.47739500000000001</v>
      </c>
      <c r="H267">
        <v>0.85438499999999995</v>
      </c>
      <c r="I267">
        <v>0.70374199999999998</v>
      </c>
      <c r="J267">
        <v>0.70867400000000003</v>
      </c>
      <c r="K267">
        <v>0.80712600000000001</v>
      </c>
      <c r="L267">
        <v>0.88830799999999999</v>
      </c>
      <c r="M267">
        <v>0.61414199999999997</v>
      </c>
      <c r="N267">
        <v>0.731904</v>
      </c>
      <c r="O267" s="8">
        <f>VLOOKUP($B267,floorspace!$B$4:$O$12,'shell factors calc'!O$2+1,FALSE)</f>
        <v>1426.487427</v>
      </c>
      <c r="P267" s="8">
        <f>VLOOKUP($B267,floorspace!$B$4:$O$12,'shell factors calc'!P$2+1,FALSE)</f>
        <v>1360.7664789999999</v>
      </c>
      <c r="Q267" s="8">
        <f>VLOOKUP($B267,floorspace!$B$4:$O$12,'shell factors calc'!Q$2+1,FALSE)</f>
        <v>115.483704</v>
      </c>
      <c r="R267" s="8">
        <f>VLOOKUP($B267,floorspace!$B$4:$O$12,'shell factors calc'!R$2+1,FALSE)</f>
        <v>190.85375999999999</v>
      </c>
      <c r="S267" s="8">
        <f>VLOOKUP($B267,floorspace!$B$4:$O$12,'shell factors calc'!S$2+1,FALSE)</f>
        <v>325.72094700000002</v>
      </c>
      <c r="T267" s="8">
        <f>VLOOKUP($B267,floorspace!$B$4:$O$12,'shell factors calc'!T$2+1,FALSE)</f>
        <v>885.83789100000001</v>
      </c>
      <c r="U267" s="8">
        <f>VLOOKUP($B267,floorspace!$B$4:$O$12,'shell factors calc'!U$2+1,FALSE)</f>
        <v>1391.6861570000001</v>
      </c>
      <c r="V267" s="8">
        <f>VLOOKUP($B267,floorspace!$B$4:$O$12,'shell factors calc'!V$2+1,FALSE)</f>
        <v>952.37109399999997</v>
      </c>
      <c r="W267" s="8">
        <f>VLOOKUP($B267,floorspace!$B$4:$O$12,'shell factors calc'!W$2+1,FALSE)</f>
        <v>1766.4886469999999</v>
      </c>
      <c r="X267" s="8">
        <f>VLOOKUP($B267,floorspace!$B$4:$O$12,'shell factors calc'!X$2+1,FALSE)</f>
        <v>2912.772461</v>
      </c>
      <c r="Y267" s="8">
        <f>VLOOKUP($B267,floorspace!$B$4:$O$12,'shell factors calc'!Y$2+1,FALSE)</f>
        <v>529.23895300000004</v>
      </c>
      <c r="Z267">
        <f t="shared" si="4"/>
        <v>0.72923389417401585</v>
      </c>
    </row>
    <row r="268" spans="1:26" x14ac:dyDescent="0.2">
      <c r="A268" s="5" t="s">
        <v>45</v>
      </c>
      <c r="B268" s="5" t="s">
        <v>44</v>
      </c>
      <c r="C268" s="6" t="s">
        <v>14</v>
      </c>
      <c r="D268" s="7">
        <v>0.75941700000000001</v>
      </c>
      <c r="E268">
        <v>0.71005600000000002</v>
      </c>
      <c r="F268">
        <v>0.78110800000000002</v>
      </c>
      <c r="G268">
        <v>0.46848800000000002</v>
      </c>
      <c r="H268">
        <v>0.85121500000000005</v>
      </c>
      <c r="I268">
        <v>0.69720700000000002</v>
      </c>
      <c r="J268">
        <v>0.70268900000000001</v>
      </c>
      <c r="K268">
        <v>0.80364899999999995</v>
      </c>
      <c r="L268">
        <v>0.886127</v>
      </c>
      <c r="M268">
        <v>0.61572700000000002</v>
      </c>
      <c r="N268">
        <v>0.72645899999999997</v>
      </c>
      <c r="O268" s="8">
        <f>VLOOKUP($B268,floorspace!$B$4:$O$12,'shell factors calc'!O$2+1,FALSE)</f>
        <v>1426.487427</v>
      </c>
      <c r="P268" s="8">
        <f>VLOOKUP($B268,floorspace!$B$4:$O$12,'shell factors calc'!P$2+1,FALSE)</f>
        <v>1360.7664789999999</v>
      </c>
      <c r="Q268" s="8">
        <f>VLOOKUP($B268,floorspace!$B$4:$O$12,'shell factors calc'!Q$2+1,FALSE)</f>
        <v>115.483704</v>
      </c>
      <c r="R268" s="8">
        <f>VLOOKUP($B268,floorspace!$B$4:$O$12,'shell factors calc'!R$2+1,FALSE)</f>
        <v>190.85375999999999</v>
      </c>
      <c r="S268" s="8">
        <f>VLOOKUP($B268,floorspace!$B$4:$O$12,'shell factors calc'!S$2+1,FALSE)</f>
        <v>325.72094700000002</v>
      </c>
      <c r="T268" s="8">
        <f>VLOOKUP($B268,floorspace!$B$4:$O$12,'shell factors calc'!T$2+1,FALSE)</f>
        <v>885.83789100000001</v>
      </c>
      <c r="U268" s="8">
        <f>VLOOKUP($B268,floorspace!$B$4:$O$12,'shell factors calc'!U$2+1,FALSE)</f>
        <v>1391.6861570000001</v>
      </c>
      <c r="V268" s="8">
        <f>VLOOKUP($B268,floorspace!$B$4:$O$12,'shell factors calc'!V$2+1,FALSE)</f>
        <v>952.37109399999997</v>
      </c>
      <c r="W268" s="8">
        <f>VLOOKUP($B268,floorspace!$B$4:$O$12,'shell factors calc'!W$2+1,FALSE)</f>
        <v>1766.4886469999999</v>
      </c>
      <c r="X268" s="8">
        <f>VLOOKUP($B268,floorspace!$B$4:$O$12,'shell factors calc'!X$2+1,FALSE)</f>
        <v>2912.772461</v>
      </c>
      <c r="Y268" s="8">
        <f>VLOOKUP($B268,floorspace!$B$4:$O$12,'shell factors calc'!Y$2+1,FALSE)</f>
        <v>529.23895300000004</v>
      </c>
      <c r="Z268">
        <f t="shared" si="4"/>
        <v>0.72615883237460377</v>
      </c>
    </row>
    <row r="269" spans="1:26" x14ac:dyDescent="0.2">
      <c r="A269" s="5" t="s">
        <v>45</v>
      </c>
      <c r="B269" s="5" t="s">
        <v>44</v>
      </c>
      <c r="C269" s="6" t="s">
        <v>15</v>
      </c>
      <c r="D269" s="7">
        <v>0.75510600000000005</v>
      </c>
      <c r="E269">
        <v>0.70480399999999999</v>
      </c>
      <c r="F269">
        <v>0.774254</v>
      </c>
      <c r="G269">
        <v>0.45974799999999999</v>
      </c>
      <c r="H269">
        <v>0.84805699999999995</v>
      </c>
      <c r="I269">
        <v>0.69073300000000004</v>
      </c>
      <c r="J269">
        <v>0.69675399999999998</v>
      </c>
      <c r="K269">
        <v>0.80018699999999998</v>
      </c>
      <c r="L269">
        <v>0.88395100000000004</v>
      </c>
      <c r="M269">
        <v>0.61731599999999998</v>
      </c>
      <c r="N269">
        <v>0.72105399999999997</v>
      </c>
      <c r="O269" s="8">
        <f>VLOOKUP($B269,floorspace!$B$4:$O$12,'shell factors calc'!O$2+1,FALSE)</f>
        <v>1426.487427</v>
      </c>
      <c r="P269" s="8">
        <f>VLOOKUP($B269,floorspace!$B$4:$O$12,'shell factors calc'!P$2+1,FALSE)</f>
        <v>1360.7664789999999</v>
      </c>
      <c r="Q269" s="8">
        <f>VLOOKUP($B269,floorspace!$B$4:$O$12,'shell factors calc'!Q$2+1,FALSE)</f>
        <v>115.483704</v>
      </c>
      <c r="R269" s="8">
        <f>VLOOKUP($B269,floorspace!$B$4:$O$12,'shell factors calc'!R$2+1,FALSE)</f>
        <v>190.85375999999999</v>
      </c>
      <c r="S269" s="8">
        <f>VLOOKUP($B269,floorspace!$B$4:$O$12,'shell factors calc'!S$2+1,FALSE)</f>
        <v>325.72094700000002</v>
      </c>
      <c r="T269" s="8">
        <f>VLOOKUP($B269,floorspace!$B$4:$O$12,'shell factors calc'!T$2+1,FALSE)</f>
        <v>885.83789100000001</v>
      </c>
      <c r="U269" s="8">
        <f>VLOOKUP($B269,floorspace!$B$4:$O$12,'shell factors calc'!U$2+1,FALSE)</f>
        <v>1391.6861570000001</v>
      </c>
      <c r="V269" s="8">
        <f>VLOOKUP($B269,floorspace!$B$4:$O$12,'shell factors calc'!V$2+1,FALSE)</f>
        <v>952.37109399999997</v>
      </c>
      <c r="W269" s="8">
        <f>VLOOKUP($B269,floorspace!$B$4:$O$12,'shell factors calc'!W$2+1,FALSE)</f>
        <v>1766.4886469999999</v>
      </c>
      <c r="X269" s="8">
        <f>VLOOKUP($B269,floorspace!$B$4:$O$12,'shell factors calc'!X$2+1,FALSE)</f>
        <v>2912.772461</v>
      </c>
      <c r="Y269" s="8">
        <f>VLOOKUP($B269,floorspace!$B$4:$O$12,'shell factors calc'!Y$2+1,FALSE)</f>
        <v>529.23895300000004</v>
      </c>
      <c r="Z269">
        <f t="shared" si="4"/>
        <v>0.72310999281800026</v>
      </c>
    </row>
    <row r="270" spans="1:26" x14ac:dyDescent="0.2">
      <c r="A270" s="5" t="s">
        <v>45</v>
      </c>
      <c r="B270" s="5" t="s">
        <v>44</v>
      </c>
      <c r="C270" s="6" t="s">
        <v>16</v>
      </c>
      <c r="D270" s="7">
        <v>0.75082000000000004</v>
      </c>
      <c r="E270">
        <v>0.69959000000000005</v>
      </c>
      <c r="F270">
        <v>0.76746000000000003</v>
      </c>
      <c r="G270">
        <v>0.45117000000000002</v>
      </c>
      <c r="H270">
        <v>0.84491000000000005</v>
      </c>
      <c r="I270">
        <v>0.68432000000000004</v>
      </c>
      <c r="J270">
        <v>0.69086999999999998</v>
      </c>
      <c r="K270">
        <v>0.79674</v>
      </c>
      <c r="L270">
        <v>0.88178000000000001</v>
      </c>
      <c r="M270">
        <v>0.61890999999999996</v>
      </c>
      <c r="N270">
        <v>0.71569000000000005</v>
      </c>
      <c r="O270" s="8">
        <f>VLOOKUP($B270,floorspace!$B$4:$O$12,'shell factors calc'!O$2+1,FALSE)</f>
        <v>1426.487427</v>
      </c>
      <c r="P270" s="8">
        <f>VLOOKUP($B270,floorspace!$B$4:$O$12,'shell factors calc'!P$2+1,FALSE)</f>
        <v>1360.7664789999999</v>
      </c>
      <c r="Q270" s="8">
        <f>VLOOKUP($B270,floorspace!$B$4:$O$12,'shell factors calc'!Q$2+1,FALSE)</f>
        <v>115.483704</v>
      </c>
      <c r="R270" s="8">
        <f>VLOOKUP($B270,floorspace!$B$4:$O$12,'shell factors calc'!R$2+1,FALSE)</f>
        <v>190.85375999999999</v>
      </c>
      <c r="S270" s="8">
        <f>VLOOKUP($B270,floorspace!$B$4:$O$12,'shell factors calc'!S$2+1,FALSE)</f>
        <v>325.72094700000002</v>
      </c>
      <c r="T270" s="8">
        <f>VLOOKUP($B270,floorspace!$B$4:$O$12,'shell factors calc'!T$2+1,FALSE)</f>
        <v>885.83789100000001</v>
      </c>
      <c r="U270" s="8">
        <f>VLOOKUP($B270,floorspace!$B$4:$O$12,'shell factors calc'!U$2+1,FALSE)</f>
        <v>1391.6861570000001</v>
      </c>
      <c r="V270" s="8">
        <f>VLOOKUP($B270,floorspace!$B$4:$O$12,'shell factors calc'!V$2+1,FALSE)</f>
        <v>952.37109399999997</v>
      </c>
      <c r="W270" s="8">
        <f>VLOOKUP($B270,floorspace!$B$4:$O$12,'shell factors calc'!W$2+1,FALSE)</f>
        <v>1766.4886469999999</v>
      </c>
      <c r="X270" s="8">
        <f>VLOOKUP($B270,floorspace!$B$4:$O$12,'shell factors calc'!X$2+1,FALSE)</f>
        <v>2912.772461</v>
      </c>
      <c r="Y270" s="8">
        <f>VLOOKUP($B270,floorspace!$B$4:$O$12,'shell factors calc'!Y$2+1,FALSE)</f>
        <v>529.23895300000004</v>
      </c>
      <c r="Z270">
        <f t="shared" si="4"/>
        <v>0.72008756598472512</v>
      </c>
    </row>
    <row r="271" spans="1:26" x14ac:dyDescent="0.2">
      <c r="A271" s="5" t="s">
        <v>45</v>
      </c>
      <c r="B271" s="5" t="s">
        <v>44</v>
      </c>
      <c r="C271" s="6" t="s">
        <v>17</v>
      </c>
      <c r="D271" s="7">
        <v>0.74632399999999999</v>
      </c>
      <c r="E271">
        <v>0.69403000000000004</v>
      </c>
      <c r="F271">
        <v>0.76332599999999995</v>
      </c>
      <c r="G271">
        <v>0.44086999999999998</v>
      </c>
      <c r="H271">
        <v>0.84167000000000003</v>
      </c>
      <c r="I271">
        <v>0.67735100000000004</v>
      </c>
      <c r="J271">
        <v>0.68452999999999997</v>
      </c>
      <c r="K271">
        <v>0.79317000000000004</v>
      </c>
      <c r="L271">
        <v>0.87957099999999999</v>
      </c>
      <c r="M271">
        <v>0.62045899999999998</v>
      </c>
      <c r="N271">
        <v>0.70996599999999999</v>
      </c>
      <c r="O271" s="8">
        <f>VLOOKUP($B271,floorspace!$B$4:$O$12,'shell factors calc'!O$2+1,FALSE)</f>
        <v>1426.487427</v>
      </c>
      <c r="P271" s="8">
        <f>VLOOKUP($B271,floorspace!$B$4:$O$12,'shell factors calc'!P$2+1,FALSE)</f>
        <v>1360.7664789999999</v>
      </c>
      <c r="Q271" s="8">
        <f>VLOOKUP($B271,floorspace!$B$4:$O$12,'shell factors calc'!Q$2+1,FALSE)</f>
        <v>115.483704</v>
      </c>
      <c r="R271" s="8">
        <f>VLOOKUP($B271,floorspace!$B$4:$O$12,'shell factors calc'!R$2+1,FALSE)</f>
        <v>190.85375999999999</v>
      </c>
      <c r="S271" s="8">
        <f>VLOOKUP($B271,floorspace!$B$4:$O$12,'shell factors calc'!S$2+1,FALSE)</f>
        <v>325.72094700000002</v>
      </c>
      <c r="T271" s="8">
        <f>VLOOKUP($B271,floorspace!$B$4:$O$12,'shell factors calc'!T$2+1,FALSE)</f>
        <v>885.83789100000001</v>
      </c>
      <c r="U271" s="8">
        <f>VLOOKUP($B271,floorspace!$B$4:$O$12,'shell factors calc'!U$2+1,FALSE)</f>
        <v>1391.6861570000001</v>
      </c>
      <c r="V271" s="8">
        <f>VLOOKUP($B271,floorspace!$B$4:$O$12,'shell factors calc'!V$2+1,FALSE)</f>
        <v>952.37109399999997</v>
      </c>
      <c r="W271" s="8">
        <f>VLOOKUP($B271,floorspace!$B$4:$O$12,'shell factors calc'!W$2+1,FALSE)</f>
        <v>1766.4886469999999</v>
      </c>
      <c r="X271" s="8">
        <f>VLOOKUP($B271,floorspace!$B$4:$O$12,'shell factors calc'!X$2+1,FALSE)</f>
        <v>2912.772461</v>
      </c>
      <c r="Y271" s="8">
        <f>VLOOKUP($B271,floorspace!$B$4:$O$12,'shell factors calc'!Y$2+1,FALSE)</f>
        <v>529.23895300000004</v>
      </c>
      <c r="Z271">
        <f t="shared" si="4"/>
        <v>0.71685808843111665</v>
      </c>
    </row>
    <row r="272" spans="1:26" x14ac:dyDescent="0.2">
      <c r="A272" s="5" t="s">
        <v>45</v>
      </c>
      <c r="B272" s="5" t="s">
        <v>44</v>
      </c>
      <c r="C272" s="6" t="s">
        <v>18</v>
      </c>
      <c r="D272" s="7">
        <v>0.74185400000000001</v>
      </c>
      <c r="E272">
        <v>0.68851499999999999</v>
      </c>
      <c r="F272">
        <v>0.75921499999999997</v>
      </c>
      <c r="G272">
        <v>0.43080499999999999</v>
      </c>
      <c r="H272">
        <v>0.83844200000000002</v>
      </c>
      <c r="I272">
        <v>0.67045299999999997</v>
      </c>
      <c r="J272">
        <v>0.67824899999999999</v>
      </c>
      <c r="K272">
        <v>0.78961599999999998</v>
      </c>
      <c r="L272">
        <v>0.87736800000000004</v>
      </c>
      <c r="M272">
        <v>0.62201300000000004</v>
      </c>
      <c r="N272">
        <v>0.70428800000000003</v>
      </c>
      <c r="O272" s="8">
        <f>VLOOKUP($B272,floorspace!$B$4:$O$12,'shell factors calc'!O$2+1,FALSE)</f>
        <v>1426.487427</v>
      </c>
      <c r="P272" s="8">
        <f>VLOOKUP($B272,floorspace!$B$4:$O$12,'shell factors calc'!P$2+1,FALSE)</f>
        <v>1360.7664789999999</v>
      </c>
      <c r="Q272" s="8">
        <f>VLOOKUP($B272,floorspace!$B$4:$O$12,'shell factors calc'!Q$2+1,FALSE)</f>
        <v>115.483704</v>
      </c>
      <c r="R272" s="8">
        <f>VLOOKUP($B272,floorspace!$B$4:$O$12,'shell factors calc'!R$2+1,FALSE)</f>
        <v>190.85375999999999</v>
      </c>
      <c r="S272" s="8">
        <f>VLOOKUP($B272,floorspace!$B$4:$O$12,'shell factors calc'!S$2+1,FALSE)</f>
        <v>325.72094700000002</v>
      </c>
      <c r="T272" s="8">
        <f>VLOOKUP($B272,floorspace!$B$4:$O$12,'shell factors calc'!T$2+1,FALSE)</f>
        <v>885.83789100000001</v>
      </c>
      <c r="U272" s="8">
        <f>VLOOKUP($B272,floorspace!$B$4:$O$12,'shell factors calc'!U$2+1,FALSE)</f>
        <v>1391.6861570000001</v>
      </c>
      <c r="V272" s="8">
        <f>VLOOKUP($B272,floorspace!$B$4:$O$12,'shell factors calc'!V$2+1,FALSE)</f>
        <v>952.37109399999997</v>
      </c>
      <c r="W272" s="8">
        <f>VLOOKUP($B272,floorspace!$B$4:$O$12,'shell factors calc'!W$2+1,FALSE)</f>
        <v>1766.4886469999999</v>
      </c>
      <c r="X272" s="8">
        <f>VLOOKUP($B272,floorspace!$B$4:$O$12,'shell factors calc'!X$2+1,FALSE)</f>
        <v>2912.772461</v>
      </c>
      <c r="Y272" s="8">
        <f>VLOOKUP($B272,floorspace!$B$4:$O$12,'shell factors calc'!Y$2+1,FALSE)</f>
        <v>529.23895300000004</v>
      </c>
      <c r="Z272">
        <f t="shared" si="4"/>
        <v>0.71365892772174322</v>
      </c>
    </row>
    <row r="273" spans="1:26" x14ac:dyDescent="0.2">
      <c r="A273" s="5" t="s">
        <v>45</v>
      </c>
      <c r="B273" s="5" t="s">
        <v>44</v>
      </c>
      <c r="C273" s="6" t="s">
        <v>19</v>
      </c>
      <c r="D273" s="7">
        <v>0.73741199999999996</v>
      </c>
      <c r="E273">
        <v>0.68304299999999996</v>
      </c>
      <c r="F273">
        <v>0.75512500000000005</v>
      </c>
      <c r="G273">
        <v>0.42096899999999998</v>
      </c>
      <c r="H273">
        <v>0.83522600000000002</v>
      </c>
      <c r="I273">
        <v>0.66362600000000005</v>
      </c>
      <c r="J273">
        <v>0.67202600000000001</v>
      </c>
      <c r="K273">
        <v>0.78607700000000003</v>
      </c>
      <c r="L273">
        <v>0.87517</v>
      </c>
      <c r="M273">
        <v>0.62356999999999996</v>
      </c>
      <c r="N273">
        <v>0.69865600000000005</v>
      </c>
      <c r="O273" s="8">
        <f>VLOOKUP($B273,floorspace!$B$4:$O$12,'shell factors calc'!O$2+1,FALSE)</f>
        <v>1426.487427</v>
      </c>
      <c r="P273" s="8">
        <f>VLOOKUP($B273,floorspace!$B$4:$O$12,'shell factors calc'!P$2+1,FALSE)</f>
        <v>1360.7664789999999</v>
      </c>
      <c r="Q273" s="8">
        <f>VLOOKUP($B273,floorspace!$B$4:$O$12,'shell factors calc'!Q$2+1,FALSE)</f>
        <v>115.483704</v>
      </c>
      <c r="R273" s="8">
        <f>VLOOKUP($B273,floorspace!$B$4:$O$12,'shell factors calc'!R$2+1,FALSE)</f>
        <v>190.85375999999999</v>
      </c>
      <c r="S273" s="8">
        <f>VLOOKUP($B273,floorspace!$B$4:$O$12,'shell factors calc'!S$2+1,FALSE)</f>
        <v>325.72094700000002</v>
      </c>
      <c r="T273" s="8">
        <f>VLOOKUP($B273,floorspace!$B$4:$O$12,'shell factors calc'!T$2+1,FALSE)</f>
        <v>885.83789100000001</v>
      </c>
      <c r="U273" s="8">
        <f>VLOOKUP($B273,floorspace!$B$4:$O$12,'shell factors calc'!U$2+1,FALSE)</f>
        <v>1391.6861570000001</v>
      </c>
      <c r="V273" s="8">
        <f>VLOOKUP($B273,floorspace!$B$4:$O$12,'shell factors calc'!V$2+1,FALSE)</f>
        <v>952.37109399999997</v>
      </c>
      <c r="W273" s="8">
        <f>VLOOKUP($B273,floorspace!$B$4:$O$12,'shell factors calc'!W$2+1,FALSE)</f>
        <v>1766.4886469999999</v>
      </c>
      <c r="X273" s="8">
        <f>VLOOKUP($B273,floorspace!$B$4:$O$12,'shell factors calc'!X$2+1,FALSE)</f>
        <v>2912.772461</v>
      </c>
      <c r="Y273" s="8">
        <f>VLOOKUP($B273,floorspace!$B$4:$O$12,'shell factors calc'!Y$2+1,FALSE)</f>
        <v>529.23895300000004</v>
      </c>
      <c r="Z273">
        <f t="shared" si="4"/>
        <v>0.71048914094762528</v>
      </c>
    </row>
    <row r="274" spans="1:26" x14ac:dyDescent="0.2">
      <c r="A274" s="5" t="s">
        <v>45</v>
      </c>
      <c r="B274" s="5" t="s">
        <v>44</v>
      </c>
      <c r="C274" s="6" t="s">
        <v>20</v>
      </c>
      <c r="D274" s="7">
        <v>0.73299599999999998</v>
      </c>
      <c r="E274">
        <v>0.67761499999999997</v>
      </c>
      <c r="F274">
        <v>0.751058</v>
      </c>
      <c r="G274">
        <v>0.411358</v>
      </c>
      <c r="H274">
        <v>0.83202299999999996</v>
      </c>
      <c r="I274">
        <v>0.65686800000000001</v>
      </c>
      <c r="J274">
        <v>0.66585899999999998</v>
      </c>
      <c r="K274">
        <v>0.782555</v>
      </c>
      <c r="L274">
        <v>0.87297800000000003</v>
      </c>
      <c r="M274">
        <v>0.62513099999999999</v>
      </c>
      <c r="N274">
        <v>0.69306900000000005</v>
      </c>
      <c r="O274" s="8">
        <f>VLOOKUP($B274,floorspace!$B$4:$O$12,'shell factors calc'!O$2+1,FALSE)</f>
        <v>1426.487427</v>
      </c>
      <c r="P274" s="8">
        <f>VLOOKUP($B274,floorspace!$B$4:$O$12,'shell factors calc'!P$2+1,FALSE)</f>
        <v>1360.7664789999999</v>
      </c>
      <c r="Q274" s="8">
        <f>VLOOKUP($B274,floorspace!$B$4:$O$12,'shell factors calc'!Q$2+1,FALSE)</f>
        <v>115.483704</v>
      </c>
      <c r="R274" s="8">
        <f>VLOOKUP($B274,floorspace!$B$4:$O$12,'shell factors calc'!R$2+1,FALSE)</f>
        <v>190.85375999999999</v>
      </c>
      <c r="S274" s="8">
        <f>VLOOKUP($B274,floorspace!$B$4:$O$12,'shell factors calc'!S$2+1,FALSE)</f>
        <v>325.72094700000002</v>
      </c>
      <c r="T274" s="8">
        <f>VLOOKUP($B274,floorspace!$B$4:$O$12,'shell factors calc'!T$2+1,FALSE)</f>
        <v>885.83789100000001</v>
      </c>
      <c r="U274" s="8">
        <f>VLOOKUP($B274,floorspace!$B$4:$O$12,'shell factors calc'!U$2+1,FALSE)</f>
        <v>1391.6861570000001</v>
      </c>
      <c r="V274" s="8">
        <f>VLOOKUP($B274,floorspace!$B$4:$O$12,'shell factors calc'!V$2+1,FALSE)</f>
        <v>952.37109399999997</v>
      </c>
      <c r="W274" s="8">
        <f>VLOOKUP($B274,floorspace!$B$4:$O$12,'shell factors calc'!W$2+1,FALSE)</f>
        <v>1766.4886469999999</v>
      </c>
      <c r="X274" s="8">
        <f>VLOOKUP($B274,floorspace!$B$4:$O$12,'shell factors calc'!X$2+1,FALSE)</f>
        <v>2912.772461</v>
      </c>
      <c r="Y274" s="8">
        <f>VLOOKUP($B274,floorspace!$B$4:$O$12,'shell factors calc'!Y$2+1,FALSE)</f>
        <v>529.23895300000004</v>
      </c>
      <c r="Z274">
        <f t="shared" si="4"/>
        <v>0.70734871130797672</v>
      </c>
    </row>
    <row r="275" spans="1:26" x14ac:dyDescent="0.2">
      <c r="A275" s="5" t="s">
        <v>45</v>
      </c>
      <c r="B275" s="5" t="s">
        <v>44</v>
      </c>
      <c r="C275" s="6" t="s">
        <v>21</v>
      </c>
      <c r="D275" s="7">
        <v>0.728607</v>
      </c>
      <c r="E275">
        <v>0.67222999999999999</v>
      </c>
      <c r="F275">
        <v>0.74701300000000004</v>
      </c>
      <c r="G275">
        <v>0.40196700000000002</v>
      </c>
      <c r="H275">
        <v>0.82883200000000001</v>
      </c>
      <c r="I275">
        <v>0.65017800000000003</v>
      </c>
      <c r="J275">
        <v>0.65974900000000003</v>
      </c>
      <c r="K275">
        <v>0.77904899999999999</v>
      </c>
      <c r="L275">
        <v>0.87079099999999998</v>
      </c>
      <c r="M275">
        <v>0.62669600000000003</v>
      </c>
      <c r="N275">
        <v>0.68752599999999997</v>
      </c>
      <c r="O275" s="8">
        <f>VLOOKUP($B275,floorspace!$B$4:$O$12,'shell factors calc'!O$2+1,FALSE)</f>
        <v>1426.487427</v>
      </c>
      <c r="P275" s="8">
        <f>VLOOKUP($B275,floorspace!$B$4:$O$12,'shell factors calc'!P$2+1,FALSE)</f>
        <v>1360.7664789999999</v>
      </c>
      <c r="Q275" s="8">
        <f>VLOOKUP($B275,floorspace!$B$4:$O$12,'shell factors calc'!Q$2+1,FALSE)</f>
        <v>115.483704</v>
      </c>
      <c r="R275" s="8">
        <f>VLOOKUP($B275,floorspace!$B$4:$O$12,'shell factors calc'!R$2+1,FALSE)</f>
        <v>190.85375999999999</v>
      </c>
      <c r="S275" s="8">
        <f>VLOOKUP($B275,floorspace!$B$4:$O$12,'shell factors calc'!S$2+1,FALSE)</f>
        <v>325.72094700000002</v>
      </c>
      <c r="T275" s="8">
        <f>VLOOKUP($B275,floorspace!$B$4:$O$12,'shell factors calc'!T$2+1,FALSE)</f>
        <v>885.83789100000001</v>
      </c>
      <c r="U275" s="8">
        <f>VLOOKUP($B275,floorspace!$B$4:$O$12,'shell factors calc'!U$2+1,FALSE)</f>
        <v>1391.6861570000001</v>
      </c>
      <c r="V275" s="8">
        <f>VLOOKUP($B275,floorspace!$B$4:$O$12,'shell factors calc'!V$2+1,FALSE)</f>
        <v>952.37109399999997</v>
      </c>
      <c r="W275" s="8">
        <f>VLOOKUP($B275,floorspace!$B$4:$O$12,'shell factors calc'!W$2+1,FALSE)</f>
        <v>1766.4886469999999</v>
      </c>
      <c r="X275" s="8">
        <f>VLOOKUP($B275,floorspace!$B$4:$O$12,'shell factors calc'!X$2+1,FALSE)</f>
        <v>2912.772461</v>
      </c>
      <c r="Y275" s="8">
        <f>VLOOKUP($B275,floorspace!$B$4:$O$12,'shell factors calc'!Y$2+1,FALSE)</f>
        <v>529.23895300000004</v>
      </c>
      <c r="Z275">
        <f t="shared" si="4"/>
        <v>0.70423729539721724</v>
      </c>
    </row>
    <row r="276" spans="1:26" x14ac:dyDescent="0.2">
      <c r="A276" s="5" t="s">
        <v>45</v>
      </c>
      <c r="B276" s="5" t="s">
        <v>44</v>
      </c>
      <c r="C276" s="6" t="s">
        <v>22</v>
      </c>
      <c r="D276" s="7">
        <v>0.72424299999999997</v>
      </c>
      <c r="E276">
        <v>0.66688800000000004</v>
      </c>
      <c r="F276">
        <v>0.74298900000000001</v>
      </c>
      <c r="G276">
        <v>0.39278999999999997</v>
      </c>
      <c r="H276">
        <v>0.82565299999999997</v>
      </c>
      <c r="I276">
        <v>0.64355700000000005</v>
      </c>
      <c r="J276">
        <v>0.65369500000000003</v>
      </c>
      <c r="K276">
        <v>0.77555799999999997</v>
      </c>
      <c r="L276">
        <v>0.86860999999999999</v>
      </c>
      <c r="M276">
        <v>0.62826499999999996</v>
      </c>
      <c r="N276">
        <v>0.68202700000000005</v>
      </c>
      <c r="O276" s="8">
        <f>VLOOKUP($B276,floorspace!$B$4:$O$12,'shell factors calc'!O$2+1,FALSE)</f>
        <v>1426.487427</v>
      </c>
      <c r="P276" s="8">
        <f>VLOOKUP($B276,floorspace!$B$4:$O$12,'shell factors calc'!P$2+1,FALSE)</f>
        <v>1360.7664789999999</v>
      </c>
      <c r="Q276" s="8">
        <f>VLOOKUP($B276,floorspace!$B$4:$O$12,'shell factors calc'!Q$2+1,FALSE)</f>
        <v>115.483704</v>
      </c>
      <c r="R276" s="8">
        <f>VLOOKUP($B276,floorspace!$B$4:$O$12,'shell factors calc'!R$2+1,FALSE)</f>
        <v>190.85375999999999</v>
      </c>
      <c r="S276" s="8">
        <f>VLOOKUP($B276,floorspace!$B$4:$O$12,'shell factors calc'!S$2+1,FALSE)</f>
        <v>325.72094700000002</v>
      </c>
      <c r="T276" s="8">
        <f>VLOOKUP($B276,floorspace!$B$4:$O$12,'shell factors calc'!T$2+1,FALSE)</f>
        <v>885.83789100000001</v>
      </c>
      <c r="U276" s="8">
        <f>VLOOKUP($B276,floorspace!$B$4:$O$12,'shell factors calc'!U$2+1,FALSE)</f>
        <v>1391.6861570000001</v>
      </c>
      <c r="V276" s="8">
        <f>VLOOKUP($B276,floorspace!$B$4:$O$12,'shell factors calc'!V$2+1,FALSE)</f>
        <v>952.37109399999997</v>
      </c>
      <c r="W276" s="8">
        <f>VLOOKUP($B276,floorspace!$B$4:$O$12,'shell factors calc'!W$2+1,FALSE)</f>
        <v>1766.4886469999999</v>
      </c>
      <c r="X276" s="8">
        <f>VLOOKUP($B276,floorspace!$B$4:$O$12,'shell factors calc'!X$2+1,FALSE)</f>
        <v>2912.772461</v>
      </c>
      <c r="Y276" s="8">
        <f>VLOOKUP($B276,floorspace!$B$4:$O$12,'shell factors calc'!Y$2+1,FALSE)</f>
        <v>529.23895300000004</v>
      </c>
      <c r="Z276">
        <f t="shared" si="4"/>
        <v>0.70115457230071565</v>
      </c>
    </row>
    <row r="277" spans="1:26" x14ac:dyDescent="0.2">
      <c r="A277" s="5" t="s">
        <v>45</v>
      </c>
      <c r="B277" s="5" t="s">
        <v>44</v>
      </c>
      <c r="C277" s="6" t="s">
        <v>23</v>
      </c>
      <c r="D277" s="7">
        <v>0.71990600000000005</v>
      </c>
      <c r="E277">
        <v>0.66158799999999995</v>
      </c>
      <c r="F277">
        <v>0.73898699999999995</v>
      </c>
      <c r="G277">
        <v>0.38382300000000003</v>
      </c>
      <c r="H277">
        <v>0.82248699999999997</v>
      </c>
      <c r="I277">
        <v>0.63700299999999999</v>
      </c>
      <c r="J277">
        <v>0.64769699999999997</v>
      </c>
      <c r="K277">
        <v>0.77208200000000005</v>
      </c>
      <c r="L277">
        <v>0.86643400000000004</v>
      </c>
      <c r="M277">
        <v>0.62983800000000001</v>
      </c>
      <c r="N277">
        <v>0.67657299999999998</v>
      </c>
      <c r="O277" s="8">
        <f>VLOOKUP($B277,floorspace!$B$4:$O$12,'shell factors calc'!O$2+1,FALSE)</f>
        <v>1426.487427</v>
      </c>
      <c r="P277" s="8">
        <f>VLOOKUP($B277,floorspace!$B$4:$O$12,'shell factors calc'!P$2+1,FALSE)</f>
        <v>1360.7664789999999</v>
      </c>
      <c r="Q277" s="8">
        <f>VLOOKUP($B277,floorspace!$B$4:$O$12,'shell factors calc'!Q$2+1,FALSE)</f>
        <v>115.483704</v>
      </c>
      <c r="R277" s="8">
        <f>VLOOKUP($B277,floorspace!$B$4:$O$12,'shell factors calc'!R$2+1,FALSE)</f>
        <v>190.85375999999999</v>
      </c>
      <c r="S277" s="8">
        <f>VLOOKUP($B277,floorspace!$B$4:$O$12,'shell factors calc'!S$2+1,FALSE)</f>
        <v>325.72094700000002</v>
      </c>
      <c r="T277" s="8">
        <f>VLOOKUP($B277,floorspace!$B$4:$O$12,'shell factors calc'!T$2+1,FALSE)</f>
        <v>885.83789100000001</v>
      </c>
      <c r="U277" s="8">
        <f>VLOOKUP($B277,floorspace!$B$4:$O$12,'shell factors calc'!U$2+1,FALSE)</f>
        <v>1391.6861570000001</v>
      </c>
      <c r="V277" s="8">
        <f>VLOOKUP($B277,floorspace!$B$4:$O$12,'shell factors calc'!V$2+1,FALSE)</f>
        <v>952.37109399999997</v>
      </c>
      <c r="W277" s="8">
        <f>VLOOKUP($B277,floorspace!$B$4:$O$12,'shell factors calc'!W$2+1,FALSE)</f>
        <v>1766.4886469999999</v>
      </c>
      <c r="X277" s="8">
        <f>VLOOKUP($B277,floorspace!$B$4:$O$12,'shell factors calc'!X$2+1,FALSE)</f>
        <v>2912.772461</v>
      </c>
      <c r="Y277" s="8">
        <f>VLOOKUP($B277,floorspace!$B$4:$O$12,'shell factors calc'!Y$2+1,FALSE)</f>
        <v>529.23895300000004</v>
      </c>
      <c r="Z277">
        <f t="shared" si="4"/>
        <v>0.69810038693558751</v>
      </c>
    </row>
    <row r="278" spans="1:26" x14ac:dyDescent="0.2">
      <c r="A278" s="5" t="s">
        <v>45</v>
      </c>
      <c r="B278" s="5" t="s">
        <v>44</v>
      </c>
      <c r="C278" s="6" t="s">
        <v>24</v>
      </c>
      <c r="D278" s="7">
        <v>0.71559499999999998</v>
      </c>
      <c r="E278">
        <v>0.65632999999999997</v>
      </c>
      <c r="F278">
        <v>0.73500699999999997</v>
      </c>
      <c r="G278">
        <v>0.37506</v>
      </c>
      <c r="H278">
        <v>0.81933299999999998</v>
      </c>
      <c r="I278">
        <v>0.63051699999999999</v>
      </c>
      <c r="J278">
        <v>0.64175300000000002</v>
      </c>
      <c r="K278">
        <v>0.76862299999999995</v>
      </c>
      <c r="L278">
        <v>0.86426400000000003</v>
      </c>
      <c r="M278">
        <v>0.63141499999999995</v>
      </c>
      <c r="N278">
        <v>0.67116200000000004</v>
      </c>
      <c r="O278" s="8">
        <f>VLOOKUP($B278,floorspace!$B$4:$O$12,'shell factors calc'!O$2+1,FALSE)</f>
        <v>1426.487427</v>
      </c>
      <c r="P278" s="8">
        <f>VLOOKUP($B278,floorspace!$B$4:$O$12,'shell factors calc'!P$2+1,FALSE)</f>
        <v>1360.7664789999999</v>
      </c>
      <c r="Q278" s="8">
        <f>VLOOKUP($B278,floorspace!$B$4:$O$12,'shell factors calc'!Q$2+1,FALSE)</f>
        <v>115.483704</v>
      </c>
      <c r="R278" s="8">
        <f>VLOOKUP($B278,floorspace!$B$4:$O$12,'shell factors calc'!R$2+1,FALSE)</f>
        <v>190.85375999999999</v>
      </c>
      <c r="S278" s="8">
        <f>VLOOKUP($B278,floorspace!$B$4:$O$12,'shell factors calc'!S$2+1,FALSE)</f>
        <v>325.72094700000002</v>
      </c>
      <c r="T278" s="8">
        <f>VLOOKUP($B278,floorspace!$B$4:$O$12,'shell factors calc'!T$2+1,FALSE)</f>
        <v>885.83789100000001</v>
      </c>
      <c r="U278" s="8">
        <f>VLOOKUP($B278,floorspace!$B$4:$O$12,'shell factors calc'!U$2+1,FALSE)</f>
        <v>1391.6861570000001</v>
      </c>
      <c r="V278" s="8">
        <f>VLOOKUP($B278,floorspace!$B$4:$O$12,'shell factors calc'!V$2+1,FALSE)</f>
        <v>952.37109399999997</v>
      </c>
      <c r="W278" s="8">
        <f>VLOOKUP($B278,floorspace!$B$4:$O$12,'shell factors calc'!W$2+1,FALSE)</f>
        <v>1766.4886469999999</v>
      </c>
      <c r="X278" s="8">
        <f>VLOOKUP($B278,floorspace!$B$4:$O$12,'shell factors calc'!X$2+1,FALSE)</f>
        <v>2912.772461</v>
      </c>
      <c r="Y278" s="8">
        <f>VLOOKUP($B278,floorspace!$B$4:$O$12,'shell factors calc'!Y$2+1,FALSE)</f>
        <v>529.23895300000004</v>
      </c>
      <c r="Z278">
        <f t="shared" si="4"/>
        <v>0.69507455527701811</v>
      </c>
    </row>
    <row r="279" spans="1:26" x14ac:dyDescent="0.2">
      <c r="A279" s="5" t="s">
        <v>45</v>
      </c>
      <c r="B279" s="5" t="s">
        <v>44</v>
      </c>
      <c r="C279" s="6" t="s">
        <v>25</v>
      </c>
      <c r="D279" s="7">
        <v>0.71131</v>
      </c>
      <c r="E279">
        <v>0.651115</v>
      </c>
      <c r="F279">
        <v>0.73104800000000003</v>
      </c>
      <c r="G279">
        <v>0.36649700000000002</v>
      </c>
      <c r="H279">
        <v>0.81618999999999997</v>
      </c>
      <c r="I279">
        <v>0.62409599999999998</v>
      </c>
      <c r="J279">
        <v>0.63586500000000001</v>
      </c>
      <c r="K279">
        <v>0.76517900000000005</v>
      </c>
      <c r="L279">
        <v>0.86209899999999995</v>
      </c>
      <c r="M279">
        <v>0.632996</v>
      </c>
      <c r="N279">
        <v>0.66579500000000003</v>
      </c>
      <c r="O279" s="8">
        <f>VLOOKUP($B279,floorspace!$B$4:$O$12,'shell factors calc'!O$2+1,FALSE)</f>
        <v>1426.487427</v>
      </c>
      <c r="P279" s="8">
        <f>VLOOKUP($B279,floorspace!$B$4:$O$12,'shell factors calc'!P$2+1,FALSE)</f>
        <v>1360.7664789999999</v>
      </c>
      <c r="Q279" s="8">
        <f>VLOOKUP($B279,floorspace!$B$4:$O$12,'shell factors calc'!Q$2+1,FALSE)</f>
        <v>115.483704</v>
      </c>
      <c r="R279" s="8">
        <f>VLOOKUP($B279,floorspace!$B$4:$O$12,'shell factors calc'!R$2+1,FALSE)</f>
        <v>190.85375999999999</v>
      </c>
      <c r="S279" s="8">
        <f>VLOOKUP($B279,floorspace!$B$4:$O$12,'shell factors calc'!S$2+1,FALSE)</f>
        <v>325.72094700000002</v>
      </c>
      <c r="T279" s="8">
        <f>VLOOKUP($B279,floorspace!$B$4:$O$12,'shell factors calc'!T$2+1,FALSE)</f>
        <v>885.83789100000001</v>
      </c>
      <c r="U279" s="8">
        <f>VLOOKUP($B279,floorspace!$B$4:$O$12,'shell factors calc'!U$2+1,FALSE)</f>
        <v>1391.6861570000001</v>
      </c>
      <c r="V279" s="8">
        <f>VLOOKUP($B279,floorspace!$B$4:$O$12,'shell factors calc'!V$2+1,FALSE)</f>
        <v>952.37109399999997</v>
      </c>
      <c r="W279" s="8">
        <f>VLOOKUP($B279,floorspace!$B$4:$O$12,'shell factors calc'!W$2+1,FALSE)</f>
        <v>1766.4886469999999</v>
      </c>
      <c r="X279" s="8">
        <f>VLOOKUP($B279,floorspace!$B$4:$O$12,'shell factors calc'!X$2+1,FALSE)</f>
        <v>2912.772461</v>
      </c>
      <c r="Y279" s="8">
        <f>VLOOKUP($B279,floorspace!$B$4:$O$12,'shell factors calc'!Y$2+1,FALSE)</f>
        <v>529.23895300000004</v>
      </c>
      <c r="Z279">
        <f t="shared" si="4"/>
        <v>0.69207683613281679</v>
      </c>
    </row>
    <row r="280" spans="1:26" x14ac:dyDescent="0.2">
      <c r="A280" s="5" t="s">
        <v>45</v>
      </c>
      <c r="B280" s="5" t="s">
        <v>44</v>
      </c>
      <c r="C280" s="6" t="s">
        <v>26</v>
      </c>
      <c r="D280" s="7">
        <v>0.70704999999999996</v>
      </c>
      <c r="E280">
        <v>0.64593999999999996</v>
      </c>
      <c r="F280">
        <v>0.72711000000000003</v>
      </c>
      <c r="G280">
        <v>0.35813</v>
      </c>
      <c r="H280">
        <v>0.81306</v>
      </c>
      <c r="I280">
        <v>0.61773999999999996</v>
      </c>
      <c r="J280">
        <v>0.63002999999999998</v>
      </c>
      <c r="K280">
        <v>0.76175000000000004</v>
      </c>
      <c r="L280">
        <v>0.85994000000000004</v>
      </c>
      <c r="M280">
        <v>0.63458000000000003</v>
      </c>
      <c r="N280">
        <v>0.66047</v>
      </c>
      <c r="O280" s="8">
        <f>VLOOKUP($B280,floorspace!$B$4:$O$12,'shell factors calc'!O$2+1,FALSE)</f>
        <v>1426.487427</v>
      </c>
      <c r="P280" s="8">
        <f>VLOOKUP($B280,floorspace!$B$4:$O$12,'shell factors calc'!P$2+1,FALSE)</f>
        <v>1360.7664789999999</v>
      </c>
      <c r="Q280" s="8">
        <f>VLOOKUP($B280,floorspace!$B$4:$O$12,'shell factors calc'!Q$2+1,FALSE)</f>
        <v>115.483704</v>
      </c>
      <c r="R280" s="8">
        <f>VLOOKUP($B280,floorspace!$B$4:$O$12,'shell factors calc'!R$2+1,FALSE)</f>
        <v>190.85375999999999</v>
      </c>
      <c r="S280" s="8">
        <f>VLOOKUP($B280,floorspace!$B$4:$O$12,'shell factors calc'!S$2+1,FALSE)</f>
        <v>325.72094700000002</v>
      </c>
      <c r="T280" s="8">
        <f>VLOOKUP($B280,floorspace!$B$4:$O$12,'shell factors calc'!T$2+1,FALSE)</f>
        <v>885.83789100000001</v>
      </c>
      <c r="U280" s="8">
        <f>VLOOKUP($B280,floorspace!$B$4:$O$12,'shell factors calc'!U$2+1,FALSE)</f>
        <v>1391.6861570000001</v>
      </c>
      <c r="V280" s="8">
        <f>VLOOKUP($B280,floorspace!$B$4:$O$12,'shell factors calc'!V$2+1,FALSE)</f>
        <v>952.37109399999997</v>
      </c>
      <c r="W280" s="8">
        <f>VLOOKUP($B280,floorspace!$B$4:$O$12,'shell factors calc'!W$2+1,FALSE)</f>
        <v>1766.4886469999999</v>
      </c>
      <c r="X280" s="8">
        <f>VLOOKUP($B280,floorspace!$B$4:$O$12,'shell factors calc'!X$2+1,FALSE)</f>
        <v>2912.772461</v>
      </c>
      <c r="Y280" s="8">
        <f>VLOOKUP($B280,floorspace!$B$4:$O$12,'shell factors calc'!Y$2+1,FALSE)</f>
        <v>529.23895300000004</v>
      </c>
      <c r="Z280">
        <f t="shared" si="4"/>
        <v>0.68910621745405387</v>
      </c>
    </row>
    <row r="281" spans="1:26" x14ac:dyDescent="0.2">
      <c r="A281" s="5" t="s">
        <v>45</v>
      </c>
      <c r="B281" s="5" t="s">
        <v>44</v>
      </c>
      <c r="C281" s="6" t="s">
        <v>27</v>
      </c>
      <c r="D281" s="7">
        <v>0.702569</v>
      </c>
      <c r="E281">
        <v>0.64039199999999996</v>
      </c>
      <c r="F281">
        <v>0.72319299999999997</v>
      </c>
      <c r="G281">
        <v>0.34757700000000002</v>
      </c>
      <c r="H281">
        <v>0.80983300000000003</v>
      </c>
      <c r="I281">
        <v>0.61077199999999998</v>
      </c>
      <c r="J281">
        <v>0.62369600000000003</v>
      </c>
      <c r="K281">
        <v>0.75819499999999995</v>
      </c>
      <c r="L281">
        <v>0.857742</v>
      </c>
      <c r="M281">
        <v>0.63612299999999999</v>
      </c>
      <c r="N281">
        <v>0.65475700000000003</v>
      </c>
      <c r="O281" s="8">
        <f>VLOOKUP($B281,floorspace!$B$4:$O$12,'shell factors calc'!O$2+1,FALSE)</f>
        <v>1426.487427</v>
      </c>
      <c r="P281" s="8">
        <f>VLOOKUP($B281,floorspace!$B$4:$O$12,'shell factors calc'!P$2+1,FALSE)</f>
        <v>1360.7664789999999</v>
      </c>
      <c r="Q281" s="8">
        <f>VLOOKUP($B281,floorspace!$B$4:$O$12,'shell factors calc'!Q$2+1,FALSE)</f>
        <v>115.483704</v>
      </c>
      <c r="R281" s="8">
        <f>VLOOKUP($B281,floorspace!$B$4:$O$12,'shell factors calc'!R$2+1,FALSE)</f>
        <v>190.85375999999999</v>
      </c>
      <c r="S281" s="8">
        <f>VLOOKUP($B281,floorspace!$B$4:$O$12,'shell factors calc'!S$2+1,FALSE)</f>
        <v>325.72094700000002</v>
      </c>
      <c r="T281" s="8">
        <f>VLOOKUP($B281,floorspace!$B$4:$O$12,'shell factors calc'!T$2+1,FALSE)</f>
        <v>885.83789100000001</v>
      </c>
      <c r="U281" s="8">
        <f>VLOOKUP($B281,floorspace!$B$4:$O$12,'shell factors calc'!U$2+1,FALSE)</f>
        <v>1391.6861570000001</v>
      </c>
      <c r="V281" s="8">
        <f>VLOOKUP($B281,floorspace!$B$4:$O$12,'shell factors calc'!V$2+1,FALSE)</f>
        <v>952.37109399999997</v>
      </c>
      <c r="W281" s="8">
        <f>VLOOKUP($B281,floorspace!$B$4:$O$12,'shell factors calc'!W$2+1,FALSE)</f>
        <v>1766.4886469999999</v>
      </c>
      <c r="X281" s="8">
        <f>VLOOKUP($B281,floorspace!$B$4:$O$12,'shell factors calc'!X$2+1,FALSE)</f>
        <v>2912.772461</v>
      </c>
      <c r="Y281" s="8">
        <f>VLOOKUP($B281,floorspace!$B$4:$O$12,'shell factors calc'!Y$2+1,FALSE)</f>
        <v>529.23895300000004</v>
      </c>
      <c r="Z281">
        <f t="shared" si="4"/>
        <v>0.68588095932767845</v>
      </c>
    </row>
    <row r="282" spans="1:26" x14ac:dyDescent="0.2">
      <c r="A282" s="5" t="s">
        <v>45</v>
      </c>
      <c r="B282" s="5" t="s">
        <v>44</v>
      </c>
      <c r="C282" s="6" t="s">
        <v>28</v>
      </c>
      <c r="D282" s="7">
        <v>0.69811699999999999</v>
      </c>
      <c r="E282">
        <v>0.63489200000000001</v>
      </c>
      <c r="F282">
        <v>0.71929799999999999</v>
      </c>
      <c r="G282">
        <v>0.337335</v>
      </c>
      <c r="H282">
        <v>0.80661899999999997</v>
      </c>
      <c r="I282">
        <v>0.60388200000000003</v>
      </c>
      <c r="J282">
        <v>0.61742600000000003</v>
      </c>
      <c r="K282">
        <v>0.75465700000000002</v>
      </c>
      <c r="L282">
        <v>0.855549</v>
      </c>
      <c r="M282">
        <v>0.63766999999999996</v>
      </c>
      <c r="N282">
        <v>0.64909300000000003</v>
      </c>
      <c r="O282" s="8">
        <f>VLOOKUP($B282,floorspace!$B$4:$O$12,'shell factors calc'!O$2+1,FALSE)</f>
        <v>1426.487427</v>
      </c>
      <c r="P282" s="8">
        <f>VLOOKUP($B282,floorspace!$B$4:$O$12,'shell factors calc'!P$2+1,FALSE)</f>
        <v>1360.7664789999999</v>
      </c>
      <c r="Q282" s="8">
        <f>VLOOKUP($B282,floorspace!$B$4:$O$12,'shell factors calc'!Q$2+1,FALSE)</f>
        <v>115.483704</v>
      </c>
      <c r="R282" s="8">
        <f>VLOOKUP($B282,floorspace!$B$4:$O$12,'shell factors calc'!R$2+1,FALSE)</f>
        <v>190.85375999999999</v>
      </c>
      <c r="S282" s="8">
        <f>VLOOKUP($B282,floorspace!$B$4:$O$12,'shell factors calc'!S$2+1,FALSE)</f>
        <v>325.72094700000002</v>
      </c>
      <c r="T282" s="8">
        <f>VLOOKUP($B282,floorspace!$B$4:$O$12,'shell factors calc'!T$2+1,FALSE)</f>
        <v>885.83789100000001</v>
      </c>
      <c r="U282" s="8">
        <f>VLOOKUP($B282,floorspace!$B$4:$O$12,'shell factors calc'!U$2+1,FALSE)</f>
        <v>1391.6861570000001</v>
      </c>
      <c r="V282" s="8">
        <f>VLOOKUP($B282,floorspace!$B$4:$O$12,'shell factors calc'!V$2+1,FALSE)</f>
        <v>952.37109399999997</v>
      </c>
      <c r="W282" s="8">
        <f>VLOOKUP($B282,floorspace!$B$4:$O$12,'shell factors calc'!W$2+1,FALSE)</f>
        <v>1766.4886469999999</v>
      </c>
      <c r="X282" s="8">
        <f>VLOOKUP($B282,floorspace!$B$4:$O$12,'shell factors calc'!X$2+1,FALSE)</f>
        <v>2912.772461</v>
      </c>
      <c r="Y282" s="8">
        <f>VLOOKUP($B282,floorspace!$B$4:$O$12,'shell factors calc'!Y$2+1,FALSE)</f>
        <v>529.23895300000004</v>
      </c>
      <c r="Z282">
        <f t="shared" si="4"/>
        <v>0.68268889355984186</v>
      </c>
    </row>
    <row r="283" spans="1:26" x14ac:dyDescent="0.2">
      <c r="A283" s="5" t="s">
        <v>45</v>
      </c>
      <c r="B283" s="5" t="s">
        <v>44</v>
      </c>
      <c r="C283" s="6" t="s">
        <v>29</v>
      </c>
      <c r="D283" s="7">
        <v>0.693693</v>
      </c>
      <c r="E283">
        <v>0.62944</v>
      </c>
      <c r="F283">
        <v>0.71542300000000003</v>
      </c>
      <c r="G283">
        <v>0.32739499999999999</v>
      </c>
      <c r="H283">
        <v>0.80341700000000005</v>
      </c>
      <c r="I283">
        <v>0.59706999999999999</v>
      </c>
      <c r="J283">
        <v>0.61121800000000004</v>
      </c>
      <c r="K283">
        <v>0.75113600000000003</v>
      </c>
      <c r="L283">
        <v>0.85336199999999995</v>
      </c>
      <c r="M283">
        <v>0.63922000000000001</v>
      </c>
      <c r="N283">
        <v>0.64347799999999999</v>
      </c>
      <c r="O283" s="8">
        <f>VLOOKUP($B283,floorspace!$B$4:$O$12,'shell factors calc'!O$2+1,FALSE)</f>
        <v>1426.487427</v>
      </c>
      <c r="P283" s="8">
        <f>VLOOKUP($B283,floorspace!$B$4:$O$12,'shell factors calc'!P$2+1,FALSE)</f>
        <v>1360.7664789999999</v>
      </c>
      <c r="Q283" s="8">
        <f>VLOOKUP($B283,floorspace!$B$4:$O$12,'shell factors calc'!Q$2+1,FALSE)</f>
        <v>115.483704</v>
      </c>
      <c r="R283" s="8">
        <f>VLOOKUP($B283,floorspace!$B$4:$O$12,'shell factors calc'!R$2+1,FALSE)</f>
        <v>190.85375999999999</v>
      </c>
      <c r="S283" s="8">
        <f>VLOOKUP($B283,floorspace!$B$4:$O$12,'shell factors calc'!S$2+1,FALSE)</f>
        <v>325.72094700000002</v>
      </c>
      <c r="T283" s="8">
        <f>VLOOKUP($B283,floorspace!$B$4:$O$12,'shell factors calc'!T$2+1,FALSE)</f>
        <v>885.83789100000001</v>
      </c>
      <c r="U283" s="8">
        <f>VLOOKUP($B283,floorspace!$B$4:$O$12,'shell factors calc'!U$2+1,FALSE)</f>
        <v>1391.6861570000001</v>
      </c>
      <c r="V283" s="8">
        <f>VLOOKUP($B283,floorspace!$B$4:$O$12,'shell factors calc'!V$2+1,FALSE)</f>
        <v>952.37109399999997</v>
      </c>
      <c r="W283" s="8">
        <f>VLOOKUP($B283,floorspace!$B$4:$O$12,'shell factors calc'!W$2+1,FALSE)</f>
        <v>1766.4886469999999</v>
      </c>
      <c r="X283" s="8">
        <f>VLOOKUP($B283,floorspace!$B$4:$O$12,'shell factors calc'!X$2+1,FALSE)</f>
        <v>2912.772461</v>
      </c>
      <c r="Y283" s="8">
        <f>VLOOKUP($B283,floorspace!$B$4:$O$12,'shell factors calc'!Y$2+1,FALSE)</f>
        <v>529.23895300000004</v>
      </c>
      <c r="Z283">
        <f t="shared" si="4"/>
        <v>0.67952937664371649</v>
      </c>
    </row>
    <row r="284" spans="1:26" x14ac:dyDescent="0.2">
      <c r="A284" s="5" t="s">
        <v>45</v>
      </c>
      <c r="B284" s="5" t="s">
        <v>44</v>
      </c>
      <c r="C284" s="6" t="s">
        <v>30</v>
      </c>
      <c r="D284" s="7">
        <v>0.68929700000000005</v>
      </c>
      <c r="E284">
        <v>0.62403399999999998</v>
      </c>
      <c r="F284">
        <v>0.71157000000000004</v>
      </c>
      <c r="G284">
        <v>0.31774799999999997</v>
      </c>
      <c r="H284">
        <v>0.80022800000000005</v>
      </c>
      <c r="I284">
        <v>0.59033500000000005</v>
      </c>
      <c r="J284">
        <v>0.60507299999999997</v>
      </c>
      <c r="K284">
        <v>0.74763000000000002</v>
      </c>
      <c r="L284">
        <v>0.85118099999999997</v>
      </c>
      <c r="M284">
        <v>0.64077399999999995</v>
      </c>
      <c r="N284">
        <v>0.63791100000000001</v>
      </c>
      <c r="O284" s="8">
        <f>VLOOKUP($B284,floorspace!$B$4:$O$12,'shell factors calc'!O$2+1,FALSE)</f>
        <v>1426.487427</v>
      </c>
      <c r="P284" s="8">
        <f>VLOOKUP($B284,floorspace!$B$4:$O$12,'shell factors calc'!P$2+1,FALSE)</f>
        <v>1360.7664789999999</v>
      </c>
      <c r="Q284" s="8">
        <f>VLOOKUP($B284,floorspace!$B$4:$O$12,'shell factors calc'!Q$2+1,FALSE)</f>
        <v>115.483704</v>
      </c>
      <c r="R284" s="8">
        <f>VLOOKUP($B284,floorspace!$B$4:$O$12,'shell factors calc'!R$2+1,FALSE)</f>
        <v>190.85375999999999</v>
      </c>
      <c r="S284" s="8">
        <f>VLOOKUP($B284,floorspace!$B$4:$O$12,'shell factors calc'!S$2+1,FALSE)</f>
        <v>325.72094700000002</v>
      </c>
      <c r="T284" s="8">
        <f>VLOOKUP($B284,floorspace!$B$4:$O$12,'shell factors calc'!T$2+1,FALSE)</f>
        <v>885.83789100000001</v>
      </c>
      <c r="U284" s="8">
        <f>VLOOKUP($B284,floorspace!$B$4:$O$12,'shell factors calc'!U$2+1,FALSE)</f>
        <v>1391.6861570000001</v>
      </c>
      <c r="V284" s="8">
        <f>VLOOKUP($B284,floorspace!$B$4:$O$12,'shell factors calc'!V$2+1,FALSE)</f>
        <v>952.37109399999997</v>
      </c>
      <c r="W284" s="8">
        <f>VLOOKUP($B284,floorspace!$B$4:$O$12,'shell factors calc'!W$2+1,FALSE)</f>
        <v>1766.4886469999999</v>
      </c>
      <c r="X284" s="8">
        <f>VLOOKUP($B284,floorspace!$B$4:$O$12,'shell factors calc'!X$2+1,FALSE)</f>
        <v>2912.772461</v>
      </c>
      <c r="Y284" s="8">
        <f>VLOOKUP($B284,floorspace!$B$4:$O$12,'shell factors calc'!Y$2+1,FALSE)</f>
        <v>529.23895300000004</v>
      </c>
      <c r="Z284">
        <f t="shared" si="4"/>
        <v>0.67640216419067578</v>
      </c>
    </row>
    <row r="285" spans="1:26" x14ac:dyDescent="0.2">
      <c r="A285" s="5" t="s">
        <v>45</v>
      </c>
      <c r="B285" s="5" t="s">
        <v>44</v>
      </c>
      <c r="C285" s="6" t="s">
        <v>31</v>
      </c>
      <c r="D285" s="7">
        <v>0.68492900000000001</v>
      </c>
      <c r="E285">
        <v>0.61867499999999997</v>
      </c>
      <c r="F285">
        <v>0.70773699999999995</v>
      </c>
      <c r="G285">
        <v>0.30838500000000002</v>
      </c>
      <c r="H285">
        <v>0.79705199999999998</v>
      </c>
      <c r="I285">
        <v>0.58367599999999997</v>
      </c>
      <c r="J285">
        <v>0.59899000000000002</v>
      </c>
      <c r="K285">
        <v>0.74414199999999997</v>
      </c>
      <c r="L285">
        <v>0.84900500000000001</v>
      </c>
      <c r="M285">
        <v>0.64233300000000004</v>
      </c>
      <c r="N285">
        <v>0.63239299999999998</v>
      </c>
      <c r="O285" s="8">
        <f>VLOOKUP($B285,floorspace!$B$4:$O$12,'shell factors calc'!O$2+1,FALSE)</f>
        <v>1426.487427</v>
      </c>
      <c r="P285" s="8">
        <f>VLOOKUP($B285,floorspace!$B$4:$O$12,'shell factors calc'!P$2+1,FALSE)</f>
        <v>1360.7664789999999</v>
      </c>
      <c r="Q285" s="8">
        <f>VLOOKUP($B285,floorspace!$B$4:$O$12,'shell factors calc'!Q$2+1,FALSE)</f>
        <v>115.483704</v>
      </c>
      <c r="R285" s="8">
        <f>VLOOKUP($B285,floorspace!$B$4:$O$12,'shell factors calc'!R$2+1,FALSE)</f>
        <v>190.85375999999999</v>
      </c>
      <c r="S285" s="8">
        <f>VLOOKUP($B285,floorspace!$B$4:$O$12,'shell factors calc'!S$2+1,FALSE)</f>
        <v>325.72094700000002</v>
      </c>
      <c r="T285" s="8">
        <f>VLOOKUP($B285,floorspace!$B$4:$O$12,'shell factors calc'!T$2+1,FALSE)</f>
        <v>885.83789100000001</v>
      </c>
      <c r="U285" s="8">
        <f>VLOOKUP($B285,floorspace!$B$4:$O$12,'shell factors calc'!U$2+1,FALSE)</f>
        <v>1391.6861570000001</v>
      </c>
      <c r="V285" s="8">
        <f>VLOOKUP($B285,floorspace!$B$4:$O$12,'shell factors calc'!V$2+1,FALSE)</f>
        <v>952.37109399999997</v>
      </c>
      <c r="W285" s="8">
        <f>VLOOKUP($B285,floorspace!$B$4:$O$12,'shell factors calc'!W$2+1,FALSE)</f>
        <v>1766.4886469999999</v>
      </c>
      <c r="X285" s="8">
        <f>VLOOKUP($B285,floorspace!$B$4:$O$12,'shell factors calc'!X$2+1,FALSE)</f>
        <v>2912.772461</v>
      </c>
      <c r="Y285" s="8">
        <f>VLOOKUP($B285,floorspace!$B$4:$O$12,'shell factors calc'!Y$2+1,FALSE)</f>
        <v>529.23895300000004</v>
      </c>
      <c r="Z285">
        <f t="shared" si="4"/>
        <v>0.67330739680354934</v>
      </c>
    </row>
    <row r="286" spans="1:26" x14ac:dyDescent="0.2">
      <c r="A286" s="5" t="s">
        <v>45</v>
      </c>
      <c r="B286" s="5" t="s">
        <v>44</v>
      </c>
      <c r="C286" s="6" t="s">
        <v>32</v>
      </c>
      <c r="D286" s="7">
        <v>0.68058799999999997</v>
      </c>
      <c r="E286">
        <v>0.61336100000000005</v>
      </c>
      <c r="F286">
        <v>0.70392500000000002</v>
      </c>
      <c r="G286">
        <v>0.29929800000000001</v>
      </c>
      <c r="H286">
        <v>0.79388899999999996</v>
      </c>
      <c r="I286">
        <v>0.57709200000000005</v>
      </c>
      <c r="J286">
        <v>0.59296800000000005</v>
      </c>
      <c r="K286">
        <v>0.74066900000000002</v>
      </c>
      <c r="L286">
        <v>0.846835</v>
      </c>
      <c r="M286">
        <v>0.64389399999999997</v>
      </c>
      <c r="N286">
        <v>0.62692300000000001</v>
      </c>
      <c r="O286" s="8">
        <f>VLOOKUP($B286,floorspace!$B$4:$O$12,'shell factors calc'!O$2+1,FALSE)</f>
        <v>1426.487427</v>
      </c>
      <c r="P286" s="8">
        <f>VLOOKUP($B286,floorspace!$B$4:$O$12,'shell factors calc'!P$2+1,FALSE)</f>
        <v>1360.7664789999999</v>
      </c>
      <c r="Q286" s="8">
        <f>VLOOKUP($B286,floorspace!$B$4:$O$12,'shell factors calc'!Q$2+1,FALSE)</f>
        <v>115.483704</v>
      </c>
      <c r="R286" s="8">
        <f>VLOOKUP($B286,floorspace!$B$4:$O$12,'shell factors calc'!R$2+1,FALSE)</f>
        <v>190.85375999999999</v>
      </c>
      <c r="S286" s="8">
        <f>VLOOKUP($B286,floorspace!$B$4:$O$12,'shell factors calc'!S$2+1,FALSE)</f>
        <v>325.72094700000002</v>
      </c>
      <c r="T286" s="8">
        <f>VLOOKUP($B286,floorspace!$B$4:$O$12,'shell factors calc'!T$2+1,FALSE)</f>
        <v>885.83789100000001</v>
      </c>
      <c r="U286" s="8">
        <f>VLOOKUP($B286,floorspace!$B$4:$O$12,'shell factors calc'!U$2+1,FALSE)</f>
        <v>1391.6861570000001</v>
      </c>
      <c r="V286" s="8">
        <f>VLOOKUP($B286,floorspace!$B$4:$O$12,'shell factors calc'!V$2+1,FALSE)</f>
        <v>952.37109399999997</v>
      </c>
      <c r="W286" s="8">
        <f>VLOOKUP($B286,floorspace!$B$4:$O$12,'shell factors calc'!W$2+1,FALSE)</f>
        <v>1766.4886469999999</v>
      </c>
      <c r="X286" s="8">
        <f>VLOOKUP($B286,floorspace!$B$4:$O$12,'shell factors calc'!X$2+1,FALSE)</f>
        <v>2912.772461</v>
      </c>
      <c r="Y286" s="8">
        <f>VLOOKUP($B286,floorspace!$B$4:$O$12,'shell factors calc'!Y$2+1,FALSE)</f>
        <v>529.23895300000004</v>
      </c>
      <c r="Z286">
        <f t="shared" si="4"/>
        <v>0.67024354003128506</v>
      </c>
    </row>
    <row r="287" spans="1:26" x14ac:dyDescent="0.2">
      <c r="A287" s="5" t="s">
        <v>45</v>
      </c>
      <c r="B287" s="5" t="s">
        <v>44</v>
      </c>
      <c r="C287" s="6" t="s">
        <v>33</v>
      </c>
      <c r="D287" s="7">
        <v>0.67627499999999996</v>
      </c>
      <c r="E287">
        <v>0.60809299999999999</v>
      </c>
      <c r="F287">
        <v>0.70013300000000001</v>
      </c>
      <c r="G287">
        <v>0.29047899999999999</v>
      </c>
      <c r="H287">
        <v>0.79073800000000005</v>
      </c>
      <c r="I287">
        <v>0.57058200000000003</v>
      </c>
      <c r="J287">
        <v>0.58700699999999995</v>
      </c>
      <c r="K287">
        <v>0.73721300000000001</v>
      </c>
      <c r="L287">
        <v>0.84467099999999995</v>
      </c>
      <c r="M287">
        <v>0.64546000000000003</v>
      </c>
      <c r="N287">
        <v>0.62150000000000005</v>
      </c>
      <c r="O287" s="8">
        <f>VLOOKUP($B287,floorspace!$B$4:$O$12,'shell factors calc'!O$2+1,FALSE)</f>
        <v>1426.487427</v>
      </c>
      <c r="P287" s="8">
        <f>VLOOKUP($B287,floorspace!$B$4:$O$12,'shell factors calc'!P$2+1,FALSE)</f>
        <v>1360.7664789999999</v>
      </c>
      <c r="Q287" s="8">
        <f>VLOOKUP($B287,floorspace!$B$4:$O$12,'shell factors calc'!Q$2+1,FALSE)</f>
        <v>115.483704</v>
      </c>
      <c r="R287" s="8">
        <f>VLOOKUP($B287,floorspace!$B$4:$O$12,'shell factors calc'!R$2+1,FALSE)</f>
        <v>190.85375999999999</v>
      </c>
      <c r="S287" s="8">
        <f>VLOOKUP($B287,floorspace!$B$4:$O$12,'shell factors calc'!S$2+1,FALSE)</f>
        <v>325.72094700000002</v>
      </c>
      <c r="T287" s="8">
        <f>VLOOKUP($B287,floorspace!$B$4:$O$12,'shell factors calc'!T$2+1,FALSE)</f>
        <v>885.83789100000001</v>
      </c>
      <c r="U287" s="8">
        <f>VLOOKUP($B287,floorspace!$B$4:$O$12,'shell factors calc'!U$2+1,FALSE)</f>
        <v>1391.6861570000001</v>
      </c>
      <c r="V287" s="8">
        <f>VLOOKUP($B287,floorspace!$B$4:$O$12,'shell factors calc'!V$2+1,FALSE)</f>
        <v>952.37109399999997</v>
      </c>
      <c r="W287" s="8">
        <f>VLOOKUP($B287,floorspace!$B$4:$O$12,'shell factors calc'!W$2+1,FALSE)</f>
        <v>1766.4886469999999</v>
      </c>
      <c r="X287" s="8">
        <f>VLOOKUP($B287,floorspace!$B$4:$O$12,'shell factors calc'!X$2+1,FALSE)</f>
        <v>2912.772461</v>
      </c>
      <c r="Y287" s="8">
        <f>VLOOKUP($B287,floorspace!$B$4:$O$12,'shell factors calc'!Y$2+1,FALSE)</f>
        <v>529.23895300000004</v>
      </c>
      <c r="Z287">
        <f t="shared" si="4"/>
        <v>0.66721144118790932</v>
      </c>
    </row>
    <row r="288" spans="1:26" x14ac:dyDescent="0.2">
      <c r="A288" s="5" t="s">
        <v>45</v>
      </c>
      <c r="B288" s="5" t="s">
        <v>44</v>
      </c>
      <c r="C288" s="6" t="s">
        <v>34</v>
      </c>
      <c r="D288" s="7">
        <v>0.67198999999999998</v>
      </c>
      <c r="E288">
        <v>0.60287100000000005</v>
      </c>
      <c r="F288">
        <v>0.69636200000000004</v>
      </c>
      <c r="G288">
        <v>0.28192</v>
      </c>
      <c r="H288">
        <v>0.78759900000000005</v>
      </c>
      <c r="I288">
        <v>0.56414600000000004</v>
      </c>
      <c r="J288">
        <v>0.58110499999999998</v>
      </c>
      <c r="K288">
        <v>0.73377199999999998</v>
      </c>
      <c r="L288">
        <v>0.84251100000000001</v>
      </c>
      <c r="M288">
        <v>0.64702899999999997</v>
      </c>
      <c r="N288">
        <v>0.61612299999999998</v>
      </c>
      <c r="O288" s="8">
        <f>VLOOKUP($B288,floorspace!$B$4:$O$12,'shell factors calc'!O$2+1,FALSE)</f>
        <v>1426.487427</v>
      </c>
      <c r="P288" s="8">
        <f>VLOOKUP($B288,floorspace!$B$4:$O$12,'shell factors calc'!P$2+1,FALSE)</f>
        <v>1360.7664789999999</v>
      </c>
      <c r="Q288" s="8">
        <f>VLOOKUP($B288,floorspace!$B$4:$O$12,'shell factors calc'!Q$2+1,FALSE)</f>
        <v>115.483704</v>
      </c>
      <c r="R288" s="8">
        <f>VLOOKUP($B288,floorspace!$B$4:$O$12,'shell factors calc'!R$2+1,FALSE)</f>
        <v>190.85375999999999</v>
      </c>
      <c r="S288" s="8">
        <f>VLOOKUP($B288,floorspace!$B$4:$O$12,'shell factors calc'!S$2+1,FALSE)</f>
        <v>325.72094700000002</v>
      </c>
      <c r="T288" s="8">
        <f>VLOOKUP($B288,floorspace!$B$4:$O$12,'shell factors calc'!T$2+1,FALSE)</f>
        <v>885.83789100000001</v>
      </c>
      <c r="U288" s="8">
        <f>VLOOKUP($B288,floorspace!$B$4:$O$12,'shell factors calc'!U$2+1,FALSE)</f>
        <v>1391.6861570000001</v>
      </c>
      <c r="V288" s="8">
        <f>VLOOKUP($B288,floorspace!$B$4:$O$12,'shell factors calc'!V$2+1,FALSE)</f>
        <v>952.37109399999997</v>
      </c>
      <c r="W288" s="8">
        <f>VLOOKUP($B288,floorspace!$B$4:$O$12,'shell factors calc'!W$2+1,FALSE)</f>
        <v>1766.4886469999999</v>
      </c>
      <c r="X288" s="8">
        <f>VLOOKUP($B288,floorspace!$B$4:$O$12,'shell factors calc'!X$2+1,FALSE)</f>
        <v>2912.772461</v>
      </c>
      <c r="Y288" s="8">
        <f>VLOOKUP($B288,floorspace!$B$4:$O$12,'shell factors calc'!Y$2+1,FALSE)</f>
        <v>529.23895300000004</v>
      </c>
      <c r="Z288">
        <f t="shared" si="4"/>
        <v>0.66420975201769727</v>
      </c>
    </row>
    <row r="289" spans="1:26" x14ac:dyDescent="0.2">
      <c r="A289" s="5" t="s">
        <v>45</v>
      </c>
      <c r="B289" s="5" t="s">
        <v>44</v>
      </c>
      <c r="C289" s="6" t="s">
        <v>35</v>
      </c>
      <c r="D289" s="7">
        <v>0.66773099999999996</v>
      </c>
      <c r="E289">
        <v>0.59769300000000003</v>
      </c>
      <c r="F289">
        <v>0.69261099999999998</v>
      </c>
      <c r="G289">
        <v>0.27361200000000002</v>
      </c>
      <c r="H289">
        <v>0.78447299999999998</v>
      </c>
      <c r="I289">
        <v>0.557782</v>
      </c>
      <c r="J289">
        <v>0.57526299999999997</v>
      </c>
      <c r="K289">
        <v>0.730348</v>
      </c>
      <c r="L289">
        <v>0.84035800000000005</v>
      </c>
      <c r="M289">
        <v>0.64860300000000004</v>
      </c>
      <c r="N289">
        <v>0.61079399999999995</v>
      </c>
      <c r="O289" s="8">
        <f>VLOOKUP($B289,floorspace!$B$4:$O$12,'shell factors calc'!O$2+1,FALSE)</f>
        <v>1426.487427</v>
      </c>
      <c r="P289" s="8">
        <f>VLOOKUP($B289,floorspace!$B$4:$O$12,'shell factors calc'!P$2+1,FALSE)</f>
        <v>1360.7664789999999</v>
      </c>
      <c r="Q289" s="8">
        <f>VLOOKUP($B289,floorspace!$B$4:$O$12,'shell factors calc'!Q$2+1,FALSE)</f>
        <v>115.483704</v>
      </c>
      <c r="R289" s="8">
        <f>VLOOKUP($B289,floorspace!$B$4:$O$12,'shell factors calc'!R$2+1,FALSE)</f>
        <v>190.85375999999999</v>
      </c>
      <c r="S289" s="8">
        <f>VLOOKUP($B289,floorspace!$B$4:$O$12,'shell factors calc'!S$2+1,FALSE)</f>
        <v>325.72094700000002</v>
      </c>
      <c r="T289" s="8">
        <f>VLOOKUP($B289,floorspace!$B$4:$O$12,'shell factors calc'!T$2+1,FALSE)</f>
        <v>885.83789100000001</v>
      </c>
      <c r="U289" s="8">
        <f>VLOOKUP($B289,floorspace!$B$4:$O$12,'shell factors calc'!U$2+1,FALSE)</f>
        <v>1391.6861570000001</v>
      </c>
      <c r="V289" s="8">
        <f>VLOOKUP($B289,floorspace!$B$4:$O$12,'shell factors calc'!V$2+1,FALSE)</f>
        <v>952.37109399999997</v>
      </c>
      <c r="W289" s="8">
        <f>VLOOKUP($B289,floorspace!$B$4:$O$12,'shell factors calc'!W$2+1,FALSE)</f>
        <v>1766.4886469999999</v>
      </c>
      <c r="X289" s="8">
        <f>VLOOKUP($B289,floorspace!$B$4:$O$12,'shell factors calc'!X$2+1,FALSE)</f>
        <v>2912.772461</v>
      </c>
      <c r="Y289" s="8">
        <f>VLOOKUP($B289,floorspace!$B$4:$O$12,'shell factors calc'!Y$2+1,FALSE)</f>
        <v>529.23895300000004</v>
      </c>
      <c r="Z289">
        <f t="shared" si="4"/>
        <v>0.66123903133751227</v>
      </c>
    </row>
    <row r="290" spans="1:26" x14ac:dyDescent="0.2">
      <c r="A290" s="5" t="s">
        <v>45</v>
      </c>
      <c r="B290" s="1" t="s">
        <v>44</v>
      </c>
      <c r="C290" s="2" t="s">
        <v>36</v>
      </c>
      <c r="D290" s="4">
        <v>0.66349999999999998</v>
      </c>
      <c r="E290">
        <v>0.59255999999999998</v>
      </c>
      <c r="F290">
        <v>0.68888000000000005</v>
      </c>
      <c r="G290">
        <v>0.26555000000000001</v>
      </c>
      <c r="H290">
        <v>0.78136000000000005</v>
      </c>
      <c r="I290">
        <v>0.55149000000000004</v>
      </c>
      <c r="J290">
        <v>0.56947999999999999</v>
      </c>
      <c r="K290">
        <v>0.72694000000000003</v>
      </c>
      <c r="L290">
        <v>0.83821000000000001</v>
      </c>
      <c r="M290">
        <v>0.65017999999999998</v>
      </c>
      <c r="N290">
        <v>0.60550999999999999</v>
      </c>
      <c r="O290" s="8">
        <f>VLOOKUP($B290,floorspace!$B$4:$O$12,'shell factors calc'!O$2+1,FALSE)</f>
        <v>1426.487427</v>
      </c>
      <c r="P290" s="8">
        <f>VLOOKUP($B290,floorspace!$B$4:$O$12,'shell factors calc'!P$2+1,FALSE)</f>
        <v>1360.7664789999999</v>
      </c>
      <c r="Q290" s="8">
        <f>VLOOKUP($B290,floorspace!$B$4:$O$12,'shell factors calc'!Q$2+1,FALSE)</f>
        <v>115.483704</v>
      </c>
      <c r="R290" s="8">
        <f>VLOOKUP($B290,floorspace!$B$4:$O$12,'shell factors calc'!R$2+1,FALSE)</f>
        <v>190.85375999999999</v>
      </c>
      <c r="S290" s="8">
        <f>VLOOKUP($B290,floorspace!$B$4:$O$12,'shell factors calc'!S$2+1,FALSE)</f>
        <v>325.72094700000002</v>
      </c>
      <c r="T290" s="8">
        <f>VLOOKUP($B290,floorspace!$B$4:$O$12,'shell factors calc'!T$2+1,FALSE)</f>
        <v>885.83789100000001</v>
      </c>
      <c r="U290" s="8">
        <f>VLOOKUP($B290,floorspace!$B$4:$O$12,'shell factors calc'!U$2+1,FALSE)</f>
        <v>1391.6861570000001</v>
      </c>
      <c r="V290" s="8">
        <f>VLOOKUP($B290,floorspace!$B$4:$O$12,'shell factors calc'!V$2+1,FALSE)</f>
        <v>952.37109399999997</v>
      </c>
      <c r="W290" s="8">
        <f>VLOOKUP($B290,floorspace!$B$4:$O$12,'shell factors calc'!W$2+1,FALSE)</f>
        <v>1766.4886469999999</v>
      </c>
      <c r="X290" s="8">
        <f>VLOOKUP($B290,floorspace!$B$4:$O$12,'shell factors calc'!X$2+1,FALSE)</f>
        <v>2912.772461</v>
      </c>
      <c r="Y290" s="8">
        <f>VLOOKUP($B290,floorspace!$B$4:$O$12,'shell factors calc'!Y$2+1,FALSE)</f>
        <v>529.23895300000004</v>
      </c>
      <c r="Z290">
        <f t="shared" si="4"/>
        <v>0.6582984332145484</v>
      </c>
    </row>
    <row r="291" spans="1:26" x14ac:dyDescent="0.2">
      <c r="A291" s="5" t="s">
        <v>46</v>
      </c>
      <c r="B291" s="5" t="s">
        <v>4</v>
      </c>
      <c r="C291" s="6" t="s">
        <v>5</v>
      </c>
      <c r="D291" s="7">
        <v>0.56707399999999997</v>
      </c>
      <c r="E291">
        <v>0.56582200000000005</v>
      </c>
      <c r="F291">
        <v>0.86586799999999997</v>
      </c>
      <c r="G291">
        <v>0.72128599999999998</v>
      </c>
      <c r="H291">
        <v>0.68542800000000004</v>
      </c>
      <c r="I291">
        <v>0.65232299999999999</v>
      </c>
      <c r="J291">
        <v>0.61919999999999997</v>
      </c>
      <c r="K291">
        <v>0.60789800000000005</v>
      </c>
      <c r="L291">
        <v>0.55439700000000003</v>
      </c>
      <c r="M291">
        <v>0.63217900000000005</v>
      </c>
      <c r="N291">
        <v>0.61289000000000005</v>
      </c>
      <c r="O291" s="8">
        <f>VLOOKUP($B291,floorspace!$B$4:$O$12,'shell factors calc'!O$2+1,FALSE)</f>
        <v>493.03372200000001</v>
      </c>
      <c r="P291" s="8">
        <f>VLOOKUP($B291,floorspace!$B$4:$O$12,'shell factors calc'!P$2+1,FALSE)</f>
        <v>613.36340299999995</v>
      </c>
      <c r="Q291" s="8">
        <f>VLOOKUP($B291,floorspace!$B$4:$O$12,'shell factors calc'!Q$2+1,FALSE)</f>
        <v>83.332572999999996</v>
      </c>
      <c r="R291" s="8">
        <f>VLOOKUP($B291,floorspace!$B$4:$O$12,'shell factors calc'!R$2+1,FALSE)</f>
        <v>59.808208</v>
      </c>
      <c r="S291" s="8">
        <f>VLOOKUP($B291,floorspace!$B$4:$O$12,'shell factors calc'!S$2+1,FALSE)</f>
        <v>89.040115</v>
      </c>
      <c r="T291" s="8">
        <f>VLOOKUP($B291,floorspace!$B$4:$O$12,'shell factors calc'!T$2+1,FALSE)</f>
        <v>316.81848100000002</v>
      </c>
      <c r="U291" s="8">
        <f>VLOOKUP($B291,floorspace!$B$4:$O$12,'shell factors calc'!U$2+1,FALSE)</f>
        <v>318.18734699999999</v>
      </c>
      <c r="V291" s="8">
        <f>VLOOKUP($B291,floorspace!$B$4:$O$12,'shell factors calc'!V$2+1,FALSE)</f>
        <v>237.53892500000001</v>
      </c>
      <c r="W291" s="8">
        <f>VLOOKUP($B291,floorspace!$B$4:$O$12,'shell factors calc'!W$2+1,FALSE)</f>
        <v>666.73236099999997</v>
      </c>
      <c r="X291" s="8">
        <f>VLOOKUP($B291,floorspace!$B$4:$O$12,'shell factors calc'!X$2+1,FALSE)</f>
        <v>461.64859000000001</v>
      </c>
      <c r="Y291" s="8">
        <f>VLOOKUP($B291,floorspace!$B$4:$O$12,'shell factors calc'!Y$2+1,FALSE)</f>
        <v>364.49435399999999</v>
      </c>
      <c r="Z291">
        <f t="shared" si="4"/>
        <v>0.60365270661231529</v>
      </c>
    </row>
    <row r="292" spans="1:26" x14ac:dyDescent="0.2">
      <c r="A292" s="5" t="s">
        <v>46</v>
      </c>
      <c r="B292" s="5" t="s">
        <v>4</v>
      </c>
      <c r="C292" s="6" t="s">
        <v>6</v>
      </c>
      <c r="D292" s="7">
        <v>0.55754000000000004</v>
      </c>
      <c r="E292">
        <v>0.55620000000000003</v>
      </c>
      <c r="F292">
        <v>0.85475999999999996</v>
      </c>
      <c r="G292">
        <v>0.71545000000000003</v>
      </c>
      <c r="H292">
        <v>0.67706</v>
      </c>
      <c r="I292">
        <v>0.64271999999999996</v>
      </c>
      <c r="J292">
        <v>0.60963000000000001</v>
      </c>
      <c r="K292">
        <v>0.59960000000000002</v>
      </c>
      <c r="L292">
        <v>0.54407000000000005</v>
      </c>
      <c r="M292">
        <v>0.62185000000000001</v>
      </c>
      <c r="N292">
        <v>0.60336000000000001</v>
      </c>
      <c r="O292" s="8">
        <f>VLOOKUP($B292,floorspace!$B$4:$O$12,'shell factors calc'!O$2+1,FALSE)</f>
        <v>493.03372200000001</v>
      </c>
      <c r="P292" s="8">
        <f>VLOOKUP($B292,floorspace!$B$4:$O$12,'shell factors calc'!P$2+1,FALSE)</f>
        <v>613.36340299999995</v>
      </c>
      <c r="Q292" s="8">
        <f>VLOOKUP($B292,floorspace!$B$4:$O$12,'shell factors calc'!Q$2+1,FALSE)</f>
        <v>83.332572999999996</v>
      </c>
      <c r="R292" s="8">
        <f>VLOOKUP($B292,floorspace!$B$4:$O$12,'shell factors calc'!R$2+1,FALSE)</f>
        <v>59.808208</v>
      </c>
      <c r="S292" s="8">
        <f>VLOOKUP($B292,floorspace!$B$4:$O$12,'shell factors calc'!S$2+1,FALSE)</f>
        <v>89.040115</v>
      </c>
      <c r="T292" s="8">
        <f>VLOOKUP($B292,floorspace!$B$4:$O$12,'shell factors calc'!T$2+1,FALSE)</f>
        <v>316.81848100000002</v>
      </c>
      <c r="U292" s="8">
        <f>VLOOKUP($B292,floorspace!$B$4:$O$12,'shell factors calc'!U$2+1,FALSE)</f>
        <v>318.18734699999999</v>
      </c>
      <c r="V292" s="8">
        <f>VLOOKUP($B292,floorspace!$B$4:$O$12,'shell factors calc'!V$2+1,FALSE)</f>
        <v>237.53892500000001</v>
      </c>
      <c r="W292" s="8">
        <f>VLOOKUP($B292,floorspace!$B$4:$O$12,'shell factors calc'!W$2+1,FALSE)</f>
        <v>666.73236099999997</v>
      </c>
      <c r="X292" s="8">
        <f>VLOOKUP($B292,floorspace!$B$4:$O$12,'shell factors calc'!X$2+1,FALSE)</f>
        <v>461.64859000000001</v>
      </c>
      <c r="Y292" s="8">
        <f>VLOOKUP($B292,floorspace!$B$4:$O$12,'shell factors calc'!Y$2+1,FALSE)</f>
        <v>364.49435399999999</v>
      </c>
      <c r="Z292">
        <f t="shared" si="4"/>
        <v>0.59398529983568071</v>
      </c>
    </row>
    <row r="293" spans="1:26" x14ac:dyDescent="0.2">
      <c r="A293" s="5" t="s">
        <v>46</v>
      </c>
      <c r="B293" s="5" t="s">
        <v>4</v>
      </c>
      <c r="C293" s="6" t="s">
        <v>7</v>
      </c>
      <c r="D293" s="7">
        <v>0.54712000000000005</v>
      </c>
      <c r="E293">
        <v>0.54567200000000005</v>
      </c>
      <c r="F293">
        <v>0.84535700000000003</v>
      </c>
      <c r="G293">
        <v>0.70938000000000001</v>
      </c>
      <c r="H293">
        <v>0.668153</v>
      </c>
      <c r="I293">
        <v>0.63235600000000003</v>
      </c>
      <c r="J293">
        <v>0.59925099999999998</v>
      </c>
      <c r="K293">
        <v>0.59069700000000003</v>
      </c>
      <c r="L293">
        <v>0.53266199999999997</v>
      </c>
      <c r="M293">
        <v>0.61059200000000002</v>
      </c>
      <c r="N293">
        <v>0.59301499999999996</v>
      </c>
      <c r="O293" s="8">
        <f>VLOOKUP($B293,floorspace!$B$4:$O$12,'shell factors calc'!O$2+1,FALSE)</f>
        <v>493.03372200000001</v>
      </c>
      <c r="P293" s="8">
        <f>VLOOKUP($B293,floorspace!$B$4:$O$12,'shell factors calc'!P$2+1,FALSE)</f>
        <v>613.36340299999995</v>
      </c>
      <c r="Q293" s="8">
        <f>VLOOKUP($B293,floorspace!$B$4:$O$12,'shell factors calc'!Q$2+1,FALSE)</f>
        <v>83.332572999999996</v>
      </c>
      <c r="R293" s="8">
        <f>VLOOKUP($B293,floorspace!$B$4:$O$12,'shell factors calc'!R$2+1,FALSE)</f>
        <v>59.808208</v>
      </c>
      <c r="S293" s="8">
        <f>VLOOKUP($B293,floorspace!$B$4:$O$12,'shell factors calc'!S$2+1,FALSE)</f>
        <v>89.040115</v>
      </c>
      <c r="T293" s="8">
        <f>VLOOKUP($B293,floorspace!$B$4:$O$12,'shell factors calc'!T$2+1,FALSE)</f>
        <v>316.81848100000002</v>
      </c>
      <c r="U293" s="8">
        <f>VLOOKUP($B293,floorspace!$B$4:$O$12,'shell factors calc'!U$2+1,FALSE)</f>
        <v>318.18734699999999</v>
      </c>
      <c r="V293" s="8">
        <f>VLOOKUP($B293,floorspace!$B$4:$O$12,'shell factors calc'!V$2+1,FALSE)</f>
        <v>237.53892500000001</v>
      </c>
      <c r="W293" s="8">
        <f>VLOOKUP($B293,floorspace!$B$4:$O$12,'shell factors calc'!W$2+1,FALSE)</f>
        <v>666.73236099999997</v>
      </c>
      <c r="X293" s="8">
        <f>VLOOKUP($B293,floorspace!$B$4:$O$12,'shell factors calc'!X$2+1,FALSE)</f>
        <v>461.64859000000001</v>
      </c>
      <c r="Y293" s="8">
        <f>VLOOKUP($B293,floorspace!$B$4:$O$12,'shell factors calc'!Y$2+1,FALSE)</f>
        <v>364.49435399999999</v>
      </c>
      <c r="Z293">
        <f t="shared" si="4"/>
        <v>0.58350759662780105</v>
      </c>
    </row>
    <row r="294" spans="1:26" x14ac:dyDescent="0.2">
      <c r="A294" s="5" t="s">
        <v>46</v>
      </c>
      <c r="B294" s="5" t="s">
        <v>4</v>
      </c>
      <c r="C294" s="6" t="s">
        <v>8</v>
      </c>
      <c r="D294" s="7">
        <v>0.53689500000000001</v>
      </c>
      <c r="E294">
        <v>0.53534300000000001</v>
      </c>
      <c r="F294">
        <v>0.83605700000000005</v>
      </c>
      <c r="G294">
        <v>0.70336200000000004</v>
      </c>
      <c r="H294">
        <v>0.65936300000000003</v>
      </c>
      <c r="I294">
        <v>0.62216000000000005</v>
      </c>
      <c r="J294">
        <v>0.58904800000000002</v>
      </c>
      <c r="K294">
        <v>0.58192600000000005</v>
      </c>
      <c r="L294">
        <v>0.52149199999999996</v>
      </c>
      <c r="M294">
        <v>0.59953699999999999</v>
      </c>
      <c r="N294">
        <v>0.58284800000000003</v>
      </c>
      <c r="O294" s="8">
        <f>VLOOKUP($B294,floorspace!$B$4:$O$12,'shell factors calc'!O$2+1,FALSE)</f>
        <v>493.03372200000001</v>
      </c>
      <c r="P294" s="8">
        <f>VLOOKUP($B294,floorspace!$B$4:$O$12,'shell factors calc'!P$2+1,FALSE)</f>
        <v>613.36340299999995</v>
      </c>
      <c r="Q294" s="8">
        <f>VLOOKUP($B294,floorspace!$B$4:$O$12,'shell factors calc'!Q$2+1,FALSE)</f>
        <v>83.332572999999996</v>
      </c>
      <c r="R294" s="8">
        <f>VLOOKUP($B294,floorspace!$B$4:$O$12,'shell factors calc'!R$2+1,FALSE)</f>
        <v>59.808208</v>
      </c>
      <c r="S294" s="8">
        <f>VLOOKUP($B294,floorspace!$B$4:$O$12,'shell factors calc'!S$2+1,FALSE)</f>
        <v>89.040115</v>
      </c>
      <c r="T294" s="8">
        <f>VLOOKUP($B294,floorspace!$B$4:$O$12,'shell factors calc'!T$2+1,FALSE)</f>
        <v>316.81848100000002</v>
      </c>
      <c r="U294" s="8">
        <f>VLOOKUP($B294,floorspace!$B$4:$O$12,'shell factors calc'!U$2+1,FALSE)</f>
        <v>318.18734699999999</v>
      </c>
      <c r="V294" s="8">
        <f>VLOOKUP($B294,floorspace!$B$4:$O$12,'shell factors calc'!V$2+1,FALSE)</f>
        <v>237.53892500000001</v>
      </c>
      <c r="W294" s="8">
        <f>VLOOKUP($B294,floorspace!$B$4:$O$12,'shell factors calc'!W$2+1,FALSE)</f>
        <v>666.73236099999997</v>
      </c>
      <c r="X294" s="8">
        <f>VLOOKUP($B294,floorspace!$B$4:$O$12,'shell factors calc'!X$2+1,FALSE)</f>
        <v>461.64859000000001</v>
      </c>
      <c r="Y294" s="8">
        <f>VLOOKUP($B294,floorspace!$B$4:$O$12,'shell factors calc'!Y$2+1,FALSE)</f>
        <v>364.49435399999999</v>
      </c>
      <c r="Z294">
        <f t="shared" si="4"/>
        <v>0.57321838445854156</v>
      </c>
    </row>
    <row r="295" spans="1:26" x14ac:dyDescent="0.2">
      <c r="A295" s="5" t="s">
        <v>46</v>
      </c>
      <c r="B295" s="5" t="s">
        <v>4</v>
      </c>
      <c r="C295" s="6" t="s">
        <v>9</v>
      </c>
      <c r="D295" s="7">
        <v>0.52685999999999999</v>
      </c>
      <c r="E295">
        <v>0.52520999999999995</v>
      </c>
      <c r="F295">
        <v>0.82686000000000004</v>
      </c>
      <c r="G295">
        <v>0.69739499999999999</v>
      </c>
      <c r="H295">
        <v>0.65068800000000004</v>
      </c>
      <c r="I295">
        <v>0.61212800000000001</v>
      </c>
      <c r="J295">
        <v>0.57901999999999998</v>
      </c>
      <c r="K295">
        <v>0.57328599999999996</v>
      </c>
      <c r="L295">
        <v>0.51055700000000004</v>
      </c>
      <c r="M295">
        <v>0.58868299999999996</v>
      </c>
      <c r="N295">
        <v>0.572855</v>
      </c>
      <c r="O295" s="8">
        <f>VLOOKUP($B295,floorspace!$B$4:$O$12,'shell factors calc'!O$2+1,FALSE)</f>
        <v>493.03372200000001</v>
      </c>
      <c r="P295" s="8">
        <f>VLOOKUP($B295,floorspace!$B$4:$O$12,'shell factors calc'!P$2+1,FALSE)</f>
        <v>613.36340299999995</v>
      </c>
      <c r="Q295" s="8">
        <f>VLOOKUP($B295,floorspace!$B$4:$O$12,'shell factors calc'!Q$2+1,FALSE)</f>
        <v>83.332572999999996</v>
      </c>
      <c r="R295" s="8">
        <f>VLOOKUP($B295,floorspace!$B$4:$O$12,'shell factors calc'!R$2+1,FALSE)</f>
        <v>59.808208</v>
      </c>
      <c r="S295" s="8">
        <f>VLOOKUP($B295,floorspace!$B$4:$O$12,'shell factors calc'!S$2+1,FALSE)</f>
        <v>89.040115</v>
      </c>
      <c r="T295" s="8">
        <f>VLOOKUP($B295,floorspace!$B$4:$O$12,'shell factors calc'!T$2+1,FALSE)</f>
        <v>316.81848100000002</v>
      </c>
      <c r="U295" s="8">
        <f>VLOOKUP($B295,floorspace!$B$4:$O$12,'shell factors calc'!U$2+1,FALSE)</f>
        <v>318.18734699999999</v>
      </c>
      <c r="V295" s="8">
        <f>VLOOKUP($B295,floorspace!$B$4:$O$12,'shell factors calc'!V$2+1,FALSE)</f>
        <v>237.53892500000001</v>
      </c>
      <c r="W295" s="8">
        <f>VLOOKUP($B295,floorspace!$B$4:$O$12,'shell factors calc'!W$2+1,FALSE)</f>
        <v>666.73236099999997</v>
      </c>
      <c r="X295" s="8">
        <f>VLOOKUP($B295,floorspace!$B$4:$O$12,'shell factors calc'!X$2+1,FALSE)</f>
        <v>461.64859000000001</v>
      </c>
      <c r="Y295" s="8">
        <f>VLOOKUP($B295,floorspace!$B$4:$O$12,'shell factors calc'!Y$2+1,FALSE)</f>
        <v>364.49435399999999</v>
      </c>
      <c r="Z295">
        <f t="shared" si="4"/>
        <v>0.56311476170136132</v>
      </c>
    </row>
    <row r="296" spans="1:26" x14ac:dyDescent="0.2">
      <c r="A296" s="5" t="s">
        <v>46</v>
      </c>
      <c r="B296" s="5" t="s">
        <v>4</v>
      </c>
      <c r="C296" s="6" t="s">
        <v>10</v>
      </c>
      <c r="D296" s="7">
        <v>0.51701399999999997</v>
      </c>
      <c r="E296">
        <v>0.51526899999999998</v>
      </c>
      <c r="F296">
        <v>0.81776400000000005</v>
      </c>
      <c r="G296">
        <v>0.69147899999999995</v>
      </c>
      <c r="H296">
        <v>0.64212800000000003</v>
      </c>
      <c r="I296">
        <v>0.60225799999999996</v>
      </c>
      <c r="J296">
        <v>0.56916199999999995</v>
      </c>
      <c r="K296">
        <v>0.564774</v>
      </c>
      <c r="L296">
        <v>0.49985200000000002</v>
      </c>
      <c r="M296">
        <v>0.57802500000000001</v>
      </c>
      <c r="N296">
        <v>0.56303300000000001</v>
      </c>
      <c r="O296" s="8">
        <f>VLOOKUP($B296,floorspace!$B$4:$O$12,'shell factors calc'!O$2+1,FALSE)</f>
        <v>493.03372200000001</v>
      </c>
      <c r="P296" s="8">
        <f>VLOOKUP($B296,floorspace!$B$4:$O$12,'shell factors calc'!P$2+1,FALSE)</f>
        <v>613.36340299999995</v>
      </c>
      <c r="Q296" s="8">
        <f>VLOOKUP($B296,floorspace!$B$4:$O$12,'shell factors calc'!Q$2+1,FALSE)</f>
        <v>83.332572999999996</v>
      </c>
      <c r="R296" s="8">
        <f>VLOOKUP($B296,floorspace!$B$4:$O$12,'shell factors calc'!R$2+1,FALSE)</f>
        <v>59.808208</v>
      </c>
      <c r="S296" s="8">
        <f>VLOOKUP($B296,floorspace!$B$4:$O$12,'shell factors calc'!S$2+1,FALSE)</f>
        <v>89.040115</v>
      </c>
      <c r="T296" s="8">
        <f>VLOOKUP($B296,floorspace!$B$4:$O$12,'shell factors calc'!T$2+1,FALSE)</f>
        <v>316.81848100000002</v>
      </c>
      <c r="U296" s="8">
        <f>VLOOKUP($B296,floorspace!$B$4:$O$12,'shell factors calc'!U$2+1,FALSE)</f>
        <v>318.18734699999999</v>
      </c>
      <c r="V296" s="8">
        <f>VLOOKUP($B296,floorspace!$B$4:$O$12,'shell factors calc'!V$2+1,FALSE)</f>
        <v>237.53892500000001</v>
      </c>
      <c r="W296" s="8">
        <f>VLOOKUP($B296,floorspace!$B$4:$O$12,'shell factors calc'!W$2+1,FALSE)</f>
        <v>666.73236099999997</v>
      </c>
      <c r="X296" s="8">
        <f>VLOOKUP($B296,floorspace!$B$4:$O$12,'shell factors calc'!X$2+1,FALSE)</f>
        <v>461.64859000000001</v>
      </c>
      <c r="Y296" s="8">
        <f>VLOOKUP($B296,floorspace!$B$4:$O$12,'shell factors calc'!Y$2+1,FALSE)</f>
        <v>364.49435399999999</v>
      </c>
      <c r="Z296">
        <f t="shared" si="4"/>
        <v>0.55319327648331251</v>
      </c>
    </row>
    <row r="297" spans="1:26" x14ac:dyDescent="0.2">
      <c r="A297" s="5" t="s">
        <v>46</v>
      </c>
      <c r="B297" s="5" t="s">
        <v>4</v>
      </c>
      <c r="C297" s="6" t="s">
        <v>11</v>
      </c>
      <c r="D297" s="7">
        <v>0.507351</v>
      </c>
      <c r="E297">
        <v>0.50551599999999997</v>
      </c>
      <c r="F297">
        <v>0.80876800000000004</v>
      </c>
      <c r="G297">
        <v>0.68561300000000003</v>
      </c>
      <c r="H297">
        <v>0.63368000000000002</v>
      </c>
      <c r="I297">
        <v>0.59254700000000005</v>
      </c>
      <c r="J297">
        <v>0.55947199999999997</v>
      </c>
      <c r="K297">
        <v>0.55638799999999999</v>
      </c>
      <c r="L297">
        <v>0.48937000000000003</v>
      </c>
      <c r="M297">
        <v>0.56755999999999995</v>
      </c>
      <c r="N297">
        <v>0.55337999999999998</v>
      </c>
      <c r="O297" s="8">
        <f>VLOOKUP($B297,floorspace!$B$4:$O$12,'shell factors calc'!O$2+1,FALSE)</f>
        <v>493.03372200000001</v>
      </c>
      <c r="P297" s="8">
        <f>VLOOKUP($B297,floorspace!$B$4:$O$12,'shell factors calc'!P$2+1,FALSE)</f>
        <v>613.36340299999995</v>
      </c>
      <c r="Q297" s="8">
        <f>VLOOKUP($B297,floorspace!$B$4:$O$12,'shell factors calc'!Q$2+1,FALSE)</f>
        <v>83.332572999999996</v>
      </c>
      <c r="R297" s="8">
        <f>VLOOKUP($B297,floorspace!$B$4:$O$12,'shell factors calc'!R$2+1,FALSE)</f>
        <v>59.808208</v>
      </c>
      <c r="S297" s="8">
        <f>VLOOKUP($B297,floorspace!$B$4:$O$12,'shell factors calc'!S$2+1,FALSE)</f>
        <v>89.040115</v>
      </c>
      <c r="T297" s="8">
        <f>VLOOKUP($B297,floorspace!$B$4:$O$12,'shell factors calc'!T$2+1,FALSE)</f>
        <v>316.81848100000002</v>
      </c>
      <c r="U297" s="8">
        <f>VLOOKUP($B297,floorspace!$B$4:$O$12,'shell factors calc'!U$2+1,FALSE)</f>
        <v>318.18734699999999</v>
      </c>
      <c r="V297" s="8">
        <f>VLOOKUP($B297,floorspace!$B$4:$O$12,'shell factors calc'!V$2+1,FALSE)</f>
        <v>237.53892500000001</v>
      </c>
      <c r="W297" s="8">
        <f>VLOOKUP($B297,floorspace!$B$4:$O$12,'shell factors calc'!W$2+1,FALSE)</f>
        <v>666.73236099999997</v>
      </c>
      <c r="X297" s="8">
        <f>VLOOKUP($B297,floorspace!$B$4:$O$12,'shell factors calc'!X$2+1,FALSE)</f>
        <v>461.64859000000001</v>
      </c>
      <c r="Y297" s="8">
        <f>VLOOKUP($B297,floorspace!$B$4:$O$12,'shell factors calc'!Y$2+1,FALSE)</f>
        <v>364.49435399999999</v>
      </c>
      <c r="Z297">
        <f t="shared" si="4"/>
        <v>0.54344996959984093</v>
      </c>
    </row>
    <row r="298" spans="1:26" x14ac:dyDescent="0.2">
      <c r="A298" s="5" t="s">
        <v>46</v>
      </c>
      <c r="B298" s="5" t="s">
        <v>4</v>
      </c>
      <c r="C298" s="6" t="s">
        <v>12</v>
      </c>
      <c r="D298" s="7">
        <v>0.49786900000000001</v>
      </c>
      <c r="E298">
        <v>0.49594700000000003</v>
      </c>
      <c r="F298">
        <v>0.79986999999999997</v>
      </c>
      <c r="G298">
        <v>0.67979599999999996</v>
      </c>
      <c r="H298">
        <v>0.62534400000000001</v>
      </c>
      <c r="I298">
        <v>0.58299199999999995</v>
      </c>
      <c r="J298">
        <v>0.54994600000000005</v>
      </c>
      <c r="K298">
        <v>0.54812700000000003</v>
      </c>
      <c r="L298">
        <v>0.47910900000000001</v>
      </c>
      <c r="M298">
        <v>0.55728500000000003</v>
      </c>
      <c r="N298">
        <v>0.54389200000000004</v>
      </c>
      <c r="O298" s="8">
        <f>VLOOKUP($B298,floorspace!$B$4:$O$12,'shell factors calc'!O$2+1,FALSE)</f>
        <v>493.03372200000001</v>
      </c>
      <c r="P298" s="8">
        <f>VLOOKUP($B298,floorspace!$B$4:$O$12,'shell factors calc'!P$2+1,FALSE)</f>
        <v>613.36340299999995</v>
      </c>
      <c r="Q298" s="8">
        <f>VLOOKUP($B298,floorspace!$B$4:$O$12,'shell factors calc'!Q$2+1,FALSE)</f>
        <v>83.332572999999996</v>
      </c>
      <c r="R298" s="8">
        <f>VLOOKUP($B298,floorspace!$B$4:$O$12,'shell factors calc'!R$2+1,FALSE)</f>
        <v>59.808208</v>
      </c>
      <c r="S298" s="8">
        <f>VLOOKUP($B298,floorspace!$B$4:$O$12,'shell factors calc'!S$2+1,FALSE)</f>
        <v>89.040115</v>
      </c>
      <c r="T298" s="8">
        <f>VLOOKUP($B298,floorspace!$B$4:$O$12,'shell factors calc'!T$2+1,FALSE)</f>
        <v>316.81848100000002</v>
      </c>
      <c r="U298" s="8">
        <f>VLOOKUP($B298,floorspace!$B$4:$O$12,'shell factors calc'!U$2+1,FALSE)</f>
        <v>318.18734699999999</v>
      </c>
      <c r="V298" s="8">
        <f>VLOOKUP($B298,floorspace!$B$4:$O$12,'shell factors calc'!V$2+1,FALSE)</f>
        <v>237.53892500000001</v>
      </c>
      <c r="W298" s="8">
        <f>VLOOKUP($B298,floorspace!$B$4:$O$12,'shell factors calc'!W$2+1,FALSE)</f>
        <v>666.73236099999997</v>
      </c>
      <c r="X298" s="8">
        <f>VLOOKUP($B298,floorspace!$B$4:$O$12,'shell factors calc'!X$2+1,FALSE)</f>
        <v>461.64859000000001</v>
      </c>
      <c r="Y298" s="8">
        <f>VLOOKUP($B298,floorspace!$B$4:$O$12,'shell factors calc'!Y$2+1,FALSE)</f>
        <v>364.49435399999999</v>
      </c>
      <c r="Z298">
        <f t="shared" si="4"/>
        <v>0.53388205942799383</v>
      </c>
    </row>
    <row r="299" spans="1:26" x14ac:dyDescent="0.2">
      <c r="A299" s="5" t="s">
        <v>46</v>
      </c>
      <c r="B299" s="5" t="s">
        <v>4</v>
      </c>
      <c r="C299" s="6" t="s">
        <v>13</v>
      </c>
      <c r="D299" s="7">
        <v>0.488564</v>
      </c>
      <c r="E299">
        <v>0.48655999999999999</v>
      </c>
      <c r="F299">
        <v>0.79107099999999997</v>
      </c>
      <c r="G299">
        <v>0.67402899999999999</v>
      </c>
      <c r="H299">
        <v>0.61711700000000003</v>
      </c>
      <c r="I299">
        <v>0.57359199999999999</v>
      </c>
      <c r="J299">
        <v>0.54058300000000004</v>
      </c>
      <c r="K299">
        <v>0.53998800000000002</v>
      </c>
      <c r="L299">
        <v>0.46906300000000001</v>
      </c>
      <c r="M299">
        <v>0.54719499999999999</v>
      </c>
      <c r="N299">
        <v>0.53456700000000001</v>
      </c>
      <c r="O299" s="8">
        <f>VLOOKUP($B299,floorspace!$B$4:$O$12,'shell factors calc'!O$2+1,FALSE)</f>
        <v>493.03372200000001</v>
      </c>
      <c r="P299" s="8">
        <f>VLOOKUP($B299,floorspace!$B$4:$O$12,'shell factors calc'!P$2+1,FALSE)</f>
        <v>613.36340299999995</v>
      </c>
      <c r="Q299" s="8">
        <f>VLOOKUP($B299,floorspace!$B$4:$O$12,'shell factors calc'!Q$2+1,FALSE)</f>
        <v>83.332572999999996</v>
      </c>
      <c r="R299" s="8">
        <f>VLOOKUP($B299,floorspace!$B$4:$O$12,'shell factors calc'!R$2+1,FALSE)</f>
        <v>59.808208</v>
      </c>
      <c r="S299" s="8">
        <f>VLOOKUP($B299,floorspace!$B$4:$O$12,'shell factors calc'!S$2+1,FALSE)</f>
        <v>89.040115</v>
      </c>
      <c r="T299" s="8">
        <f>VLOOKUP($B299,floorspace!$B$4:$O$12,'shell factors calc'!T$2+1,FALSE)</f>
        <v>316.81848100000002</v>
      </c>
      <c r="U299" s="8">
        <f>VLOOKUP($B299,floorspace!$B$4:$O$12,'shell factors calc'!U$2+1,FALSE)</f>
        <v>318.18734699999999</v>
      </c>
      <c r="V299" s="8">
        <f>VLOOKUP($B299,floorspace!$B$4:$O$12,'shell factors calc'!V$2+1,FALSE)</f>
        <v>237.53892500000001</v>
      </c>
      <c r="W299" s="8">
        <f>VLOOKUP($B299,floorspace!$B$4:$O$12,'shell factors calc'!W$2+1,FALSE)</f>
        <v>666.73236099999997</v>
      </c>
      <c r="X299" s="8">
        <f>VLOOKUP($B299,floorspace!$B$4:$O$12,'shell factors calc'!X$2+1,FALSE)</f>
        <v>461.64859000000001</v>
      </c>
      <c r="Y299" s="8">
        <f>VLOOKUP($B299,floorspace!$B$4:$O$12,'shell factors calc'!Y$2+1,FALSE)</f>
        <v>364.49435399999999</v>
      </c>
      <c r="Z299">
        <f t="shared" si="4"/>
        <v>0.5244863850347915</v>
      </c>
    </row>
    <row r="300" spans="1:26" x14ac:dyDescent="0.2">
      <c r="A300" s="5" t="s">
        <v>46</v>
      </c>
      <c r="B300" s="5" t="s">
        <v>4</v>
      </c>
      <c r="C300" s="6" t="s">
        <v>14</v>
      </c>
      <c r="D300" s="7">
        <v>0.479433</v>
      </c>
      <c r="E300">
        <v>0.47735</v>
      </c>
      <c r="F300">
        <v>0.78236899999999998</v>
      </c>
      <c r="G300">
        <v>0.66831099999999999</v>
      </c>
      <c r="H300">
        <v>0.60899800000000004</v>
      </c>
      <c r="I300">
        <v>0.56434300000000004</v>
      </c>
      <c r="J300">
        <v>0.53137999999999996</v>
      </c>
      <c r="K300">
        <v>0.53197000000000005</v>
      </c>
      <c r="L300">
        <v>0.459227</v>
      </c>
      <c r="M300">
        <v>0.53728900000000002</v>
      </c>
      <c r="N300">
        <v>0.52540200000000004</v>
      </c>
      <c r="O300" s="8">
        <f>VLOOKUP($B300,floorspace!$B$4:$O$12,'shell factors calc'!O$2+1,FALSE)</f>
        <v>493.03372200000001</v>
      </c>
      <c r="P300" s="8">
        <f>VLOOKUP($B300,floorspace!$B$4:$O$12,'shell factors calc'!P$2+1,FALSE)</f>
        <v>613.36340299999995</v>
      </c>
      <c r="Q300" s="8">
        <f>VLOOKUP($B300,floorspace!$B$4:$O$12,'shell factors calc'!Q$2+1,FALSE)</f>
        <v>83.332572999999996</v>
      </c>
      <c r="R300" s="8">
        <f>VLOOKUP($B300,floorspace!$B$4:$O$12,'shell factors calc'!R$2+1,FALSE)</f>
        <v>59.808208</v>
      </c>
      <c r="S300" s="8">
        <f>VLOOKUP($B300,floorspace!$B$4:$O$12,'shell factors calc'!S$2+1,FALSE)</f>
        <v>89.040115</v>
      </c>
      <c r="T300" s="8">
        <f>VLOOKUP($B300,floorspace!$B$4:$O$12,'shell factors calc'!T$2+1,FALSE)</f>
        <v>316.81848100000002</v>
      </c>
      <c r="U300" s="8">
        <f>VLOOKUP($B300,floorspace!$B$4:$O$12,'shell factors calc'!U$2+1,FALSE)</f>
        <v>318.18734699999999</v>
      </c>
      <c r="V300" s="8">
        <f>VLOOKUP($B300,floorspace!$B$4:$O$12,'shell factors calc'!V$2+1,FALSE)</f>
        <v>237.53892500000001</v>
      </c>
      <c r="W300" s="8">
        <f>VLOOKUP($B300,floorspace!$B$4:$O$12,'shell factors calc'!W$2+1,FALSE)</f>
        <v>666.73236099999997</v>
      </c>
      <c r="X300" s="8">
        <f>VLOOKUP($B300,floorspace!$B$4:$O$12,'shell factors calc'!X$2+1,FALSE)</f>
        <v>461.64859000000001</v>
      </c>
      <c r="Y300" s="8">
        <f>VLOOKUP($B300,floorspace!$B$4:$O$12,'shell factors calc'!Y$2+1,FALSE)</f>
        <v>364.49435399999999</v>
      </c>
      <c r="Z300">
        <f t="shared" si="4"/>
        <v>0.51525965009023145</v>
      </c>
    </row>
    <row r="301" spans="1:26" x14ac:dyDescent="0.2">
      <c r="A301" s="5" t="s">
        <v>46</v>
      </c>
      <c r="B301" s="5" t="s">
        <v>4</v>
      </c>
      <c r="C301" s="6" t="s">
        <v>15</v>
      </c>
      <c r="D301" s="7">
        <v>0.47047299999999997</v>
      </c>
      <c r="E301">
        <v>0.46831400000000001</v>
      </c>
      <c r="F301">
        <v>0.77376199999999995</v>
      </c>
      <c r="G301">
        <v>0.66264199999999995</v>
      </c>
      <c r="H301">
        <v>0.60098600000000002</v>
      </c>
      <c r="I301">
        <v>0.55524300000000004</v>
      </c>
      <c r="J301">
        <v>0.52233300000000005</v>
      </c>
      <c r="K301">
        <v>0.52407199999999998</v>
      </c>
      <c r="L301">
        <v>0.44959700000000002</v>
      </c>
      <c r="M301">
        <v>0.52756099999999995</v>
      </c>
      <c r="N301">
        <v>0.51639400000000002</v>
      </c>
      <c r="O301" s="8">
        <f>VLOOKUP($B301,floorspace!$B$4:$O$12,'shell factors calc'!O$2+1,FALSE)</f>
        <v>493.03372200000001</v>
      </c>
      <c r="P301" s="8">
        <f>VLOOKUP($B301,floorspace!$B$4:$O$12,'shell factors calc'!P$2+1,FALSE)</f>
        <v>613.36340299999995</v>
      </c>
      <c r="Q301" s="8">
        <f>VLOOKUP($B301,floorspace!$B$4:$O$12,'shell factors calc'!Q$2+1,FALSE)</f>
        <v>83.332572999999996</v>
      </c>
      <c r="R301" s="8">
        <f>VLOOKUP($B301,floorspace!$B$4:$O$12,'shell factors calc'!R$2+1,FALSE)</f>
        <v>59.808208</v>
      </c>
      <c r="S301" s="8">
        <f>VLOOKUP($B301,floorspace!$B$4:$O$12,'shell factors calc'!S$2+1,FALSE)</f>
        <v>89.040115</v>
      </c>
      <c r="T301" s="8">
        <f>VLOOKUP($B301,floorspace!$B$4:$O$12,'shell factors calc'!T$2+1,FALSE)</f>
        <v>316.81848100000002</v>
      </c>
      <c r="U301" s="8">
        <f>VLOOKUP($B301,floorspace!$B$4:$O$12,'shell factors calc'!U$2+1,FALSE)</f>
        <v>318.18734699999999</v>
      </c>
      <c r="V301" s="8">
        <f>VLOOKUP($B301,floorspace!$B$4:$O$12,'shell factors calc'!V$2+1,FALSE)</f>
        <v>237.53892500000001</v>
      </c>
      <c r="W301" s="8">
        <f>VLOOKUP($B301,floorspace!$B$4:$O$12,'shell factors calc'!W$2+1,FALSE)</f>
        <v>666.73236099999997</v>
      </c>
      <c r="X301" s="8">
        <f>VLOOKUP($B301,floorspace!$B$4:$O$12,'shell factors calc'!X$2+1,FALSE)</f>
        <v>461.64859000000001</v>
      </c>
      <c r="Y301" s="8">
        <f>VLOOKUP($B301,floorspace!$B$4:$O$12,'shell factors calc'!Y$2+1,FALSE)</f>
        <v>364.49435399999999</v>
      </c>
      <c r="Z301">
        <f t="shared" si="4"/>
        <v>0.50619854759314986</v>
      </c>
    </row>
    <row r="302" spans="1:26" x14ac:dyDescent="0.2">
      <c r="A302" s="5" t="s">
        <v>46</v>
      </c>
      <c r="B302" s="5" t="s">
        <v>4</v>
      </c>
      <c r="C302" s="6" t="s">
        <v>16</v>
      </c>
      <c r="D302" s="7">
        <v>0.46167999999999998</v>
      </c>
      <c r="E302">
        <v>0.45945000000000003</v>
      </c>
      <c r="F302">
        <v>0.76524999999999999</v>
      </c>
      <c r="G302">
        <v>0.65702000000000005</v>
      </c>
      <c r="H302">
        <v>0.59308000000000005</v>
      </c>
      <c r="I302">
        <v>0.54629000000000005</v>
      </c>
      <c r="J302">
        <v>0.51344000000000001</v>
      </c>
      <c r="K302">
        <v>0.51629000000000003</v>
      </c>
      <c r="L302">
        <v>0.44017000000000001</v>
      </c>
      <c r="M302">
        <v>0.51800999999999997</v>
      </c>
      <c r="N302">
        <v>0.50753999999999999</v>
      </c>
      <c r="O302" s="8">
        <f>VLOOKUP($B302,floorspace!$B$4:$O$12,'shell factors calc'!O$2+1,FALSE)</f>
        <v>493.03372200000001</v>
      </c>
      <c r="P302" s="8">
        <f>VLOOKUP($B302,floorspace!$B$4:$O$12,'shell factors calc'!P$2+1,FALSE)</f>
        <v>613.36340299999995</v>
      </c>
      <c r="Q302" s="8">
        <f>VLOOKUP($B302,floorspace!$B$4:$O$12,'shell factors calc'!Q$2+1,FALSE)</f>
        <v>83.332572999999996</v>
      </c>
      <c r="R302" s="8">
        <f>VLOOKUP($B302,floorspace!$B$4:$O$12,'shell factors calc'!R$2+1,FALSE)</f>
        <v>59.808208</v>
      </c>
      <c r="S302" s="8">
        <f>VLOOKUP($B302,floorspace!$B$4:$O$12,'shell factors calc'!S$2+1,FALSE)</f>
        <v>89.040115</v>
      </c>
      <c r="T302" s="8">
        <f>VLOOKUP($B302,floorspace!$B$4:$O$12,'shell factors calc'!T$2+1,FALSE)</f>
        <v>316.81848100000002</v>
      </c>
      <c r="U302" s="8">
        <f>VLOOKUP($B302,floorspace!$B$4:$O$12,'shell factors calc'!U$2+1,FALSE)</f>
        <v>318.18734699999999</v>
      </c>
      <c r="V302" s="8">
        <f>VLOOKUP($B302,floorspace!$B$4:$O$12,'shell factors calc'!V$2+1,FALSE)</f>
        <v>237.53892500000001</v>
      </c>
      <c r="W302" s="8">
        <f>VLOOKUP($B302,floorspace!$B$4:$O$12,'shell factors calc'!W$2+1,FALSE)</f>
        <v>666.73236099999997</v>
      </c>
      <c r="X302" s="8">
        <f>VLOOKUP($B302,floorspace!$B$4:$O$12,'shell factors calc'!X$2+1,FALSE)</f>
        <v>461.64859000000001</v>
      </c>
      <c r="Y302" s="8">
        <f>VLOOKUP($B302,floorspace!$B$4:$O$12,'shell factors calc'!Y$2+1,FALSE)</f>
        <v>364.49435399999999</v>
      </c>
      <c r="Z302">
        <f t="shared" si="4"/>
        <v>0.49730059832673312</v>
      </c>
    </row>
    <row r="303" spans="1:26" x14ac:dyDescent="0.2">
      <c r="A303" s="5" t="s">
        <v>46</v>
      </c>
      <c r="B303" s="5" t="s">
        <v>4</v>
      </c>
      <c r="C303" s="6" t="s">
        <v>17</v>
      </c>
      <c r="D303" s="7">
        <v>0.45111699999999999</v>
      </c>
      <c r="E303">
        <v>0.44877299999999998</v>
      </c>
      <c r="F303">
        <v>0.76011600000000001</v>
      </c>
      <c r="G303">
        <v>0.65096100000000001</v>
      </c>
      <c r="H303">
        <v>0.58414100000000002</v>
      </c>
      <c r="I303">
        <v>0.53583700000000001</v>
      </c>
      <c r="J303">
        <v>0.50295599999999996</v>
      </c>
      <c r="K303">
        <v>0.50733200000000001</v>
      </c>
      <c r="L303">
        <v>0.42854199999999998</v>
      </c>
      <c r="M303">
        <v>0.50661100000000003</v>
      </c>
      <c r="N303">
        <v>0.497089</v>
      </c>
      <c r="O303" s="8">
        <f>VLOOKUP($B303,floorspace!$B$4:$O$12,'shell factors calc'!O$2+1,FALSE)</f>
        <v>493.03372200000001</v>
      </c>
      <c r="P303" s="8">
        <f>VLOOKUP($B303,floorspace!$B$4:$O$12,'shell factors calc'!P$2+1,FALSE)</f>
        <v>613.36340299999995</v>
      </c>
      <c r="Q303" s="8">
        <f>VLOOKUP($B303,floorspace!$B$4:$O$12,'shell factors calc'!Q$2+1,FALSE)</f>
        <v>83.332572999999996</v>
      </c>
      <c r="R303" s="8">
        <f>VLOOKUP($B303,floorspace!$B$4:$O$12,'shell factors calc'!R$2+1,FALSE)</f>
        <v>59.808208</v>
      </c>
      <c r="S303" s="8">
        <f>VLOOKUP($B303,floorspace!$B$4:$O$12,'shell factors calc'!S$2+1,FALSE)</f>
        <v>89.040115</v>
      </c>
      <c r="T303" s="8">
        <f>VLOOKUP($B303,floorspace!$B$4:$O$12,'shell factors calc'!T$2+1,FALSE)</f>
        <v>316.81848100000002</v>
      </c>
      <c r="U303" s="8">
        <f>VLOOKUP($B303,floorspace!$B$4:$O$12,'shell factors calc'!U$2+1,FALSE)</f>
        <v>318.18734699999999</v>
      </c>
      <c r="V303" s="8">
        <f>VLOOKUP($B303,floorspace!$B$4:$O$12,'shell factors calc'!V$2+1,FALSE)</f>
        <v>237.53892500000001</v>
      </c>
      <c r="W303" s="8">
        <f>VLOOKUP($B303,floorspace!$B$4:$O$12,'shell factors calc'!W$2+1,FALSE)</f>
        <v>666.73236099999997</v>
      </c>
      <c r="X303" s="8">
        <f>VLOOKUP($B303,floorspace!$B$4:$O$12,'shell factors calc'!X$2+1,FALSE)</f>
        <v>461.64859000000001</v>
      </c>
      <c r="Y303" s="8">
        <f>VLOOKUP($B303,floorspace!$B$4:$O$12,'shell factors calc'!Y$2+1,FALSE)</f>
        <v>364.49435399999999</v>
      </c>
      <c r="Z303">
        <f t="shared" si="4"/>
        <v>0.48678687438262325</v>
      </c>
    </row>
    <row r="304" spans="1:26" x14ac:dyDescent="0.2">
      <c r="A304" s="5" t="s">
        <v>46</v>
      </c>
      <c r="B304" s="5" t="s">
        <v>4</v>
      </c>
      <c r="C304" s="6" t="s">
        <v>18</v>
      </c>
      <c r="D304" s="7">
        <v>0.44079600000000002</v>
      </c>
      <c r="E304">
        <v>0.43834400000000001</v>
      </c>
      <c r="F304">
        <v>0.75501600000000002</v>
      </c>
      <c r="G304">
        <v>0.644957</v>
      </c>
      <c r="H304">
        <v>0.57533800000000002</v>
      </c>
      <c r="I304">
        <v>0.52558499999999997</v>
      </c>
      <c r="J304">
        <v>0.49268699999999999</v>
      </c>
      <c r="K304">
        <v>0.498529</v>
      </c>
      <c r="L304">
        <v>0.41721999999999998</v>
      </c>
      <c r="M304">
        <v>0.49546299999999999</v>
      </c>
      <c r="N304">
        <v>0.48685299999999998</v>
      </c>
      <c r="O304" s="8">
        <f>VLOOKUP($B304,floorspace!$B$4:$O$12,'shell factors calc'!O$2+1,FALSE)</f>
        <v>493.03372200000001</v>
      </c>
      <c r="P304" s="8">
        <f>VLOOKUP($B304,floorspace!$B$4:$O$12,'shell factors calc'!P$2+1,FALSE)</f>
        <v>613.36340299999995</v>
      </c>
      <c r="Q304" s="8">
        <f>VLOOKUP($B304,floorspace!$B$4:$O$12,'shell factors calc'!Q$2+1,FALSE)</f>
        <v>83.332572999999996</v>
      </c>
      <c r="R304" s="8">
        <f>VLOOKUP($B304,floorspace!$B$4:$O$12,'shell factors calc'!R$2+1,FALSE)</f>
        <v>59.808208</v>
      </c>
      <c r="S304" s="8">
        <f>VLOOKUP($B304,floorspace!$B$4:$O$12,'shell factors calc'!S$2+1,FALSE)</f>
        <v>89.040115</v>
      </c>
      <c r="T304" s="8">
        <f>VLOOKUP($B304,floorspace!$B$4:$O$12,'shell factors calc'!T$2+1,FALSE)</f>
        <v>316.81848100000002</v>
      </c>
      <c r="U304" s="8">
        <f>VLOOKUP($B304,floorspace!$B$4:$O$12,'shell factors calc'!U$2+1,FALSE)</f>
        <v>318.18734699999999</v>
      </c>
      <c r="V304" s="8">
        <f>VLOOKUP($B304,floorspace!$B$4:$O$12,'shell factors calc'!V$2+1,FALSE)</f>
        <v>237.53892500000001</v>
      </c>
      <c r="W304" s="8">
        <f>VLOOKUP($B304,floorspace!$B$4:$O$12,'shell factors calc'!W$2+1,FALSE)</f>
        <v>666.73236099999997</v>
      </c>
      <c r="X304" s="8">
        <f>VLOOKUP($B304,floorspace!$B$4:$O$12,'shell factors calc'!X$2+1,FALSE)</f>
        <v>461.64859000000001</v>
      </c>
      <c r="Y304" s="8">
        <f>VLOOKUP($B304,floorspace!$B$4:$O$12,'shell factors calc'!Y$2+1,FALSE)</f>
        <v>364.49435399999999</v>
      </c>
      <c r="Z304">
        <f t="shared" si="4"/>
        <v>0.47650447615555824</v>
      </c>
    </row>
    <row r="305" spans="1:26" x14ac:dyDescent="0.2">
      <c r="A305" s="5" t="s">
        <v>46</v>
      </c>
      <c r="B305" s="5" t="s">
        <v>4</v>
      </c>
      <c r="C305" s="6" t="s">
        <v>19</v>
      </c>
      <c r="D305" s="7">
        <v>0.43071100000000001</v>
      </c>
      <c r="E305">
        <v>0.42815700000000001</v>
      </c>
      <c r="F305">
        <v>0.74995000000000001</v>
      </c>
      <c r="G305">
        <v>0.63900900000000005</v>
      </c>
      <c r="H305">
        <v>0.56666700000000003</v>
      </c>
      <c r="I305">
        <v>0.51552799999999999</v>
      </c>
      <c r="J305">
        <v>0.48262699999999997</v>
      </c>
      <c r="K305">
        <v>0.48987900000000001</v>
      </c>
      <c r="L305">
        <v>0.406198</v>
      </c>
      <c r="M305">
        <v>0.48455999999999999</v>
      </c>
      <c r="N305">
        <v>0.47682799999999997</v>
      </c>
      <c r="O305" s="8">
        <f>VLOOKUP($B305,floorspace!$B$4:$O$12,'shell factors calc'!O$2+1,FALSE)</f>
        <v>493.03372200000001</v>
      </c>
      <c r="P305" s="8">
        <f>VLOOKUP($B305,floorspace!$B$4:$O$12,'shell factors calc'!P$2+1,FALSE)</f>
        <v>613.36340299999995</v>
      </c>
      <c r="Q305" s="8">
        <f>VLOOKUP($B305,floorspace!$B$4:$O$12,'shell factors calc'!Q$2+1,FALSE)</f>
        <v>83.332572999999996</v>
      </c>
      <c r="R305" s="8">
        <f>VLOOKUP($B305,floorspace!$B$4:$O$12,'shell factors calc'!R$2+1,FALSE)</f>
        <v>59.808208</v>
      </c>
      <c r="S305" s="8">
        <f>VLOOKUP($B305,floorspace!$B$4:$O$12,'shell factors calc'!S$2+1,FALSE)</f>
        <v>89.040115</v>
      </c>
      <c r="T305" s="8">
        <f>VLOOKUP($B305,floorspace!$B$4:$O$12,'shell factors calc'!T$2+1,FALSE)</f>
        <v>316.81848100000002</v>
      </c>
      <c r="U305" s="8">
        <f>VLOOKUP($B305,floorspace!$B$4:$O$12,'shell factors calc'!U$2+1,FALSE)</f>
        <v>318.18734699999999</v>
      </c>
      <c r="V305" s="8">
        <f>VLOOKUP($B305,floorspace!$B$4:$O$12,'shell factors calc'!V$2+1,FALSE)</f>
        <v>237.53892500000001</v>
      </c>
      <c r="W305" s="8">
        <f>VLOOKUP($B305,floorspace!$B$4:$O$12,'shell factors calc'!W$2+1,FALSE)</f>
        <v>666.73236099999997</v>
      </c>
      <c r="X305" s="8">
        <f>VLOOKUP($B305,floorspace!$B$4:$O$12,'shell factors calc'!X$2+1,FALSE)</f>
        <v>461.64859000000001</v>
      </c>
      <c r="Y305" s="8">
        <f>VLOOKUP($B305,floorspace!$B$4:$O$12,'shell factors calc'!Y$2+1,FALSE)</f>
        <v>364.49435399999999</v>
      </c>
      <c r="Z305">
        <f t="shared" si="4"/>
        <v>0.46644815307290605</v>
      </c>
    </row>
    <row r="306" spans="1:26" x14ac:dyDescent="0.2">
      <c r="A306" s="5" t="s">
        <v>46</v>
      </c>
      <c r="B306" s="5" t="s">
        <v>4</v>
      </c>
      <c r="C306" s="6" t="s">
        <v>20</v>
      </c>
      <c r="D306" s="7">
        <v>0.42085699999999998</v>
      </c>
      <c r="E306">
        <v>0.418207</v>
      </c>
      <c r="F306">
        <v>0.744919</v>
      </c>
      <c r="G306">
        <v>0.63311600000000001</v>
      </c>
      <c r="H306">
        <v>0.55812600000000001</v>
      </c>
      <c r="I306">
        <v>0.505664</v>
      </c>
      <c r="J306">
        <v>0.47277200000000003</v>
      </c>
      <c r="K306">
        <v>0.48137999999999997</v>
      </c>
      <c r="L306">
        <v>0.39546700000000001</v>
      </c>
      <c r="M306">
        <v>0.47389700000000001</v>
      </c>
      <c r="N306">
        <v>0.46700900000000001</v>
      </c>
      <c r="O306" s="8">
        <f>VLOOKUP($B306,floorspace!$B$4:$O$12,'shell factors calc'!O$2+1,FALSE)</f>
        <v>493.03372200000001</v>
      </c>
      <c r="P306" s="8">
        <f>VLOOKUP($B306,floorspace!$B$4:$O$12,'shell factors calc'!P$2+1,FALSE)</f>
        <v>613.36340299999995</v>
      </c>
      <c r="Q306" s="8">
        <f>VLOOKUP($B306,floorspace!$B$4:$O$12,'shell factors calc'!Q$2+1,FALSE)</f>
        <v>83.332572999999996</v>
      </c>
      <c r="R306" s="8">
        <f>VLOOKUP($B306,floorspace!$B$4:$O$12,'shell factors calc'!R$2+1,FALSE)</f>
        <v>59.808208</v>
      </c>
      <c r="S306" s="8">
        <f>VLOOKUP($B306,floorspace!$B$4:$O$12,'shell factors calc'!S$2+1,FALSE)</f>
        <v>89.040115</v>
      </c>
      <c r="T306" s="8">
        <f>VLOOKUP($B306,floorspace!$B$4:$O$12,'shell factors calc'!T$2+1,FALSE)</f>
        <v>316.81848100000002</v>
      </c>
      <c r="U306" s="8">
        <f>VLOOKUP($B306,floorspace!$B$4:$O$12,'shell factors calc'!U$2+1,FALSE)</f>
        <v>318.18734699999999</v>
      </c>
      <c r="V306" s="8">
        <f>VLOOKUP($B306,floorspace!$B$4:$O$12,'shell factors calc'!V$2+1,FALSE)</f>
        <v>237.53892500000001</v>
      </c>
      <c r="W306" s="8">
        <f>VLOOKUP($B306,floorspace!$B$4:$O$12,'shell factors calc'!W$2+1,FALSE)</f>
        <v>666.73236099999997</v>
      </c>
      <c r="X306" s="8">
        <f>VLOOKUP($B306,floorspace!$B$4:$O$12,'shell factors calc'!X$2+1,FALSE)</f>
        <v>461.64859000000001</v>
      </c>
      <c r="Y306" s="8">
        <f>VLOOKUP($B306,floorspace!$B$4:$O$12,'shell factors calc'!Y$2+1,FALSE)</f>
        <v>364.49435399999999</v>
      </c>
      <c r="Z306">
        <f t="shared" si="4"/>
        <v>0.45661299171104441</v>
      </c>
    </row>
    <row r="307" spans="1:26" x14ac:dyDescent="0.2">
      <c r="A307" s="5" t="s">
        <v>46</v>
      </c>
      <c r="B307" s="5" t="s">
        <v>4</v>
      </c>
      <c r="C307" s="6" t="s">
        <v>21</v>
      </c>
      <c r="D307" s="7">
        <v>0.41122799999999998</v>
      </c>
      <c r="E307">
        <v>0.40848899999999999</v>
      </c>
      <c r="F307">
        <v>0.73992100000000005</v>
      </c>
      <c r="G307">
        <v>0.62727699999999997</v>
      </c>
      <c r="H307">
        <v>0.54971499999999995</v>
      </c>
      <c r="I307">
        <v>0.49598900000000001</v>
      </c>
      <c r="J307">
        <v>0.463119</v>
      </c>
      <c r="K307">
        <v>0.47302699999999998</v>
      </c>
      <c r="L307">
        <v>0.38501999999999997</v>
      </c>
      <c r="M307">
        <v>0.46346900000000002</v>
      </c>
      <c r="N307">
        <v>0.45739299999999999</v>
      </c>
      <c r="O307" s="8">
        <f>VLOOKUP($B307,floorspace!$B$4:$O$12,'shell factors calc'!O$2+1,FALSE)</f>
        <v>493.03372200000001</v>
      </c>
      <c r="P307" s="8">
        <f>VLOOKUP($B307,floorspace!$B$4:$O$12,'shell factors calc'!P$2+1,FALSE)</f>
        <v>613.36340299999995</v>
      </c>
      <c r="Q307" s="8">
        <f>VLOOKUP($B307,floorspace!$B$4:$O$12,'shell factors calc'!Q$2+1,FALSE)</f>
        <v>83.332572999999996</v>
      </c>
      <c r="R307" s="8">
        <f>VLOOKUP($B307,floorspace!$B$4:$O$12,'shell factors calc'!R$2+1,FALSE)</f>
        <v>59.808208</v>
      </c>
      <c r="S307" s="8">
        <f>VLOOKUP($B307,floorspace!$B$4:$O$12,'shell factors calc'!S$2+1,FALSE)</f>
        <v>89.040115</v>
      </c>
      <c r="T307" s="8">
        <f>VLOOKUP($B307,floorspace!$B$4:$O$12,'shell factors calc'!T$2+1,FALSE)</f>
        <v>316.81848100000002</v>
      </c>
      <c r="U307" s="8">
        <f>VLOOKUP($B307,floorspace!$B$4:$O$12,'shell factors calc'!U$2+1,FALSE)</f>
        <v>318.18734699999999</v>
      </c>
      <c r="V307" s="8">
        <f>VLOOKUP($B307,floorspace!$B$4:$O$12,'shell factors calc'!V$2+1,FALSE)</f>
        <v>237.53892500000001</v>
      </c>
      <c r="W307" s="8">
        <f>VLOOKUP($B307,floorspace!$B$4:$O$12,'shell factors calc'!W$2+1,FALSE)</f>
        <v>666.73236099999997</v>
      </c>
      <c r="X307" s="8">
        <f>VLOOKUP($B307,floorspace!$B$4:$O$12,'shell factors calc'!X$2+1,FALSE)</f>
        <v>461.64859000000001</v>
      </c>
      <c r="Y307" s="8">
        <f>VLOOKUP($B307,floorspace!$B$4:$O$12,'shell factors calc'!Y$2+1,FALSE)</f>
        <v>364.49435399999999</v>
      </c>
      <c r="Z307">
        <f t="shared" si="4"/>
        <v>0.44699420538395107</v>
      </c>
    </row>
    <row r="308" spans="1:26" x14ac:dyDescent="0.2">
      <c r="A308" s="5" t="s">
        <v>46</v>
      </c>
      <c r="B308" s="5" t="s">
        <v>4</v>
      </c>
      <c r="C308" s="6" t="s">
        <v>22</v>
      </c>
      <c r="D308" s="7">
        <v>0.40182000000000001</v>
      </c>
      <c r="E308">
        <v>0.39899600000000002</v>
      </c>
      <c r="F308">
        <v>0.73495600000000005</v>
      </c>
      <c r="G308">
        <v>0.62149200000000004</v>
      </c>
      <c r="H308">
        <v>0.54142999999999997</v>
      </c>
      <c r="I308">
        <v>0.48649900000000001</v>
      </c>
      <c r="J308">
        <v>0.45366299999999998</v>
      </c>
      <c r="K308">
        <v>0.46482000000000001</v>
      </c>
      <c r="L308">
        <v>0.37484899999999999</v>
      </c>
      <c r="M308">
        <v>0.45327000000000001</v>
      </c>
      <c r="N308">
        <v>0.44797399999999998</v>
      </c>
      <c r="O308" s="8">
        <f>VLOOKUP($B308,floorspace!$B$4:$O$12,'shell factors calc'!O$2+1,FALSE)</f>
        <v>493.03372200000001</v>
      </c>
      <c r="P308" s="8">
        <f>VLOOKUP($B308,floorspace!$B$4:$O$12,'shell factors calc'!P$2+1,FALSE)</f>
        <v>613.36340299999995</v>
      </c>
      <c r="Q308" s="8">
        <f>VLOOKUP($B308,floorspace!$B$4:$O$12,'shell factors calc'!Q$2+1,FALSE)</f>
        <v>83.332572999999996</v>
      </c>
      <c r="R308" s="8">
        <f>VLOOKUP($B308,floorspace!$B$4:$O$12,'shell factors calc'!R$2+1,FALSE)</f>
        <v>59.808208</v>
      </c>
      <c r="S308" s="8">
        <f>VLOOKUP($B308,floorspace!$B$4:$O$12,'shell factors calc'!S$2+1,FALSE)</f>
        <v>89.040115</v>
      </c>
      <c r="T308" s="8">
        <f>VLOOKUP($B308,floorspace!$B$4:$O$12,'shell factors calc'!T$2+1,FALSE)</f>
        <v>316.81848100000002</v>
      </c>
      <c r="U308" s="8">
        <f>VLOOKUP($B308,floorspace!$B$4:$O$12,'shell factors calc'!U$2+1,FALSE)</f>
        <v>318.18734699999999</v>
      </c>
      <c r="V308" s="8">
        <f>VLOOKUP($B308,floorspace!$B$4:$O$12,'shell factors calc'!V$2+1,FALSE)</f>
        <v>237.53892500000001</v>
      </c>
      <c r="W308" s="8">
        <f>VLOOKUP($B308,floorspace!$B$4:$O$12,'shell factors calc'!W$2+1,FALSE)</f>
        <v>666.73236099999997</v>
      </c>
      <c r="X308" s="8">
        <f>VLOOKUP($B308,floorspace!$B$4:$O$12,'shell factors calc'!X$2+1,FALSE)</f>
        <v>461.64859000000001</v>
      </c>
      <c r="Y308" s="8">
        <f>VLOOKUP($B308,floorspace!$B$4:$O$12,'shell factors calc'!Y$2+1,FALSE)</f>
        <v>364.49435399999999</v>
      </c>
      <c r="Z308">
        <f t="shared" si="4"/>
        <v>0.43758645640894983</v>
      </c>
    </row>
    <row r="309" spans="1:26" x14ac:dyDescent="0.2">
      <c r="A309" s="5" t="s">
        <v>46</v>
      </c>
      <c r="B309" s="5" t="s">
        <v>4</v>
      </c>
      <c r="C309" s="6" t="s">
        <v>23</v>
      </c>
      <c r="D309" s="7">
        <v>0.392627</v>
      </c>
      <c r="E309">
        <v>0.38972400000000001</v>
      </c>
      <c r="F309">
        <v>0.73002500000000003</v>
      </c>
      <c r="G309">
        <v>0.61575999999999997</v>
      </c>
      <c r="H309">
        <v>0.53327000000000002</v>
      </c>
      <c r="I309">
        <v>0.47719099999999998</v>
      </c>
      <c r="J309">
        <v>0.44440000000000002</v>
      </c>
      <c r="K309">
        <v>0.45675500000000002</v>
      </c>
      <c r="L309">
        <v>0.36494599999999999</v>
      </c>
      <c r="M309">
        <v>0.44329499999999999</v>
      </c>
      <c r="N309">
        <v>0.438749</v>
      </c>
      <c r="O309" s="8">
        <f>VLOOKUP($B309,floorspace!$B$4:$O$12,'shell factors calc'!O$2+1,FALSE)</f>
        <v>493.03372200000001</v>
      </c>
      <c r="P309" s="8">
        <f>VLOOKUP($B309,floorspace!$B$4:$O$12,'shell factors calc'!P$2+1,FALSE)</f>
        <v>613.36340299999995</v>
      </c>
      <c r="Q309" s="8">
        <f>VLOOKUP($B309,floorspace!$B$4:$O$12,'shell factors calc'!Q$2+1,FALSE)</f>
        <v>83.332572999999996</v>
      </c>
      <c r="R309" s="8">
        <f>VLOOKUP($B309,floorspace!$B$4:$O$12,'shell factors calc'!R$2+1,FALSE)</f>
        <v>59.808208</v>
      </c>
      <c r="S309" s="8">
        <f>VLOOKUP($B309,floorspace!$B$4:$O$12,'shell factors calc'!S$2+1,FALSE)</f>
        <v>89.040115</v>
      </c>
      <c r="T309" s="8">
        <f>VLOOKUP($B309,floorspace!$B$4:$O$12,'shell factors calc'!T$2+1,FALSE)</f>
        <v>316.81848100000002</v>
      </c>
      <c r="U309" s="8">
        <f>VLOOKUP($B309,floorspace!$B$4:$O$12,'shell factors calc'!U$2+1,FALSE)</f>
        <v>318.18734699999999</v>
      </c>
      <c r="V309" s="8">
        <f>VLOOKUP($B309,floorspace!$B$4:$O$12,'shell factors calc'!V$2+1,FALSE)</f>
        <v>237.53892500000001</v>
      </c>
      <c r="W309" s="8">
        <f>VLOOKUP($B309,floorspace!$B$4:$O$12,'shell factors calc'!W$2+1,FALSE)</f>
        <v>666.73236099999997</v>
      </c>
      <c r="X309" s="8">
        <f>VLOOKUP($B309,floorspace!$B$4:$O$12,'shell factors calc'!X$2+1,FALSE)</f>
        <v>461.64859000000001</v>
      </c>
      <c r="Y309" s="8">
        <f>VLOOKUP($B309,floorspace!$B$4:$O$12,'shell factors calc'!Y$2+1,FALSE)</f>
        <v>364.49435399999999</v>
      </c>
      <c r="Z309">
        <f t="shared" si="4"/>
        <v>0.4283850509074924</v>
      </c>
    </row>
    <row r="310" spans="1:26" x14ac:dyDescent="0.2">
      <c r="A310" s="5" t="s">
        <v>46</v>
      </c>
      <c r="B310" s="5" t="s">
        <v>4</v>
      </c>
      <c r="C310" s="6" t="s">
        <v>24</v>
      </c>
      <c r="D310" s="7">
        <v>0.38364399999999999</v>
      </c>
      <c r="E310">
        <v>0.38066699999999998</v>
      </c>
      <c r="F310">
        <v>0.72512799999999999</v>
      </c>
      <c r="G310">
        <v>0.61008099999999998</v>
      </c>
      <c r="H310">
        <v>0.52523299999999995</v>
      </c>
      <c r="I310">
        <v>0.46805999999999998</v>
      </c>
      <c r="J310">
        <v>0.43532599999999999</v>
      </c>
      <c r="K310">
        <v>0.44883000000000001</v>
      </c>
      <c r="L310">
        <v>0.35530499999999998</v>
      </c>
      <c r="M310">
        <v>0.43353999999999998</v>
      </c>
      <c r="N310">
        <v>0.42971500000000001</v>
      </c>
      <c r="O310" s="8">
        <f>VLOOKUP($B310,floorspace!$B$4:$O$12,'shell factors calc'!O$2+1,FALSE)</f>
        <v>493.03372200000001</v>
      </c>
      <c r="P310" s="8">
        <f>VLOOKUP($B310,floorspace!$B$4:$O$12,'shell factors calc'!P$2+1,FALSE)</f>
        <v>613.36340299999995</v>
      </c>
      <c r="Q310" s="8">
        <f>VLOOKUP($B310,floorspace!$B$4:$O$12,'shell factors calc'!Q$2+1,FALSE)</f>
        <v>83.332572999999996</v>
      </c>
      <c r="R310" s="8">
        <f>VLOOKUP($B310,floorspace!$B$4:$O$12,'shell factors calc'!R$2+1,FALSE)</f>
        <v>59.808208</v>
      </c>
      <c r="S310" s="8">
        <f>VLOOKUP($B310,floorspace!$B$4:$O$12,'shell factors calc'!S$2+1,FALSE)</f>
        <v>89.040115</v>
      </c>
      <c r="T310" s="8">
        <f>VLOOKUP($B310,floorspace!$B$4:$O$12,'shell factors calc'!T$2+1,FALSE)</f>
        <v>316.81848100000002</v>
      </c>
      <c r="U310" s="8">
        <f>VLOOKUP($B310,floorspace!$B$4:$O$12,'shell factors calc'!U$2+1,FALSE)</f>
        <v>318.18734699999999</v>
      </c>
      <c r="V310" s="8">
        <f>VLOOKUP($B310,floorspace!$B$4:$O$12,'shell factors calc'!V$2+1,FALSE)</f>
        <v>237.53892500000001</v>
      </c>
      <c r="W310" s="8">
        <f>VLOOKUP($B310,floorspace!$B$4:$O$12,'shell factors calc'!W$2+1,FALSE)</f>
        <v>666.73236099999997</v>
      </c>
      <c r="X310" s="8">
        <f>VLOOKUP($B310,floorspace!$B$4:$O$12,'shell factors calc'!X$2+1,FALSE)</f>
        <v>461.64859000000001</v>
      </c>
      <c r="Y310" s="8">
        <f>VLOOKUP($B310,floorspace!$B$4:$O$12,'shell factors calc'!Y$2+1,FALSE)</f>
        <v>364.49435399999999</v>
      </c>
      <c r="Z310">
        <f t="shared" si="4"/>
        <v>0.41938550836416427</v>
      </c>
    </row>
    <row r="311" spans="1:26" x14ac:dyDescent="0.2">
      <c r="A311" s="5" t="s">
        <v>46</v>
      </c>
      <c r="B311" s="5" t="s">
        <v>4</v>
      </c>
      <c r="C311" s="6" t="s">
        <v>25</v>
      </c>
      <c r="D311" s="7">
        <v>0.37486700000000001</v>
      </c>
      <c r="E311">
        <v>0.37182100000000001</v>
      </c>
      <c r="F311">
        <v>0.72026199999999996</v>
      </c>
      <c r="G311">
        <v>0.60445499999999996</v>
      </c>
      <c r="H311">
        <v>0.51731700000000003</v>
      </c>
      <c r="I311">
        <v>0.45910400000000001</v>
      </c>
      <c r="J311">
        <v>0.42643700000000001</v>
      </c>
      <c r="K311">
        <v>0.44104199999999999</v>
      </c>
      <c r="L311">
        <v>0.345918</v>
      </c>
      <c r="M311">
        <v>0.42399999999999999</v>
      </c>
      <c r="N311">
        <v>0.42086600000000002</v>
      </c>
      <c r="O311" s="8">
        <f>VLOOKUP($B311,floorspace!$B$4:$O$12,'shell factors calc'!O$2+1,FALSE)</f>
        <v>493.03372200000001</v>
      </c>
      <c r="P311" s="8">
        <f>VLOOKUP($B311,floorspace!$B$4:$O$12,'shell factors calc'!P$2+1,FALSE)</f>
        <v>613.36340299999995</v>
      </c>
      <c r="Q311" s="8">
        <f>VLOOKUP($B311,floorspace!$B$4:$O$12,'shell factors calc'!Q$2+1,FALSE)</f>
        <v>83.332572999999996</v>
      </c>
      <c r="R311" s="8">
        <f>VLOOKUP($B311,floorspace!$B$4:$O$12,'shell factors calc'!R$2+1,FALSE)</f>
        <v>59.808208</v>
      </c>
      <c r="S311" s="8">
        <f>VLOOKUP($B311,floorspace!$B$4:$O$12,'shell factors calc'!S$2+1,FALSE)</f>
        <v>89.040115</v>
      </c>
      <c r="T311" s="8">
        <f>VLOOKUP($B311,floorspace!$B$4:$O$12,'shell factors calc'!T$2+1,FALSE)</f>
        <v>316.81848100000002</v>
      </c>
      <c r="U311" s="8">
        <f>VLOOKUP($B311,floorspace!$B$4:$O$12,'shell factors calc'!U$2+1,FALSE)</f>
        <v>318.18734699999999</v>
      </c>
      <c r="V311" s="8">
        <f>VLOOKUP($B311,floorspace!$B$4:$O$12,'shell factors calc'!V$2+1,FALSE)</f>
        <v>237.53892500000001</v>
      </c>
      <c r="W311" s="8">
        <f>VLOOKUP($B311,floorspace!$B$4:$O$12,'shell factors calc'!W$2+1,FALSE)</f>
        <v>666.73236099999997</v>
      </c>
      <c r="X311" s="8">
        <f>VLOOKUP($B311,floorspace!$B$4:$O$12,'shell factors calc'!X$2+1,FALSE)</f>
        <v>461.64859000000001</v>
      </c>
      <c r="Y311" s="8">
        <f>VLOOKUP($B311,floorspace!$B$4:$O$12,'shell factors calc'!Y$2+1,FALSE)</f>
        <v>364.49435399999999</v>
      </c>
      <c r="Z311">
        <f t="shared" si="4"/>
        <v>0.41058315768109588</v>
      </c>
    </row>
    <row r="312" spans="1:26" x14ac:dyDescent="0.2">
      <c r="A312" s="5" t="s">
        <v>46</v>
      </c>
      <c r="B312" s="5" t="s">
        <v>4</v>
      </c>
      <c r="C312" s="6" t="s">
        <v>26</v>
      </c>
      <c r="D312" s="7">
        <v>0.36629</v>
      </c>
      <c r="E312">
        <v>0.36318</v>
      </c>
      <c r="F312">
        <v>0.71543000000000001</v>
      </c>
      <c r="G312">
        <v>0.59887999999999997</v>
      </c>
      <c r="H312">
        <v>0.50951999999999997</v>
      </c>
      <c r="I312">
        <v>0.45032</v>
      </c>
      <c r="J312">
        <v>0.41772999999999999</v>
      </c>
      <c r="K312">
        <v>0.43339</v>
      </c>
      <c r="L312">
        <v>0.33678000000000002</v>
      </c>
      <c r="M312">
        <v>0.41466999999999998</v>
      </c>
      <c r="N312">
        <v>0.41220000000000001</v>
      </c>
      <c r="O312" s="8">
        <f>VLOOKUP($B312,floorspace!$B$4:$O$12,'shell factors calc'!O$2+1,FALSE)</f>
        <v>493.03372200000001</v>
      </c>
      <c r="P312" s="8">
        <f>VLOOKUP($B312,floorspace!$B$4:$O$12,'shell factors calc'!P$2+1,FALSE)</f>
        <v>613.36340299999995</v>
      </c>
      <c r="Q312" s="8">
        <f>VLOOKUP($B312,floorspace!$B$4:$O$12,'shell factors calc'!Q$2+1,FALSE)</f>
        <v>83.332572999999996</v>
      </c>
      <c r="R312" s="8">
        <f>VLOOKUP($B312,floorspace!$B$4:$O$12,'shell factors calc'!R$2+1,FALSE)</f>
        <v>59.808208</v>
      </c>
      <c r="S312" s="8">
        <f>VLOOKUP($B312,floorspace!$B$4:$O$12,'shell factors calc'!S$2+1,FALSE)</f>
        <v>89.040115</v>
      </c>
      <c r="T312" s="8">
        <f>VLOOKUP($B312,floorspace!$B$4:$O$12,'shell factors calc'!T$2+1,FALSE)</f>
        <v>316.81848100000002</v>
      </c>
      <c r="U312" s="8">
        <f>VLOOKUP($B312,floorspace!$B$4:$O$12,'shell factors calc'!U$2+1,FALSE)</f>
        <v>318.18734699999999</v>
      </c>
      <c r="V312" s="8">
        <f>VLOOKUP($B312,floorspace!$B$4:$O$12,'shell factors calc'!V$2+1,FALSE)</f>
        <v>237.53892500000001</v>
      </c>
      <c r="W312" s="8">
        <f>VLOOKUP($B312,floorspace!$B$4:$O$12,'shell factors calc'!W$2+1,FALSE)</f>
        <v>666.73236099999997</v>
      </c>
      <c r="X312" s="8">
        <f>VLOOKUP($B312,floorspace!$B$4:$O$12,'shell factors calc'!X$2+1,FALSE)</f>
        <v>461.64859000000001</v>
      </c>
      <c r="Y312" s="8">
        <f>VLOOKUP($B312,floorspace!$B$4:$O$12,'shell factors calc'!Y$2+1,FALSE)</f>
        <v>364.49435399999999</v>
      </c>
      <c r="Z312">
        <f t="shared" si="4"/>
        <v>0.40197389531092409</v>
      </c>
    </row>
    <row r="313" spans="1:26" x14ac:dyDescent="0.2">
      <c r="A313" s="5" t="s">
        <v>46</v>
      </c>
      <c r="B313" s="5" t="s">
        <v>4</v>
      </c>
      <c r="C313" s="6" t="s">
        <v>27</v>
      </c>
      <c r="D313" s="7">
        <v>0.35559099999999999</v>
      </c>
      <c r="E313">
        <v>0.35222700000000001</v>
      </c>
      <c r="F313">
        <v>0.71062999999999998</v>
      </c>
      <c r="G313">
        <v>0.59282599999999996</v>
      </c>
      <c r="H313">
        <v>0.50052200000000002</v>
      </c>
      <c r="I313">
        <v>0.43971500000000002</v>
      </c>
      <c r="J313">
        <v>0.40705799999999998</v>
      </c>
      <c r="K313">
        <v>0.42433500000000002</v>
      </c>
      <c r="L313">
        <v>0.32528499999999999</v>
      </c>
      <c r="M313">
        <v>0.40301999999999999</v>
      </c>
      <c r="N313">
        <v>0.40157999999999999</v>
      </c>
      <c r="O313" s="8">
        <f>VLOOKUP($B313,floorspace!$B$4:$O$12,'shell factors calc'!O$2+1,FALSE)</f>
        <v>493.03372200000001</v>
      </c>
      <c r="P313" s="8">
        <f>VLOOKUP($B313,floorspace!$B$4:$O$12,'shell factors calc'!P$2+1,FALSE)</f>
        <v>613.36340299999995</v>
      </c>
      <c r="Q313" s="8">
        <f>VLOOKUP($B313,floorspace!$B$4:$O$12,'shell factors calc'!Q$2+1,FALSE)</f>
        <v>83.332572999999996</v>
      </c>
      <c r="R313" s="8">
        <f>VLOOKUP($B313,floorspace!$B$4:$O$12,'shell factors calc'!R$2+1,FALSE)</f>
        <v>59.808208</v>
      </c>
      <c r="S313" s="8">
        <f>VLOOKUP($B313,floorspace!$B$4:$O$12,'shell factors calc'!S$2+1,FALSE)</f>
        <v>89.040115</v>
      </c>
      <c r="T313" s="8">
        <f>VLOOKUP($B313,floorspace!$B$4:$O$12,'shell factors calc'!T$2+1,FALSE)</f>
        <v>316.81848100000002</v>
      </c>
      <c r="U313" s="8">
        <f>VLOOKUP($B313,floorspace!$B$4:$O$12,'shell factors calc'!U$2+1,FALSE)</f>
        <v>318.18734699999999</v>
      </c>
      <c r="V313" s="8">
        <f>VLOOKUP($B313,floorspace!$B$4:$O$12,'shell factors calc'!V$2+1,FALSE)</f>
        <v>237.53892500000001</v>
      </c>
      <c r="W313" s="8">
        <f>VLOOKUP($B313,floorspace!$B$4:$O$12,'shell factors calc'!W$2+1,FALSE)</f>
        <v>666.73236099999997</v>
      </c>
      <c r="X313" s="8">
        <f>VLOOKUP($B313,floorspace!$B$4:$O$12,'shell factors calc'!X$2+1,FALSE)</f>
        <v>461.64859000000001</v>
      </c>
      <c r="Y313" s="8">
        <f>VLOOKUP($B313,floorspace!$B$4:$O$12,'shell factors calc'!Y$2+1,FALSE)</f>
        <v>364.49435399999999</v>
      </c>
      <c r="Z313">
        <f t="shared" si="4"/>
        <v>0.39134319588072664</v>
      </c>
    </row>
    <row r="314" spans="1:26" x14ac:dyDescent="0.2">
      <c r="A314" s="5" t="s">
        <v>46</v>
      </c>
      <c r="B314" s="5" t="s">
        <v>4</v>
      </c>
      <c r="C314" s="6" t="s">
        <v>28</v>
      </c>
      <c r="D314" s="7">
        <v>0.34520400000000001</v>
      </c>
      <c r="E314">
        <v>0.34160400000000002</v>
      </c>
      <c r="F314">
        <v>0.70586199999999999</v>
      </c>
      <c r="G314">
        <v>0.58683300000000005</v>
      </c>
      <c r="H314">
        <v>0.49168200000000001</v>
      </c>
      <c r="I314">
        <v>0.42935899999999999</v>
      </c>
      <c r="J314">
        <v>0.39665899999999998</v>
      </c>
      <c r="K314">
        <v>0.41547000000000001</v>
      </c>
      <c r="L314">
        <v>0.31418200000000002</v>
      </c>
      <c r="M314">
        <v>0.39169799999999999</v>
      </c>
      <c r="N314">
        <v>0.391233</v>
      </c>
      <c r="O314" s="8">
        <f>VLOOKUP($B314,floorspace!$B$4:$O$12,'shell factors calc'!O$2+1,FALSE)</f>
        <v>493.03372200000001</v>
      </c>
      <c r="P314" s="8">
        <f>VLOOKUP($B314,floorspace!$B$4:$O$12,'shell factors calc'!P$2+1,FALSE)</f>
        <v>613.36340299999995</v>
      </c>
      <c r="Q314" s="8">
        <f>VLOOKUP($B314,floorspace!$B$4:$O$12,'shell factors calc'!Q$2+1,FALSE)</f>
        <v>83.332572999999996</v>
      </c>
      <c r="R314" s="8">
        <f>VLOOKUP($B314,floorspace!$B$4:$O$12,'shell factors calc'!R$2+1,FALSE)</f>
        <v>59.808208</v>
      </c>
      <c r="S314" s="8">
        <f>VLOOKUP($B314,floorspace!$B$4:$O$12,'shell factors calc'!S$2+1,FALSE)</f>
        <v>89.040115</v>
      </c>
      <c r="T314" s="8">
        <f>VLOOKUP($B314,floorspace!$B$4:$O$12,'shell factors calc'!T$2+1,FALSE)</f>
        <v>316.81848100000002</v>
      </c>
      <c r="U314" s="8">
        <f>VLOOKUP($B314,floorspace!$B$4:$O$12,'shell factors calc'!U$2+1,FALSE)</f>
        <v>318.18734699999999</v>
      </c>
      <c r="V314" s="8">
        <f>VLOOKUP($B314,floorspace!$B$4:$O$12,'shell factors calc'!V$2+1,FALSE)</f>
        <v>237.53892500000001</v>
      </c>
      <c r="W314" s="8">
        <f>VLOOKUP($B314,floorspace!$B$4:$O$12,'shell factors calc'!W$2+1,FALSE)</f>
        <v>666.73236099999997</v>
      </c>
      <c r="X314" s="8">
        <f>VLOOKUP($B314,floorspace!$B$4:$O$12,'shell factors calc'!X$2+1,FALSE)</f>
        <v>461.64859000000001</v>
      </c>
      <c r="Y314" s="8">
        <f>VLOOKUP($B314,floorspace!$B$4:$O$12,'shell factors calc'!Y$2+1,FALSE)</f>
        <v>364.49435399999999</v>
      </c>
      <c r="Z314">
        <f t="shared" ref="Z314:Z375" si="5">SUMPRODUCT(D314:N314,O314:Y314)/SUM(O314:Y314)</f>
        <v>0.38100941665051719</v>
      </c>
    </row>
    <row r="315" spans="1:26" x14ac:dyDescent="0.2">
      <c r="A315" s="5" t="s">
        <v>46</v>
      </c>
      <c r="B315" s="5" t="s">
        <v>4</v>
      </c>
      <c r="C315" s="6" t="s">
        <v>29</v>
      </c>
      <c r="D315" s="7">
        <v>0.335121</v>
      </c>
      <c r="E315">
        <v>0.33130199999999999</v>
      </c>
      <c r="F315">
        <v>0.701125</v>
      </c>
      <c r="G315">
        <v>0.580901</v>
      </c>
      <c r="H315">
        <v>0.48299900000000001</v>
      </c>
      <c r="I315">
        <v>0.41924800000000001</v>
      </c>
      <c r="J315">
        <v>0.38652500000000001</v>
      </c>
      <c r="K315">
        <v>0.40678999999999998</v>
      </c>
      <c r="L315">
        <v>0.30345800000000001</v>
      </c>
      <c r="M315">
        <v>0.38069399999999998</v>
      </c>
      <c r="N315">
        <v>0.38115199999999999</v>
      </c>
      <c r="O315" s="8">
        <f>VLOOKUP($B315,floorspace!$B$4:$O$12,'shell factors calc'!O$2+1,FALSE)</f>
        <v>493.03372200000001</v>
      </c>
      <c r="P315" s="8">
        <f>VLOOKUP($B315,floorspace!$B$4:$O$12,'shell factors calc'!P$2+1,FALSE)</f>
        <v>613.36340299999995</v>
      </c>
      <c r="Q315" s="8">
        <f>VLOOKUP($B315,floorspace!$B$4:$O$12,'shell factors calc'!Q$2+1,FALSE)</f>
        <v>83.332572999999996</v>
      </c>
      <c r="R315" s="8">
        <f>VLOOKUP($B315,floorspace!$B$4:$O$12,'shell factors calc'!R$2+1,FALSE)</f>
        <v>59.808208</v>
      </c>
      <c r="S315" s="8">
        <f>VLOOKUP($B315,floorspace!$B$4:$O$12,'shell factors calc'!S$2+1,FALSE)</f>
        <v>89.040115</v>
      </c>
      <c r="T315" s="8">
        <f>VLOOKUP($B315,floorspace!$B$4:$O$12,'shell factors calc'!T$2+1,FALSE)</f>
        <v>316.81848100000002</v>
      </c>
      <c r="U315" s="8">
        <f>VLOOKUP($B315,floorspace!$B$4:$O$12,'shell factors calc'!U$2+1,FALSE)</f>
        <v>318.18734699999999</v>
      </c>
      <c r="V315" s="8">
        <f>VLOOKUP($B315,floorspace!$B$4:$O$12,'shell factors calc'!V$2+1,FALSE)</f>
        <v>237.53892500000001</v>
      </c>
      <c r="W315" s="8">
        <f>VLOOKUP($B315,floorspace!$B$4:$O$12,'shell factors calc'!W$2+1,FALSE)</f>
        <v>666.73236099999997</v>
      </c>
      <c r="X315" s="8">
        <f>VLOOKUP($B315,floorspace!$B$4:$O$12,'shell factors calc'!X$2+1,FALSE)</f>
        <v>461.64859000000001</v>
      </c>
      <c r="Y315" s="8">
        <f>VLOOKUP($B315,floorspace!$B$4:$O$12,'shell factors calc'!Y$2+1,FALSE)</f>
        <v>364.49435399999999</v>
      </c>
      <c r="Z315">
        <f t="shared" si="5"/>
        <v>0.37096433060536826</v>
      </c>
    </row>
    <row r="316" spans="1:26" x14ac:dyDescent="0.2">
      <c r="A316" s="5" t="s">
        <v>46</v>
      </c>
      <c r="B316" s="5" t="s">
        <v>4</v>
      </c>
      <c r="C316" s="6" t="s">
        <v>30</v>
      </c>
      <c r="D316" s="7">
        <v>0.32533200000000001</v>
      </c>
      <c r="E316">
        <v>0.32130999999999998</v>
      </c>
      <c r="F316">
        <v>0.69642099999999996</v>
      </c>
      <c r="G316">
        <v>0.57502799999999998</v>
      </c>
      <c r="H316">
        <v>0.474468</v>
      </c>
      <c r="I316">
        <v>0.40937499999999999</v>
      </c>
      <c r="J316">
        <v>0.37664999999999998</v>
      </c>
      <c r="K316">
        <v>0.39829100000000001</v>
      </c>
      <c r="L316">
        <v>0.293101</v>
      </c>
      <c r="M316">
        <v>0.36999799999999999</v>
      </c>
      <c r="N316">
        <v>0.371332</v>
      </c>
      <c r="O316" s="8">
        <f>VLOOKUP($B316,floorspace!$B$4:$O$12,'shell factors calc'!O$2+1,FALSE)</f>
        <v>493.03372200000001</v>
      </c>
      <c r="P316" s="8">
        <f>VLOOKUP($B316,floorspace!$B$4:$O$12,'shell factors calc'!P$2+1,FALSE)</f>
        <v>613.36340299999995</v>
      </c>
      <c r="Q316" s="8">
        <f>VLOOKUP($B316,floorspace!$B$4:$O$12,'shell factors calc'!Q$2+1,FALSE)</f>
        <v>83.332572999999996</v>
      </c>
      <c r="R316" s="8">
        <f>VLOOKUP($B316,floorspace!$B$4:$O$12,'shell factors calc'!R$2+1,FALSE)</f>
        <v>59.808208</v>
      </c>
      <c r="S316" s="8">
        <f>VLOOKUP($B316,floorspace!$B$4:$O$12,'shell factors calc'!S$2+1,FALSE)</f>
        <v>89.040115</v>
      </c>
      <c r="T316" s="8">
        <f>VLOOKUP($B316,floorspace!$B$4:$O$12,'shell factors calc'!T$2+1,FALSE)</f>
        <v>316.81848100000002</v>
      </c>
      <c r="U316" s="8">
        <f>VLOOKUP($B316,floorspace!$B$4:$O$12,'shell factors calc'!U$2+1,FALSE)</f>
        <v>318.18734699999999</v>
      </c>
      <c r="V316" s="8">
        <f>VLOOKUP($B316,floorspace!$B$4:$O$12,'shell factors calc'!V$2+1,FALSE)</f>
        <v>237.53892500000001</v>
      </c>
      <c r="W316" s="8">
        <f>VLOOKUP($B316,floorspace!$B$4:$O$12,'shell factors calc'!W$2+1,FALSE)</f>
        <v>666.73236099999997</v>
      </c>
      <c r="X316" s="8">
        <f>VLOOKUP($B316,floorspace!$B$4:$O$12,'shell factors calc'!X$2+1,FALSE)</f>
        <v>461.64859000000001</v>
      </c>
      <c r="Y316" s="8">
        <f>VLOOKUP($B316,floorspace!$B$4:$O$12,'shell factors calc'!Y$2+1,FALSE)</f>
        <v>364.49435399999999</v>
      </c>
      <c r="Z316">
        <f t="shared" si="5"/>
        <v>0.36119940851794924</v>
      </c>
    </row>
    <row r="317" spans="1:26" x14ac:dyDescent="0.2">
      <c r="A317" s="5" t="s">
        <v>46</v>
      </c>
      <c r="B317" s="5" t="s">
        <v>4</v>
      </c>
      <c r="C317" s="6" t="s">
        <v>31</v>
      </c>
      <c r="D317" s="7">
        <v>0.31582900000000003</v>
      </c>
      <c r="E317">
        <v>0.31162000000000001</v>
      </c>
      <c r="F317">
        <v>0.69174800000000003</v>
      </c>
      <c r="G317">
        <v>0.56921500000000003</v>
      </c>
      <c r="H317">
        <v>0.46608899999999998</v>
      </c>
      <c r="I317">
        <v>0.39973399999999998</v>
      </c>
      <c r="J317">
        <v>0.36702800000000002</v>
      </c>
      <c r="K317">
        <v>0.38996999999999998</v>
      </c>
      <c r="L317">
        <v>0.28309600000000001</v>
      </c>
      <c r="M317">
        <v>0.35960399999999998</v>
      </c>
      <c r="N317">
        <v>0.36176399999999997</v>
      </c>
      <c r="O317" s="8">
        <f>VLOOKUP($B317,floorspace!$B$4:$O$12,'shell factors calc'!O$2+1,FALSE)</f>
        <v>493.03372200000001</v>
      </c>
      <c r="P317" s="8">
        <f>VLOOKUP($B317,floorspace!$B$4:$O$12,'shell factors calc'!P$2+1,FALSE)</f>
        <v>613.36340299999995</v>
      </c>
      <c r="Q317" s="8">
        <f>VLOOKUP($B317,floorspace!$B$4:$O$12,'shell factors calc'!Q$2+1,FALSE)</f>
        <v>83.332572999999996</v>
      </c>
      <c r="R317" s="8">
        <f>VLOOKUP($B317,floorspace!$B$4:$O$12,'shell factors calc'!R$2+1,FALSE)</f>
        <v>59.808208</v>
      </c>
      <c r="S317" s="8">
        <f>VLOOKUP($B317,floorspace!$B$4:$O$12,'shell factors calc'!S$2+1,FALSE)</f>
        <v>89.040115</v>
      </c>
      <c r="T317" s="8">
        <f>VLOOKUP($B317,floorspace!$B$4:$O$12,'shell factors calc'!T$2+1,FALSE)</f>
        <v>316.81848100000002</v>
      </c>
      <c r="U317" s="8">
        <f>VLOOKUP($B317,floorspace!$B$4:$O$12,'shell factors calc'!U$2+1,FALSE)</f>
        <v>318.18734699999999</v>
      </c>
      <c r="V317" s="8">
        <f>VLOOKUP($B317,floorspace!$B$4:$O$12,'shell factors calc'!V$2+1,FALSE)</f>
        <v>237.53892500000001</v>
      </c>
      <c r="W317" s="8">
        <f>VLOOKUP($B317,floorspace!$B$4:$O$12,'shell factors calc'!W$2+1,FALSE)</f>
        <v>666.73236099999997</v>
      </c>
      <c r="X317" s="8">
        <f>VLOOKUP($B317,floorspace!$B$4:$O$12,'shell factors calc'!X$2+1,FALSE)</f>
        <v>461.64859000000001</v>
      </c>
      <c r="Y317" s="8">
        <f>VLOOKUP($B317,floorspace!$B$4:$O$12,'shell factors calc'!Y$2+1,FALSE)</f>
        <v>364.49435399999999</v>
      </c>
      <c r="Z317">
        <f t="shared" si="5"/>
        <v>0.35170667737877331</v>
      </c>
    </row>
    <row r="318" spans="1:26" x14ac:dyDescent="0.2">
      <c r="A318" s="5" t="s">
        <v>46</v>
      </c>
      <c r="B318" s="5" t="s">
        <v>4</v>
      </c>
      <c r="C318" s="6" t="s">
        <v>32</v>
      </c>
      <c r="D318" s="7">
        <v>0.30660399999999999</v>
      </c>
      <c r="E318">
        <v>0.30222199999999999</v>
      </c>
      <c r="F318">
        <v>0.68710700000000002</v>
      </c>
      <c r="G318">
        <v>0.56346099999999999</v>
      </c>
      <c r="H318">
        <v>0.45785799999999999</v>
      </c>
      <c r="I318">
        <v>0.39032</v>
      </c>
      <c r="J318">
        <v>0.357651</v>
      </c>
      <c r="K318">
        <v>0.38182300000000002</v>
      </c>
      <c r="L318">
        <v>0.27343400000000001</v>
      </c>
      <c r="M318">
        <v>0.34950100000000001</v>
      </c>
      <c r="N318">
        <v>0.35244300000000001</v>
      </c>
      <c r="O318" s="8">
        <f>VLOOKUP($B318,floorspace!$B$4:$O$12,'shell factors calc'!O$2+1,FALSE)</f>
        <v>493.03372200000001</v>
      </c>
      <c r="P318" s="8">
        <f>VLOOKUP($B318,floorspace!$B$4:$O$12,'shell factors calc'!P$2+1,FALSE)</f>
        <v>613.36340299999995</v>
      </c>
      <c r="Q318" s="8">
        <f>VLOOKUP($B318,floorspace!$B$4:$O$12,'shell factors calc'!Q$2+1,FALSE)</f>
        <v>83.332572999999996</v>
      </c>
      <c r="R318" s="8">
        <f>VLOOKUP($B318,floorspace!$B$4:$O$12,'shell factors calc'!R$2+1,FALSE)</f>
        <v>59.808208</v>
      </c>
      <c r="S318" s="8">
        <f>VLOOKUP($B318,floorspace!$B$4:$O$12,'shell factors calc'!S$2+1,FALSE)</f>
        <v>89.040115</v>
      </c>
      <c r="T318" s="8">
        <f>VLOOKUP($B318,floorspace!$B$4:$O$12,'shell factors calc'!T$2+1,FALSE)</f>
        <v>316.81848100000002</v>
      </c>
      <c r="U318" s="8">
        <f>VLOOKUP($B318,floorspace!$B$4:$O$12,'shell factors calc'!U$2+1,FALSE)</f>
        <v>318.18734699999999</v>
      </c>
      <c r="V318" s="8">
        <f>VLOOKUP($B318,floorspace!$B$4:$O$12,'shell factors calc'!V$2+1,FALSE)</f>
        <v>237.53892500000001</v>
      </c>
      <c r="W318" s="8">
        <f>VLOOKUP($B318,floorspace!$B$4:$O$12,'shell factors calc'!W$2+1,FALSE)</f>
        <v>666.73236099999997</v>
      </c>
      <c r="X318" s="8">
        <f>VLOOKUP($B318,floorspace!$B$4:$O$12,'shell factors calc'!X$2+1,FALSE)</f>
        <v>461.64859000000001</v>
      </c>
      <c r="Y318" s="8">
        <f>VLOOKUP($B318,floorspace!$B$4:$O$12,'shell factors calc'!Y$2+1,FALSE)</f>
        <v>364.49435399999999</v>
      </c>
      <c r="Z318">
        <f t="shared" si="5"/>
        <v>0.34247847209631377</v>
      </c>
    </row>
    <row r="319" spans="1:26" x14ac:dyDescent="0.2">
      <c r="A319" s="5" t="s">
        <v>46</v>
      </c>
      <c r="B319" s="5" t="s">
        <v>4</v>
      </c>
      <c r="C319" s="6" t="s">
        <v>33</v>
      </c>
      <c r="D319" s="7">
        <v>0.29764800000000002</v>
      </c>
      <c r="E319">
        <v>0.29310700000000001</v>
      </c>
      <c r="F319">
        <v>0.68249599999999999</v>
      </c>
      <c r="G319">
        <v>0.55776499999999996</v>
      </c>
      <c r="H319">
        <v>0.44977099999999998</v>
      </c>
      <c r="I319">
        <v>0.38112800000000002</v>
      </c>
      <c r="J319">
        <v>0.34851399999999999</v>
      </c>
      <c r="K319">
        <v>0.37384499999999998</v>
      </c>
      <c r="L319">
        <v>0.26410099999999997</v>
      </c>
      <c r="M319">
        <v>0.33968199999999998</v>
      </c>
      <c r="N319">
        <v>0.34336299999999997</v>
      </c>
      <c r="O319" s="8">
        <f>VLOOKUP($B319,floorspace!$B$4:$O$12,'shell factors calc'!O$2+1,FALSE)</f>
        <v>493.03372200000001</v>
      </c>
      <c r="P319" s="8">
        <f>VLOOKUP($B319,floorspace!$B$4:$O$12,'shell factors calc'!P$2+1,FALSE)</f>
        <v>613.36340299999995</v>
      </c>
      <c r="Q319" s="8">
        <f>VLOOKUP($B319,floorspace!$B$4:$O$12,'shell factors calc'!Q$2+1,FALSE)</f>
        <v>83.332572999999996</v>
      </c>
      <c r="R319" s="8">
        <f>VLOOKUP($B319,floorspace!$B$4:$O$12,'shell factors calc'!R$2+1,FALSE)</f>
        <v>59.808208</v>
      </c>
      <c r="S319" s="8">
        <f>VLOOKUP($B319,floorspace!$B$4:$O$12,'shell factors calc'!S$2+1,FALSE)</f>
        <v>89.040115</v>
      </c>
      <c r="T319" s="8">
        <f>VLOOKUP($B319,floorspace!$B$4:$O$12,'shell factors calc'!T$2+1,FALSE)</f>
        <v>316.81848100000002</v>
      </c>
      <c r="U319" s="8">
        <f>VLOOKUP($B319,floorspace!$B$4:$O$12,'shell factors calc'!U$2+1,FALSE)</f>
        <v>318.18734699999999</v>
      </c>
      <c r="V319" s="8">
        <f>VLOOKUP($B319,floorspace!$B$4:$O$12,'shell factors calc'!V$2+1,FALSE)</f>
        <v>237.53892500000001</v>
      </c>
      <c r="W319" s="8">
        <f>VLOOKUP($B319,floorspace!$B$4:$O$12,'shell factors calc'!W$2+1,FALSE)</f>
        <v>666.73236099999997</v>
      </c>
      <c r="X319" s="8">
        <f>VLOOKUP($B319,floorspace!$B$4:$O$12,'shell factors calc'!X$2+1,FALSE)</f>
        <v>461.64859000000001</v>
      </c>
      <c r="Y319" s="8">
        <f>VLOOKUP($B319,floorspace!$B$4:$O$12,'shell factors calc'!Y$2+1,FALSE)</f>
        <v>364.49435399999999</v>
      </c>
      <c r="Z319">
        <f t="shared" si="5"/>
        <v>0.33350678627035657</v>
      </c>
    </row>
    <row r="320" spans="1:26" x14ac:dyDescent="0.2">
      <c r="A320" s="5" t="s">
        <v>46</v>
      </c>
      <c r="B320" s="5" t="s">
        <v>4</v>
      </c>
      <c r="C320" s="6" t="s">
        <v>34</v>
      </c>
      <c r="D320" s="7">
        <v>0.28895399999999999</v>
      </c>
      <c r="E320">
        <v>0.28426800000000002</v>
      </c>
      <c r="F320">
        <v>0.67791699999999999</v>
      </c>
      <c r="G320">
        <v>0.55212600000000001</v>
      </c>
      <c r="H320">
        <v>0.441828</v>
      </c>
      <c r="I320">
        <v>0.37215199999999998</v>
      </c>
      <c r="J320">
        <v>0.339611</v>
      </c>
      <c r="K320">
        <v>0.366035</v>
      </c>
      <c r="L320">
        <v>0.25508599999999998</v>
      </c>
      <c r="M320">
        <v>0.33013900000000002</v>
      </c>
      <c r="N320">
        <v>0.33451599999999998</v>
      </c>
      <c r="O320" s="8">
        <f>VLOOKUP($B320,floorspace!$B$4:$O$12,'shell factors calc'!O$2+1,FALSE)</f>
        <v>493.03372200000001</v>
      </c>
      <c r="P320" s="8">
        <f>VLOOKUP($B320,floorspace!$B$4:$O$12,'shell factors calc'!P$2+1,FALSE)</f>
        <v>613.36340299999995</v>
      </c>
      <c r="Q320" s="8">
        <f>VLOOKUP($B320,floorspace!$B$4:$O$12,'shell factors calc'!Q$2+1,FALSE)</f>
        <v>83.332572999999996</v>
      </c>
      <c r="R320" s="8">
        <f>VLOOKUP($B320,floorspace!$B$4:$O$12,'shell factors calc'!R$2+1,FALSE)</f>
        <v>59.808208</v>
      </c>
      <c r="S320" s="8">
        <f>VLOOKUP($B320,floorspace!$B$4:$O$12,'shell factors calc'!S$2+1,FALSE)</f>
        <v>89.040115</v>
      </c>
      <c r="T320" s="8">
        <f>VLOOKUP($B320,floorspace!$B$4:$O$12,'shell factors calc'!T$2+1,FALSE)</f>
        <v>316.81848100000002</v>
      </c>
      <c r="U320" s="8">
        <f>VLOOKUP($B320,floorspace!$B$4:$O$12,'shell factors calc'!U$2+1,FALSE)</f>
        <v>318.18734699999999</v>
      </c>
      <c r="V320" s="8">
        <f>VLOOKUP($B320,floorspace!$B$4:$O$12,'shell factors calc'!V$2+1,FALSE)</f>
        <v>237.53892500000001</v>
      </c>
      <c r="W320" s="8">
        <f>VLOOKUP($B320,floorspace!$B$4:$O$12,'shell factors calc'!W$2+1,FALSE)</f>
        <v>666.73236099999997</v>
      </c>
      <c r="X320" s="8">
        <f>VLOOKUP($B320,floorspace!$B$4:$O$12,'shell factors calc'!X$2+1,FALSE)</f>
        <v>461.64859000000001</v>
      </c>
      <c r="Y320" s="8">
        <f>VLOOKUP($B320,floorspace!$B$4:$O$12,'shell factors calc'!Y$2+1,FALSE)</f>
        <v>364.49435399999999</v>
      </c>
      <c r="Z320">
        <f t="shared" si="5"/>
        <v>0.3247847007028335</v>
      </c>
    </row>
    <row r="321" spans="1:26" x14ac:dyDescent="0.2">
      <c r="A321" s="5" t="s">
        <v>46</v>
      </c>
      <c r="B321" s="5" t="s">
        <v>4</v>
      </c>
      <c r="C321" s="6" t="s">
        <v>35</v>
      </c>
      <c r="D321" s="7">
        <v>0.28051399999999999</v>
      </c>
      <c r="E321">
        <v>0.27569500000000002</v>
      </c>
      <c r="F321">
        <v>0.67336799999999997</v>
      </c>
      <c r="G321">
        <v>0.54654499999999995</v>
      </c>
      <c r="H321">
        <v>0.43402499999999999</v>
      </c>
      <c r="I321">
        <v>0.36338799999999999</v>
      </c>
      <c r="J321">
        <v>0.33093400000000001</v>
      </c>
      <c r="K321">
        <v>0.35838799999999998</v>
      </c>
      <c r="L321">
        <v>0.24637999999999999</v>
      </c>
      <c r="M321">
        <v>0.32086399999999998</v>
      </c>
      <c r="N321">
        <v>0.32589699999999999</v>
      </c>
      <c r="O321" s="8">
        <f>VLOOKUP($B321,floorspace!$B$4:$O$12,'shell factors calc'!O$2+1,FALSE)</f>
        <v>493.03372200000001</v>
      </c>
      <c r="P321" s="8">
        <f>VLOOKUP($B321,floorspace!$B$4:$O$12,'shell factors calc'!P$2+1,FALSE)</f>
        <v>613.36340299999995</v>
      </c>
      <c r="Q321" s="8">
        <f>VLOOKUP($B321,floorspace!$B$4:$O$12,'shell factors calc'!Q$2+1,FALSE)</f>
        <v>83.332572999999996</v>
      </c>
      <c r="R321" s="8">
        <f>VLOOKUP($B321,floorspace!$B$4:$O$12,'shell factors calc'!R$2+1,FALSE)</f>
        <v>59.808208</v>
      </c>
      <c r="S321" s="8">
        <f>VLOOKUP($B321,floorspace!$B$4:$O$12,'shell factors calc'!S$2+1,FALSE)</f>
        <v>89.040115</v>
      </c>
      <c r="T321" s="8">
        <f>VLOOKUP($B321,floorspace!$B$4:$O$12,'shell factors calc'!T$2+1,FALSE)</f>
        <v>316.81848100000002</v>
      </c>
      <c r="U321" s="8">
        <f>VLOOKUP($B321,floorspace!$B$4:$O$12,'shell factors calc'!U$2+1,FALSE)</f>
        <v>318.18734699999999</v>
      </c>
      <c r="V321" s="8">
        <f>VLOOKUP($B321,floorspace!$B$4:$O$12,'shell factors calc'!V$2+1,FALSE)</f>
        <v>237.53892500000001</v>
      </c>
      <c r="W321" s="8">
        <f>VLOOKUP($B321,floorspace!$B$4:$O$12,'shell factors calc'!W$2+1,FALSE)</f>
        <v>666.73236099999997</v>
      </c>
      <c r="X321" s="8">
        <f>VLOOKUP($B321,floorspace!$B$4:$O$12,'shell factors calc'!X$2+1,FALSE)</f>
        <v>461.64859000000001</v>
      </c>
      <c r="Y321" s="8">
        <f>VLOOKUP($B321,floorspace!$B$4:$O$12,'shell factors calc'!Y$2+1,FALSE)</f>
        <v>364.49435399999999</v>
      </c>
      <c r="Z321">
        <f t="shared" si="5"/>
        <v>0.31630491041148184</v>
      </c>
    </row>
    <row r="322" spans="1:26" x14ac:dyDescent="0.2">
      <c r="A322" s="5" t="s">
        <v>46</v>
      </c>
      <c r="B322" s="1" t="s">
        <v>4</v>
      </c>
      <c r="C322" s="2" t="s">
        <v>36</v>
      </c>
      <c r="D322" s="4">
        <v>0.27232000000000001</v>
      </c>
      <c r="E322">
        <v>0.26738000000000001</v>
      </c>
      <c r="F322">
        <v>0.66884999999999994</v>
      </c>
      <c r="G322">
        <v>0.54101999999999995</v>
      </c>
      <c r="H322">
        <v>0.42636000000000002</v>
      </c>
      <c r="I322">
        <v>0.35482999999999998</v>
      </c>
      <c r="J322">
        <v>0.32247999999999999</v>
      </c>
      <c r="K322">
        <v>0.35089999999999999</v>
      </c>
      <c r="L322">
        <v>0.23796999999999999</v>
      </c>
      <c r="M322">
        <v>0.31185000000000002</v>
      </c>
      <c r="N322">
        <v>0.3175</v>
      </c>
      <c r="O322" s="8">
        <f>VLOOKUP($B322,floorspace!$B$4:$O$12,'shell factors calc'!O$2+1,FALSE)</f>
        <v>493.03372200000001</v>
      </c>
      <c r="P322" s="8">
        <f>VLOOKUP($B322,floorspace!$B$4:$O$12,'shell factors calc'!P$2+1,FALSE)</f>
        <v>613.36340299999995</v>
      </c>
      <c r="Q322" s="8">
        <f>VLOOKUP($B322,floorspace!$B$4:$O$12,'shell factors calc'!Q$2+1,FALSE)</f>
        <v>83.332572999999996</v>
      </c>
      <c r="R322" s="8">
        <f>VLOOKUP($B322,floorspace!$B$4:$O$12,'shell factors calc'!R$2+1,FALSE)</f>
        <v>59.808208</v>
      </c>
      <c r="S322" s="8">
        <f>VLOOKUP($B322,floorspace!$B$4:$O$12,'shell factors calc'!S$2+1,FALSE)</f>
        <v>89.040115</v>
      </c>
      <c r="T322" s="8">
        <f>VLOOKUP($B322,floorspace!$B$4:$O$12,'shell factors calc'!T$2+1,FALSE)</f>
        <v>316.81848100000002</v>
      </c>
      <c r="U322" s="8">
        <f>VLOOKUP($B322,floorspace!$B$4:$O$12,'shell factors calc'!U$2+1,FALSE)</f>
        <v>318.18734699999999</v>
      </c>
      <c r="V322" s="8">
        <f>VLOOKUP($B322,floorspace!$B$4:$O$12,'shell factors calc'!V$2+1,FALSE)</f>
        <v>237.53892500000001</v>
      </c>
      <c r="W322" s="8">
        <f>VLOOKUP($B322,floorspace!$B$4:$O$12,'shell factors calc'!W$2+1,FALSE)</f>
        <v>666.73236099999997</v>
      </c>
      <c r="X322" s="8">
        <f>VLOOKUP($B322,floorspace!$B$4:$O$12,'shell factors calc'!X$2+1,FALSE)</f>
        <v>461.64859000000001</v>
      </c>
      <c r="Y322" s="8">
        <f>VLOOKUP($B322,floorspace!$B$4:$O$12,'shell factors calc'!Y$2+1,FALSE)</f>
        <v>364.49435399999999</v>
      </c>
      <c r="Z322">
        <f t="shared" si="5"/>
        <v>0.3080601375316615</v>
      </c>
    </row>
    <row r="323" spans="1:26" x14ac:dyDescent="0.2">
      <c r="A323" s="5" t="s">
        <v>46</v>
      </c>
      <c r="B323" s="5" t="s">
        <v>37</v>
      </c>
      <c r="C323" s="6" t="s">
        <v>5</v>
      </c>
      <c r="D323" s="7">
        <v>0.60542700000000005</v>
      </c>
      <c r="E323">
        <v>0.60670599999999997</v>
      </c>
      <c r="F323">
        <v>0.86966600000000005</v>
      </c>
      <c r="G323">
        <v>0.67967200000000005</v>
      </c>
      <c r="H323">
        <v>0.74073699999999998</v>
      </c>
      <c r="I323">
        <v>0.676705</v>
      </c>
      <c r="J323">
        <v>0.65219499999999997</v>
      </c>
      <c r="K323">
        <v>0.62954100000000002</v>
      </c>
      <c r="L323">
        <v>0.60311400000000004</v>
      </c>
      <c r="M323">
        <v>0.75534800000000002</v>
      </c>
      <c r="N323">
        <v>0.65431899999999998</v>
      </c>
      <c r="O323" s="8">
        <f>VLOOKUP($B323,floorspace!$B$4:$O$12,'shell factors calc'!O$2+1,FALSE)</f>
        <v>1185.1273189999999</v>
      </c>
      <c r="P323" s="8">
        <f>VLOOKUP($B323,floorspace!$B$4:$O$12,'shell factors calc'!P$2+1,FALSE)</f>
        <v>1901.63501</v>
      </c>
      <c r="Q323" s="8">
        <f>VLOOKUP($B323,floorspace!$B$4:$O$12,'shell factors calc'!Q$2+1,FALSE)</f>
        <v>53.974445000000003</v>
      </c>
      <c r="R323" s="8">
        <f>VLOOKUP($B323,floorspace!$B$4:$O$12,'shell factors calc'!R$2+1,FALSE)</f>
        <v>76.057404000000005</v>
      </c>
      <c r="S323" s="8">
        <f>VLOOKUP($B323,floorspace!$B$4:$O$12,'shell factors calc'!S$2+1,FALSE)</f>
        <v>260.10995500000001</v>
      </c>
      <c r="T323" s="8">
        <f>VLOOKUP($B323,floorspace!$B$4:$O$12,'shell factors calc'!T$2+1,FALSE)</f>
        <v>871.65142800000001</v>
      </c>
      <c r="U323" s="8">
        <f>VLOOKUP($B323,floorspace!$B$4:$O$12,'shell factors calc'!U$2+1,FALSE)</f>
        <v>2019.4379879999999</v>
      </c>
      <c r="V323" s="8">
        <f>VLOOKUP($B323,floorspace!$B$4:$O$12,'shell factors calc'!V$2+1,FALSE)</f>
        <v>962.05139199999996</v>
      </c>
      <c r="W323" s="8">
        <f>VLOOKUP($B323,floorspace!$B$4:$O$12,'shell factors calc'!W$2+1,FALSE)</f>
        <v>1967.076904</v>
      </c>
      <c r="X323" s="8">
        <f>VLOOKUP($B323,floorspace!$B$4:$O$12,'shell factors calc'!X$2+1,FALSE)</f>
        <v>1929.18335</v>
      </c>
      <c r="Y323" s="8">
        <f>VLOOKUP($B323,floorspace!$B$4:$O$12,'shell factors calc'!Y$2+1,FALSE)</f>
        <v>816.88464399999998</v>
      </c>
      <c r="Z323">
        <f t="shared" si="5"/>
        <v>0.6520861192000289</v>
      </c>
    </row>
    <row r="324" spans="1:26" x14ac:dyDescent="0.2">
      <c r="A324" s="5" t="s">
        <v>46</v>
      </c>
      <c r="B324" s="5" t="s">
        <v>37</v>
      </c>
      <c r="C324" s="6" t="s">
        <v>6</v>
      </c>
      <c r="D324" s="7">
        <v>0.59674000000000005</v>
      </c>
      <c r="E324">
        <v>0.59797999999999996</v>
      </c>
      <c r="F324">
        <v>0.85880999999999996</v>
      </c>
      <c r="G324">
        <v>0.67296999999999996</v>
      </c>
      <c r="H324">
        <v>0.73382999999999998</v>
      </c>
      <c r="I324">
        <v>0.66776999999999997</v>
      </c>
      <c r="J324">
        <v>0.64344000000000001</v>
      </c>
      <c r="K324">
        <v>0.62170000000000003</v>
      </c>
      <c r="L324">
        <v>0.59389999999999998</v>
      </c>
      <c r="M324">
        <v>0.74844999999999995</v>
      </c>
      <c r="N324">
        <v>0.64581</v>
      </c>
      <c r="O324" s="8">
        <f>VLOOKUP($B324,floorspace!$B$4:$O$12,'shell factors calc'!O$2+1,FALSE)</f>
        <v>1185.1273189999999</v>
      </c>
      <c r="P324" s="8">
        <f>VLOOKUP($B324,floorspace!$B$4:$O$12,'shell factors calc'!P$2+1,FALSE)</f>
        <v>1901.63501</v>
      </c>
      <c r="Q324" s="8">
        <f>VLOOKUP($B324,floorspace!$B$4:$O$12,'shell factors calc'!Q$2+1,FALSE)</f>
        <v>53.974445000000003</v>
      </c>
      <c r="R324" s="8">
        <f>VLOOKUP($B324,floorspace!$B$4:$O$12,'shell factors calc'!R$2+1,FALSE)</f>
        <v>76.057404000000005</v>
      </c>
      <c r="S324" s="8">
        <f>VLOOKUP($B324,floorspace!$B$4:$O$12,'shell factors calc'!S$2+1,FALSE)</f>
        <v>260.10995500000001</v>
      </c>
      <c r="T324" s="8">
        <f>VLOOKUP($B324,floorspace!$B$4:$O$12,'shell factors calc'!T$2+1,FALSE)</f>
        <v>871.65142800000001</v>
      </c>
      <c r="U324" s="8">
        <f>VLOOKUP($B324,floorspace!$B$4:$O$12,'shell factors calc'!U$2+1,FALSE)</f>
        <v>2019.4379879999999</v>
      </c>
      <c r="V324" s="8">
        <f>VLOOKUP($B324,floorspace!$B$4:$O$12,'shell factors calc'!V$2+1,FALSE)</f>
        <v>962.05139199999996</v>
      </c>
      <c r="W324" s="8">
        <f>VLOOKUP($B324,floorspace!$B$4:$O$12,'shell factors calc'!W$2+1,FALSE)</f>
        <v>1967.076904</v>
      </c>
      <c r="X324" s="8">
        <f>VLOOKUP($B324,floorspace!$B$4:$O$12,'shell factors calc'!X$2+1,FALSE)</f>
        <v>1929.18335</v>
      </c>
      <c r="Y324" s="8">
        <f>VLOOKUP($B324,floorspace!$B$4:$O$12,'shell factors calc'!Y$2+1,FALSE)</f>
        <v>816.88464399999998</v>
      </c>
      <c r="Z324">
        <f t="shared" si="5"/>
        <v>0.64368502388707216</v>
      </c>
    </row>
    <row r="325" spans="1:26" x14ac:dyDescent="0.2">
      <c r="A325" s="5" t="s">
        <v>46</v>
      </c>
      <c r="B325" s="5" t="s">
        <v>37</v>
      </c>
      <c r="C325" s="6" t="s">
        <v>7</v>
      </c>
      <c r="D325" s="7">
        <v>0.58738000000000001</v>
      </c>
      <c r="E325">
        <v>0.58857999999999999</v>
      </c>
      <c r="F325">
        <v>0.84945099999999996</v>
      </c>
      <c r="G325">
        <v>0.665933</v>
      </c>
      <c r="H325">
        <v>0.72659600000000002</v>
      </c>
      <c r="I325">
        <v>0.65820599999999996</v>
      </c>
      <c r="J325">
        <v>0.63406300000000004</v>
      </c>
      <c r="K325">
        <v>0.61334599999999995</v>
      </c>
      <c r="L325">
        <v>0.58392500000000003</v>
      </c>
      <c r="M325">
        <v>0.74123700000000003</v>
      </c>
      <c r="N325">
        <v>0.63671500000000003</v>
      </c>
      <c r="O325" s="8">
        <f>VLOOKUP($B325,floorspace!$B$4:$O$12,'shell factors calc'!O$2+1,FALSE)</f>
        <v>1185.1273189999999</v>
      </c>
      <c r="P325" s="8">
        <f>VLOOKUP($B325,floorspace!$B$4:$O$12,'shell factors calc'!P$2+1,FALSE)</f>
        <v>1901.63501</v>
      </c>
      <c r="Q325" s="8">
        <f>VLOOKUP($B325,floorspace!$B$4:$O$12,'shell factors calc'!Q$2+1,FALSE)</f>
        <v>53.974445000000003</v>
      </c>
      <c r="R325" s="8">
        <f>VLOOKUP($B325,floorspace!$B$4:$O$12,'shell factors calc'!R$2+1,FALSE)</f>
        <v>76.057404000000005</v>
      </c>
      <c r="S325" s="8">
        <f>VLOOKUP($B325,floorspace!$B$4:$O$12,'shell factors calc'!S$2+1,FALSE)</f>
        <v>260.10995500000001</v>
      </c>
      <c r="T325" s="8">
        <f>VLOOKUP($B325,floorspace!$B$4:$O$12,'shell factors calc'!T$2+1,FALSE)</f>
        <v>871.65142800000001</v>
      </c>
      <c r="U325" s="8">
        <f>VLOOKUP($B325,floorspace!$B$4:$O$12,'shell factors calc'!U$2+1,FALSE)</f>
        <v>2019.4379879999999</v>
      </c>
      <c r="V325" s="8">
        <f>VLOOKUP($B325,floorspace!$B$4:$O$12,'shell factors calc'!V$2+1,FALSE)</f>
        <v>962.05139199999996</v>
      </c>
      <c r="W325" s="8">
        <f>VLOOKUP($B325,floorspace!$B$4:$O$12,'shell factors calc'!W$2+1,FALSE)</f>
        <v>1967.076904</v>
      </c>
      <c r="X325" s="8">
        <f>VLOOKUP($B325,floorspace!$B$4:$O$12,'shell factors calc'!X$2+1,FALSE)</f>
        <v>1929.18335</v>
      </c>
      <c r="Y325" s="8">
        <f>VLOOKUP($B325,floorspace!$B$4:$O$12,'shell factors calc'!Y$2+1,FALSE)</f>
        <v>816.88464399999998</v>
      </c>
      <c r="Z325">
        <f t="shared" si="5"/>
        <v>0.63470349660893377</v>
      </c>
    </row>
    <row r="326" spans="1:26" x14ac:dyDescent="0.2">
      <c r="A326" s="5" t="s">
        <v>46</v>
      </c>
      <c r="B326" s="5" t="s">
        <v>37</v>
      </c>
      <c r="C326" s="6" t="s">
        <v>8</v>
      </c>
      <c r="D326" s="7">
        <v>0.57816699999999999</v>
      </c>
      <c r="E326">
        <v>0.57932799999999995</v>
      </c>
      <c r="F326">
        <v>0.840194</v>
      </c>
      <c r="G326">
        <v>0.65896900000000003</v>
      </c>
      <c r="H326">
        <v>0.71943400000000002</v>
      </c>
      <c r="I326">
        <v>0.64877799999999997</v>
      </c>
      <c r="J326">
        <v>0.62482300000000002</v>
      </c>
      <c r="K326">
        <v>0.60510299999999995</v>
      </c>
      <c r="L326">
        <v>0.57411699999999999</v>
      </c>
      <c r="M326">
        <v>0.73409400000000002</v>
      </c>
      <c r="N326">
        <v>0.62774700000000005</v>
      </c>
      <c r="O326" s="8">
        <f>VLOOKUP($B326,floorspace!$B$4:$O$12,'shell factors calc'!O$2+1,FALSE)</f>
        <v>1185.1273189999999</v>
      </c>
      <c r="P326" s="8">
        <f>VLOOKUP($B326,floorspace!$B$4:$O$12,'shell factors calc'!P$2+1,FALSE)</f>
        <v>1901.63501</v>
      </c>
      <c r="Q326" s="8">
        <f>VLOOKUP($B326,floorspace!$B$4:$O$12,'shell factors calc'!Q$2+1,FALSE)</f>
        <v>53.974445000000003</v>
      </c>
      <c r="R326" s="8">
        <f>VLOOKUP($B326,floorspace!$B$4:$O$12,'shell factors calc'!R$2+1,FALSE)</f>
        <v>76.057404000000005</v>
      </c>
      <c r="S326" s="8">
        <f>VLOOKUP($B326,floorspace!$B$4:$O$12,'shell factors calc'!S$2+1,FALSE)</f>
        <v>260.10995500000001</v>
      </c>
      <c r="T326" s="8">
        <f>VLOOKUP($B326,floorspace!$B$4:$O$12,'shell factors calc'!T$2+1,FALSE)</f>
        <v>871.65142800000001</v>
      </c>
      <c r="U326" s="8">
        <f>VLOOKUP($B326,floorspace!$B$4:$O$12,'shell factors calc'!U$2+1,FALSE)</f>
        <v>2019.4379879999999</v>
      </c>
      <c r="V326" s="8">
        <f>VLOOKUP($B326,floorspace!$B$4:$O$12,'shell factors calc'!V$2+1,FALSE)</f>
        <v>962.05139199999996</v>
      </c>
      <c r="W326" s="8">
        <f>VLOOKUP($B326,floorspace!$B$4:$O$12,'shell factors calc'!W$2+1,FALSE)</f>
        <v>1967.076904</v>
      </c>
      <c r="X326" s="8">
        <f>VLOOKUP($B326,floorspace!$B$4:$O$12,'shell factors calc'!X$2+1,FALSE)</f>
        <v>1929.18335</v>
      </c>
      <c r="Y326" s="8">
        <f>VLOOKUP($B326,floorspace!$B$4:$O$12,'shell factors calc'!Y$2+1,FALSE)</f>
        <v>816.88464399999998</v>
      </c>
      <c r="Z326">
        <f t="shared" si="5"/>
        <v>0.62585106515583255</v>
      </c>
    </row>
    <row r="327" spans="1:26" x14ac:dyDescent="0.2">
      <c r="A327" s="5" t="s">
        <v>46</v>
      </c>
      <c r="B327" s="5" t="s">
        <v>37</v>
      </c>
      <c r="C327" s="6" t="s">
        <v>9</v>
      </c>
      <c r="D327" s="7">
        <v>0.56909900000000002</v>
      </c>
      <c r="E327">
        <v>0.57022200000000001</v>
      </c>
      <c r="F327">
        <v>0.83103800000000005</v>
      </c>
      <c r="G327">
        <v>0.65207899999999996</v>
      </c>
      <c r="H327">
        <v>0.71234200000000003</v>
      </c>
      <c r="I327">
        <v>0.639486</v>
      </c>
      <c r="J327">
        <v>0.61571799999999999</v>
      </c>
      <c r="K327">
        <v>0.59697199999999995</v>
      </c>
      <c r="L327">
        <v>0.56447400000000003</v>
      </c>
      <c r="M327">
        <v>0.72701899999999997</v>
      </c>
      <c r="N327">
        <v>0.61890699999999998</v>
      </c>
      <c r="O327" s="8">
        <f>VLOOKUP($B327,floorspace!$B$4:$O$12,'shell factors calc'!O$2+1,FALSE)</f>
        <v>1185.1273189999999</v>
      </c>
      <c r="P327" s="8">
        <f>VLOOKUP($B327,floorspace!$B$4:$O$12,'shell factors calc'!P$2+1,FALSE)</f>
        <v>1901.63501</v>
      </c>
      <c r="Q327" s="8">
        <f>VLOOKUP($B327,floorspace!$B$4:$O$12,'shell factors calc'!Q$2+1,FALSE)</f>
        <v>53.974445000000003</v>
      </c>
      <c r="R327" s="8">
        <f>VLOOKUP($B327,floorspace!$B$4:$O$12,'shell factors calc'!R$2+1,FALSE)</f>
        <v>76.057404000000005</v>
      </c>
      <c r="S327" s="8">
        <f>VLOOKUP($B327,floorspace!$B$4:$O$12,'shell factors calc'!S$2+1,FALSE)</f>
        <v>260.10995500000001</v>
      </c>
      <c r="T327" s="8">
        <f>VLOOKUP($B327,floorspace!$B$4:$O$12,'shell factors calc'!T$2+1,FALSE)</f>
        <v>871.65142800000001</v>
      </c>
      <c r="U327" s="8">
        <f>VLOOKUP($B327,floorspace!$B$4:$O$12,'shell factors calc'!U$2+1,FALSE)</f>
        <v>2019.4379879999999</v>
      </c>
      <c r="V327" s="8">
        <f>VLOOKUP($B327,floorspace!$B$4:$O$12,'shell factors calc'!V$2+1,FALSE)</f>
        <v>962.05139199999996</v>
      </c>
      <c r="W327" s="8">
        <f>VLOOKUP($B327,floorspace!$B$4:$O$12,'shell factors calc'!W$2+1,FALSE)</f>
        <v>1967.076904</v>
      </c>
      <c r="X327" s="8">
        <f>VLOOKUP($B327,floorspace!$B$4:$O$12,'shell factors calc'!X$2+1,FALSE)</f>
        <v>1929.18335</v>
      </c>
      <c r="Y327" s="8">
        <f>VLOOKUP($B327,floorspace!$B$4:$O$12,'shell factors calc'!Y$2+1,FALSE)</f>
        <v>816.88464399999998</v>
      </c>
      <c r="Z327">
        <f t="shared" si="5"/>
        <v>0.61712634084899842</v>
      </c>
    </row>
    <row r="328" spans="1:26" x14ac:dyDescent="0.2">
      <c r="A328" s="5" t="s">
        <v>46</v>
      </c>
      <c r="B328" s="5" t="s">
        <v>37</v>
      </c>
      <c r="C328" s="6" t="s">
        <v>10</v>
      </c>
      <c r="D328" s="7">
        <v>0.56017300000000003</v>
      </c>
      <c r="E328">
        <v>0.56125800000000003</v>
      </c>
      <c r="F328">
        <v>0.82198199999999999</v>
      </c>
      <c r="G328">
        <v>0.64525999999999994</v>
      </c>
      <c r="H328">
        <v>0.70532099999999998</v>
      </c>
      <c r="I328">
        <v>0.63032600000000005</v>
      </c>
      <c r="J328">
        <v>0.60674499999999998</v>
      </c>
      <c r="K328">
        <v>0.58894999999999997</v>
      </c>
      <c r="L328">
        <v>0.55499399999999999</v>
      </c>
      <c r="M328">
        <v>0.72001300000000001</v>
      </c>
      <c r="N328">
        <v>0.61019000000000001</v>
      </c>
      <c r="O328" s="8">
        <f>VLOOKUP($B328,floorspace!$B$4:$O$12,'shell factors calc'!O$2+1,FALSE)</f>
        <v>1185.1273189999999</v>
      </c>
      <c r="P328" s="8">
        <f>VLOOKUP($B328,floorspace!$B$4:$O$12,'shell factors calc'!P$2+1,FALSE)</f>
        <v>1901.63501</v>
      </c>
      <c r="Q328" s="8">
        <f>VLOOKUP($B328,floorspace!$B$4:$O$12,'shell factors calc'!Q$2+1,FALSE)</f>
        <v>53.974445000000003</v>
      </c>
      <c r="R328" s="8">
        <f>VLOOKUP($B328,floorspace!$B$4:$O$12,'shell factors calc'!R$2+1,FALSE)</f>
        <v>76.057404000000005</v>
      </c>
      <c r="S328" s="8">
        <f>VLOOKUP($B328,floorspace!$B$4:$O$12,'shell factors calc'!S$2+1,FALSE)</f>
        <v>260.10995500000001</v>
      </c>
      <c r="T328" s="8">
        <f>VLOOKUP($B328,floorspace!$B$4:$O$12,'shell factors calc'!T$2+1,FALSE)</f>
        <v>871.65142800000001</v>
      </c>
      <c r="U328" s="8">
        <f>VLOOKUP($B328,floorspace!$B$4:$O$12,'shell factors calc'!U$2+1,FALSE)</f>
        <v>2019.4379879999999</v>
      </c>
      <c r="V328" s="8">
        <f>VLOOKUP($B328,floorspace!$B$4:$O$12,'shell factors calc'!V$2+1,FALSE)</f>
        <v>962.05139199999996</v>
      </c>
      <c r="W328" s="8">
        <f>VLOOKUP($B328,floorspace!$B$4:$O$12,'shell factors calc'!W$2+1,FALSE)</f>
        <v>1967.076904</v>
      </c>
      <c r="X328" s="8">
        <f>VLOOKUP($B328,floorspace!$B$4:$O$12,'shell factors calc'!X$2+1,FALSE)</f>
        <v>1929.18335</v>
      </c>
      <c r="Y328" s="8">
        <f>VLOOKUP($B328,floorspace!$B$4:$O$12,'shell factors calc'!Y$2+1,FALSE)</f>
        <v>816.88464399999998</v>
      </c>
      <c r="Z328">
        <f t="shared" si="5"/>
        <v>0.60852685719685984</v>
      </c>
    </row>
    <row r="329" spans="1:26" x14ac:dyDescent="0.2">
      <c r="A329" s="5" t="s">
        <v>46</v>
      </c>
      <c r="B329" s="5" t="s">
        <v>37</v>
      </c>
      <c r="C329" s="6" t="s">
        <v>11</v>
      </c>
      <c r="D329" s="7">
        <v>0.55138699999999996</v>
      </c>
      <c r="E329">
        <v>0.55243600000000004</v>
      </c>
      <c r="F329">
        <v>0.813025</v>
      </c>
      <c r="G329">
        <v>0.638513</v>
      </c>
      <c r="H329">
        <v>0.69836799999999999</v>
      </c>
      <c r="I329">
        <v>0.62129800000000002</v>
      </c>
      <c r="J329">
        <v>0.59790399999999999</v>
      </c>
      <c r="K329">
        <v>0.58103499999999997</v>
      </c>
      <c r="L329">
        <v>0.54567200000000005</v>
      </c>
      <c r="M329">
        <v>0.71307399999999999</v>
      </c>
      <c r="N329">
        <v>0.60159700000000005</v>
      </c>
      <c r="O329" s="8">
        <f>VLOOKUP($B329,floorspace!$B$4:$O$12,'shell factors calc'!O$2+1,FALSE)</f>
        <v>1185.1273189999999</v>
      </c>
      <c r="P329" s="8">
        <f>VLOOKUP($B329,floorspace!$B$4:$O$12,'shell factors calc'!P$2+1,FALSE)</f>
        <v>1901.63501</v>
      </c>
      <c r="Q329" s="8">
        <f>VLOOKUP($B329,floorspace!$B$4:$O$12,'shell factors calc'!Q$2+1,FALSE)</f>
        <v>53.974445000000003</v>
      </c>
      <c r="R329" s="8">
        <f>VLOOKUP($B329,floorspace!$B$4:$O$12,'shell factors calc'!R$2+1,FALSE)</f>
        <v>76.057404000000005</v>
      </c>
      <c r="S329" s="8">
        <f>VLOOKUP($B329,floorspace!$B$4:$O$12,'shell factors calc'!S$2+1,FALSE)</f>
        <v>260.10995500000001</v>
      </c>
      <c r="T329" s="8">
        <f>VLOOKUP($B329,floorspace!$B$4:$O$12,'shell factors calc'!T$2+1,FALSE)</f>
        <v>871.65142800000001</v>
      </c>
      <c r="U329" s="8">
        <f>VLOOKUP($B329,floorspace!$B$4:$O$12,'shell factors calc'!U$2+1,FALSE)</f>
        <v>2019.4379879999999</v>
      </c>
      <c r="V329" s="8">
        <f>VLOOKUP($B329,floorspace!$B$4:$O$12,'shell factors calc'!V$2+1,FALSE)</f>
        <v>962.05139199999996</v>
      </c>
      <c r="W329" s="8">
        <f>VLOOKUP($B329,floorspace!$B$4:$O$12,'shell factors calc'!W$2+1,FALSE)</f>
        <v>1967.076904</v>
      </c>
      <c r="X329" s="8">
        <f>VLOOKUP($B329,floorspace!$B$4:$O$12,'shell factors calc'!X$2+1,FALSE)</f>
        <v>1929.18335</v>
      </c>
      <c r="Y329" s="8">
        <f>VLOOKUP($B329,floorspace!$B$4:$O$12,'shell factors calc'!Y$2+1,FALSE)</f>
        <v>816.88464399999998</v>
      </c>
      <c r="Z329">
        <f t="shared" si="5"/>
        <v>0.6000511254351325</v>
      </c>
    </row>
    <row r="330" spans="1:26" x14ac:dyDescent="0.2">
      <c r="A330" s="5" t="s">
        <v>46</v>
      </c>
      <c r="B330" s="5" t="s">
        <v>37</v>
      </c>
      <c r="C330" s="6" t="s">
        <v>12</v>
      </c>
      <c r="D330" s="7">
        <v>0.54273800000000005</v>
      </c>
      <c r="E330">
        <v>0.54375200000000001</v>
      </c>
      <c r="F330">
        <v>0.80416500000000002</v>
      </c>
      <c r="G330">
        <v>0.63183599999999995</v>
      </c>
      <c r="H330">
        <v>0.69148399999999999</v>
      </c>
      <c r="I330">
        <v>0.61239900000000003</v>
      </c>
      <c r="J330">
        <v>0.58919100000000002</v>
      </c>
      <c r="K330">
        <v>0.57322700000000004</v>
      </c>
      <c r="L330">
        <v>0.53650699999999996</v>
      </c>
      <c r="M330">
        <v>0.706202</v>
      </c>
      <c r="N330">
        <v>0.59312399999999998</v>
      </c>
      <c r="O330" s="8">
        <f>VLOOKUP($B330,floorspace!$B$4:$O$12,'shell factors calc'!O$2+1,FALSE)</f>
        <v>1185.1273189999999</v>
      </c>
      <c r="P330" s="8">
        <f>VLOOKUP($B330,floorspace!$B$4:$O$12,'shell factors calc'!P$2+1,FALSE)</f>
        <v>1901.63501</v>
      </c>
      <c r="Q330" s="8">
        <f>VLOOKUP($B330,floorspace!$B$4:$O$12,'shell factors calc'!Q$2+1,FALSE)</f>
        <v>53.974445000000003</v>
      </c>
      <c r="R330" s="8">
        <f>VLOOKUP($B330,floorspace!$B$4:$O$12,'shell factors calc'!R$2+1,FALSE)</f>
        <v>76.057404000000005</v>
      </c>
      <c r="S330" s="8">
        <f>VLOOKUP($B330,floorspace!$B$4:$O$12,'shell factors calc'!S$2+1,FALSE)</f>
        <v>260.10995500000001</v>
      </c>
      <c r="T330" s="8">
        <f>VLOOKUP($B330,floorspace!$B$4:$O$12,'shell factors calc'!T$2+1,FALSE)</f>
        <v>871.65142800000001</v>
      </c>
      <c r="U330" s="8">
        <f>VLOOKUP($B330,floorspace!$B$4:$O$12,'shell factors calc'!U$2+1,FALSE)</f>
        <v>2019.4379879999999</v>
      </c>
      <c r="V330" s="8">
        <f>VLOOKUP($B330,floorspace!$B$4:$O$12,'shell factors calc'!V$2+1,FALSE)</f>
        <v>962.05139199999996</v>
      </c>
      <c r="W330" s="8">
        <f>VLOOKUP($B330,floorspace!$B$4:$O$12,'shell factors calc'!W$2+1,FALSE)</f>
        <v>1967.076904</v>
      </c>
      <c r="X330" s="8">
        <f>VLOOKUP($B330,floorspace!$B$4:$O$12,'shell factors calc'!X$2+1,FALSE)</f>
        <v>1929.18335</v>
      </c>
      <c r="Y330" s="8">
        <f>VLOOKUP($B330,floorspace!$B$4:$O$12,'shell factors calc'!Y$2+1,FALSE)</f>
        <v>816.88464399999998</v>
      </c>
      <c r="Z330">
        <f t="shared" si="5"/>
        <v>0.59169689622640509</v>
      </c>
    </row>
    <row r="331" spans="1:26" x14ac:dyDescent="0.2">
      <c r="A331" s="5" t="s">
        <v>46</v>
      </c>
      <c r="B331" s="5" t="s">
        <v>37</v>
      </c>
      <c r="C331" s="6" t="s">
        <v>13</v>
      </c>
      <c r="D331" s="7">
        <v>0.53422499999999995</v>
      </c>
      <c r="E331">
        <v>0.53520400000000001</v>
      </c>
      <c r="F331">
        <v>0.79540100000000002</v>
      </c>
      <c r="G331">
        <v>0.62522900000000003</v>
      </c>
      <c r="H331">
        <v>0.68466800000000005</v>
      </c>
      <c r="I331">
        <v>0.60362800000000005</v>
      </c>
      <c r="J331">
        <v>0.58060500000000004</v>
      </c>
      <c r="K331">
        <v>0.56552400000000003</v>
      </c>
      <c r="L331">
        <v>0.52749599999999996</v>
      </c>
      <c r="M331">
        <v>0.69939600000000002</v>
      </c>
      <c r="N331">
        <v>0.58477100000000004</v>
      </c>
      <c r="O331" s="8">
        <f>VLOOKUP($B331,floorspace!$B$4:$O$12,'shell factors calc'!O$2+1,FALSE)</f>
        <v>1185.1273189999999</v>
      </c>
      <c r="P331" s="8">
        <f>VLOOKUP($B331,floorspace!$B$4:$O$12,'shell factors calc'!P$2+1,FALSE)</f>
        <v>1901.63501</v>
      </c>
      <c r="Q331" s="8">
        <f>VLOOKUP($B331,floorspace!$B$4:$O$12,'shell factors calc'!Q$2+1,FALSE)</f>
        <v>53.974445000000003</v>
      </c>
      <c r="R331" s="8">
        <f>VLOOKUP($B331,floorspace!$B$4:$O$12,'shell factors calc'!R$2+1,FALSE)</f>
        <v>76.057404000000005</v>
      </c>
      <c r="S331" s="8">
        <f>VLOOKUP($B331,floorspace!$B$4:$O$12,'shell factors calc'!S$2+1,FALSE)</f>
        <v>260.10995500000001</v>
      </c>
      <c r="T331" s="8">
        <f>VLOOKUP($B331,floorspace!$B$4:$O$12,'shell factors calc'!T$2+1,FALSE)</f>
        <v>871.65142800000001</v>
      </c>
      <c r="U331" s="8">
        <f>VLOOKUP($B331,floorspace!$B$4:$O$12,'shell factors calc'!U$2+1,FALSE)</f>
        <v>2019.4379879999999</v>
      </c>
      <c r="V331" s="8">
        <f>VLOOKUP($B331,floorspace!$B$4:$O$12,'shell factors calc'!V$2+1,FALSE)</f>
        <v>962.05139199999996</v>
      </c>
      <c r="W331" s="8">
        <f>VLOOKUP($B331,floorspace!$B$4:$O$12,'shell factors calc'!W$2+1,FALSE)</f>
        <v>1967.076904</v>
      </c>
      <c r="X331" s="8">
        <f>VLOOKUP($B331,floorspace!$B$4:$O$12,'shell factors calc'!X$2+1,FALSE)</f>
        <v>1929.18335</v>
      </c>
      <c r="Y331" s="8">
        <f>VLOOKUP($B331,floorspace!$B$4:$O$12,'shell factors calc'!Y$2+1,FALSE)</f>
        <v>816.88464399999998</v>
      </c>
      <c r="Z331">
        <f t="shared" si="5"/>
        <v>0.58346267926053219</v>
      </c>
    </row>
    <row r="332" spans="1:26" x14ac:dyDescent="0.2">
      <c r="A332" s="5" t="s">
        <v>46</v>
      </c>
      <c r="B332" s="5" t="s">
        <v>37</v>
      </c>
      <c r="C332" s="6" t="s">
        <v>14</v>
      </c>
      <c r="D332" s="7">
        <v>0.52584600000000004</v>
      </c>
      <c r="E332">
        <v>0.52679100000000001</v>
      </c>
      <c r="F332">
        <v>0.78673400000000004</v>
      </c>
      <c r="G332">
        <v>0.61869099999999999</v>
      </c>
      <c r="H332">
        <v>0.67791900000000005</v>
      </c>
      <c r="I332">
        <v>0.59498200000000001</v>
      </c>
      <c r="J332">
        <v>0.57214399999999999</v>
      </c>
      <c r="K332">
        <v>0.55792399999999998</v>
      </c>
      <c r="L332">
        <v>0.51863599999999999</v>
      </c>
      <c r="M332">
        <v>0.69265600000000005</v>
      </c>
      <c r="N332">
        <v>0.57653500000000002</v>
      </c>
      <c r="O332" s="8">
        <f>VLOOKUP($B332,floorspace!$B$4:$O$12,'shell factors calc'!O$2+1,FALSE)</f>
        <v>1185.1273189999999</v>
      </c>
      <c r="P332" s="8">
        <f>VLOOKUP($B332,floorspace!$B$4:$O$12,'shell factors calc'!P$2+1,FALSE)</f>
        <v>1901.63501</v>
      </c>
      <c r="Q332" s="8">
        <f>VLOOKUP($B332,floorspace!$B$4:$O$12,'shell factors calc'!Q$2+1,FALSE)</f>
        <v>53.974445000000003</v>
      </c>
      <c r="R332" s="8">
        <f>VLOOKUP($B332,floorspace!$B$4:$O$12,'shell factors calc'!R$2+1,FALSE)</f>
        <v>76.057404000000005</v>
      </c>
      <c r="S332" s="8">
        <f>VLOOKUP($B332,floorspace!$B$4:$O$12,'shell factors calc'!S$2+1,FALSE)</f>
        <v>260.10995500000001</v>
      </c>
      <c r="T332" s="8">
        <f>VLOOKUP($B332,floorspace!$B$4:$O$12,'shell factors calc'!T$2+1,FALSE)</f>
        <v>871.65142800000001</v>
      </c>
      <c r="U332" s="8">
        <f>VLOOKUP($B332,floorspace!$B$4:$O$12,'shell factors calc'!U$2+1,FALSE)</f>
        <v>2019.4379879999999</v>
      </c>
      <c r="V332" s="8">
        <f>VLOOKUP($B332,floorspace!$B$4:$O$12,'shell factors calc'!V$2+1,FALSE)</f>
        <v>962.05139199999996</v>
      </c>
      <c r="W332" s="8">
        <f>VLOOKUP($B332,floorspace!$B$4:$O$12,'shell factors calc'!W$2+1,FALSE)</f>
        <v>1967.076904</v>
      </c>
      <c r="X332" s="8">
        <f>VLOOKUP($B332,floorspace!$B$4:$O$12,'shell factors calc'!X$2+1,FALSE)</f>
        <v>1929.18335</v>
      </c>
      <c r="Y332" s="8">
        <f>VLOOKUP($B332,floorspace!$B$4:$O$12,'shell factors calc'!Y$2+1,FALSE)</f>
        <v>816.88464399999998</v>
      </c>
      <c r="Z332">
        <f t="shared" si="5"/>
        <v>0.57534669063303845</v>
      </c>
    </row>
    <row r="333" spans="1:26" x14ac:dyDescent="0.2">
      <c r="A333" s="5" t="s">
        <v>46</v>
      </c>
      <c r="B333" s="5" t="s">
        <v>37</v>
      </c>
      <c r="C333" s="6" t="s">
        <v>15</v>
      </c>
      <c r="D333" s="7">
        <v>0.517598</v>
      </c>
      <c r="E333">
        <v>0.51851100000000006</v>
      </c>
      <c r="F333">
        <v>0.77815999999999996</v>
      </c>
      <c r="G333">
        <v>0.61222200000000004</v>
      </c>
      <c r="H333">
        <v>0.67123699999999997</v>
      </c>
      <c r="I333">
        <v>0.58645999999999998</v>
      </c>
      <c r="J333">
        <v>0.56380600000000003</v>
      </c>
      <c r="K333">
        <v>0.550427</v>
      </c>
      <c r="L333">
        <v>0.50992499999999996</v>
      </c>
      <c r="M333">
        <v>0.68598099999999995</v>
      </c>
      <c r="N333">
        <v>0.568415</v>
      </c>
      <c r="O333" s="8">
        <f>VLOOKUP($B333,floorspace!$B$4:$O$12,'shell factors calc'!O$2+1,FALSE)</f>
        <v>1185.1273189999999</v>
      </c>
      <c r="P333" s="8">
        <f>VLOOKUP($B333,floorspace!$B$4:$O$12,'shell factors calc'!P$2+1,FALSE)</f>
        <v>1901.63501</v>
      </c>
      <c r="Q333" s="8">
        <f>VLOOKUP($B333,floorspace!$B$4:$O$12,'shell factors calc'!Q$2+1,FALSE)</f>
        <v>53.974445000000003</v>
      </c>
      <c r="R333" s="8">
        <f>VLOOKUP($B333,floorspace!$B$4:$O$12,'shell factors calc'!R$2+1,FALSE)</f>
        <v>76.057404000000005</v>
      </c>
      <c r="S333" s="8">
        <f>VLOOKUP($B333,floorspace!$B$4:$O$12,'shell factors calc'!S$2+1,FALSE)</f>
        <v>260.10995500000001</v>
      </c>
      <c r="T333" s="8">
        <f>VLOOKUP($B333,floorspace!$B$4:$O$12,'shell factors calc'!T$2+1,FALSE)</f>
        <v>871.65142800000001</v>
      </c>
      <c r="U333" s="8">
        <f>VLOOKUP($B333,floorspace!$B$4:$O$12,'shell factors calc'!U$2+1,FALSE)</f>
        <v>2019.4379879999999</v>
      </c>
      <c r="V333" s="8">
        <f>VLOOKUP($B333,floorspace!$B$4:$O$12,'shell factors calc'!V$2+1,FALSE)</f>
        <v>962.05139199999996</v>
      </c>
      <c r="W333" s="8">
        <f>VLOOKUP($B333,floorspace!$B$4:$O$12,'shell factors calc'!W$2+1,FALSE)</f>
        <v>1967.076904</v>
      </c>
      <c r="X333" s="8">
        <f>VLOOKUP($B333,floorspace!$B$4:$O$12,'shell factors calc'!X$2+1,FALSE)</f>
        <v>1929.18335</v>
      </c>
      <c r="Y333" s="8">
        <f>VLOOKUP($B333,floorspace!$B$4:$O$12,'shell factors calc'!Y$2+1,FALSE)</f>
        <v>816.88464399999998</v>
      </c>
      <c r="Z333">
        <f t="shared" si="5"/>
        <v>0.56734733896329947</v>
      </c>
    </row>
    <row r="334" spans="1:26" x14ac:dyDescent="0.2">
      <c r="A334" s="5" t="s">
        <v>46</v>
      </c>
      <c r="B334" s="5" t="s">
        <v>37</v>
      </c>
      <c r="C334" s="6" t="s">
        <v>16</v>
      </c>
      <c r="D334" s="7">
        <v>0.50948000000000004</v>
      </c>
      <c r="E334">
        <v>0.51036000000000004</v>
      </c>
      <c r="F334">
        <v>0.76968000000000003</v>
      </c>
      <c r="G334">
        <v>0.60582000000000003</v>
      </c>
      <c r="H334">
        <v>0.66461999999999999</v>
      </c>
      <c r="I334">
        <v>0.57806000000000002</v>
      </c>
      <c r="J334">
        <v>0.55559000000000003</v>
      </c>
      <c r="K334">
        <v>0.54303000000000001</v>
      </c>
      <c r="L334">
        <v>0.50136000000000003</v>
      </c>
      <c r="M334">
        <v>0.67937000000000003</v>
      </c>
      <c r="N334">
        <v>0.56040999999999996</v>
      </c>
      <c r="O334" s="8">
        <f>VLOOKUP($B334,floorspace!$B$4:$O$12,'shell factors calc'!O$2+1,FALSE)</f>
        <v>1185.1273189999999</v>
      </c>
      <c r="P334" s="8">
        <f>VLOOKUP($B334,floorspace!$B$4:$O$12,'shell factors calc'!P$2+1,FALSE)</f>
        <v>1901.63501</v>
      </c>
      <c r="Q334" s="8">
        <f>VLOOKUP($B334,floorspace!$B$4:$O$12,'shell factors calc'!Q$2+1,FALSE)</f>
        <v>53.974445000000003</v>
      </c>
      <c r="R334" s="8">
        <f>VLOOKUP($B334,floorspace!$B$4:$O$12,'shell factors calc'!R$2+1,FALSE)</f>
        <v>76.057404000000005</v>
      </c>
      <c r="S334" s="8">
        <f>VLOOKUP($B334,floorspace!$B$4:$O$12,'shell factors calc'!S$2+1,FALSE)</f>
        <v>260.10995500000001</v>
      </c>
      <c r="T334" s="8">
        <f>VLOOKUP($B334,floorspace!$B$4:$O$12,'shell factors calc'!T$2+1,FALSE)</f>
        <v>871.65142800000001</v>
      </c>
      <c r="U334" s="8">
        <f>VLOOKUP($B334,floorspace!$B$4:$O$12,'shell factors calc'!U$2+1,FALSE)</f>
        <v>2019.4379879999999</v>
      </c>
      <c r="V334" s="8">
        <f>VLOOKUP($B334,floorspace!$B$4:$O$12,'shell factors calc'!V$2+1,FALSE)</f>
        <v>962.05139199999996</v>
      </c>
      <c r="W334" s="8">
        <f>VLOOKUP($B334,floorspace!$B$4:$O$12,'shell factors calc'!W$2+1,FALSE)</f>
        <v>1967.076904</v>
      </c>
      <c r="X334" s="8">
        <f>VLOOKUP($B334,floorspace!$B$4:$O$12,'shell factors calc'!X$2+1,FALSE)</f>
        <v>1929.18335</v>
      </c>
      <c r="Y334" s="8">
        <f>VLOOKUP($B334,floorspace!$B$4:$O$12,'shell factors calc'!Y$2+1,FALSE)</f>
        <v>816.88464399999998</v>
      </c>
      <c r="Z334">
        <f t="shared" si="5"/>
        <v>0.55946257278308453</v>
      </c>
    </row>
    <row r="335" spans="1:26" x14ac:dyDescent="0.2">
      <c r="A335" s="5" t="s">
        <v>46</v>
      </c>
      <c r="B335" s="5" t="s">
        <v>37</v>
      </c>
      <c r="C335" s="6" t="s">
        <v>17</v>
      </c>
      <c r="D335" s="7">
        <v>0.50004899999999997</v>
      </c>
      <c r="E335">
        <v>0.500888</v>
      </c>
      <c r="F335">
        <v>0.76458300000000001</v>
      </c>
      <c r="G335">
        <v>0.59878100000000001</v>
      </c>
      <c r="H335">
        <v>0.657389</v>
      </c>
      <c r="I335">
        <v>0.56844399999999995</v>
      </c>
      <c r="J335">
        <v>0.54615899999999995</v>
      </c>
      <c r="K335">
        <v>0.53464100000000003</v>
      </c>
      <c r="L335">
        <v>0.49128899999999998</v>
      </c>
      <c r="M335">
        <v>0.67216100000000001</v>
      </c>
      <c r="N335">
        <v>0.55127000000000004</v>
      </c>
      <c r="O335" s="8">
        <f>VLOOKUP($B335,floorspace!$B$4:$O$12,'shell factors calc'!O$2+1,FALSE)</f>
        <v>1185.1273189999999</v>
      </c>
      <c r="P335" s="8">
        <f>VLOOKUP($B335,floorspace!$B$4:$O$12,'shell factors calc'!P$2+1,FALSE)</f>
        <v>1901.63501</v>
      </c>
      <c r="Q335" s="8">
        <f>VLOOKUP($B335,floorspace!$B$4:$O$12,'shell factors calc'!Q$2+1,FALSE)</f>
        <v>53.974445000000003</v>
      </c>
      <c r="R335" s="8">
        <f>VLOOKUP($B335,floorspace!$B$4:$O$12,'shell factors calc'!R$2+1,FALSE)</f>
        <v>76.057404000000005</v>
      </c>
      <c r="S335" s="8">
        <f>VLOOKUP($B335,floorspace!$B$4:$O$12,'shell factors calc'!S$2+1,FALSE)</f>
        <v>260.10995500000001</v>
      </c>
      <c r="T335" s="8">
        <f>VLOOKUP($B335,floorspace!$B$4:$O$12,'shell factors calc'!T$2+1,FALSE)</f>
        <v>871.65142800000001</v>
      </c>
      <c r="U335" s="8">
        <f>VLOOKUP($B335,floorspace!$B$4:$O$12,'shell factors calc'!U$2+1,FALSE)</f>
        <v>2019.4379879999999</v>
      </c>
      <c r="V335" s="8">
        <f>VLOOKUP($B335,floorspace!$B$4:$O$12,'shell factors calc'!V$2+1,FALSE)</f>
        <v>962.05139199999996</v>
      </c>
      <c r="W335" s="8">
        <f>VLOOKUP($B335,floorspace!$B$4:$O$12,'shell factors calc'!W$2+1,FALSE)</f>
        <v>1967.076904</v>
      </c>
      <c r="X335" s="8">
        <f>VLOOKUP($B335,floorspace!$B$4:$O$12,'shell factors calc'!X$2+1,FALSE)</f>
        <v>1929.18335</v>
      </c>
      <c r="Y335" s="8">
        <f>VLOOKUP($B335,floorspace!$B$4:$O$12,'shell factors calc'!Y$2+1,FALSE)</f>
        <v>816.88464399999998</v>
      </c>
      <c r="Z335">
        <f t="shared" si="5"/>
        <v>0.55044813692767436</v>
      </c>
    </row>
    <row r="336" spans="1:26" x14ac:dyDescent="0.2">
      <c r="A336" s="5" t="s">
        <v>46</v>
      </c>
      <c r="B336" s="5" t="s">
        <v>37</v>
      </c>
      <c r="C336" s="6" t="s">
        <v>18</v>
      </c>
      <c r="D336" s="7">
        <v>0.49079200000000001</v>
      </c>
      <c r="E336">
        <v>0.491591</v>
      </c>
      <c r="F336">
        <v>0.75951900000000006</v>
      </c>
      <c r="G336">
        <v>0.59182400000000002</v>
      </c>
      <c r="H336">
        <v>0.65023699999999995</v>
      </c>
      <c r="I336">
        <v>0.55898800000000004</v>
      </c>
      <c r="J336">
        <v>0.53688899999999995</v>
      </c>
      <c r="K336">
        <v>0.52638200000000002</v>
      </c>
      <c r="L336">
        <v>0.48142000000000001</v>
      </c>
      <c r="M336">
        <v>0.66502899999999998</v>
      </c>
      <c r="N336">
        <v>0.54227800000000004</v>
      </c>
      <c r="O336" s="8">
        <f>VLOOKUP($B336,floorspace!$B$4:$O$12,'shell factors calc'!O$2+1,FALSE)</f>
        <v>1185.1273189999999</v>
      </c>
      <c r="P336" s="8">
        <f>VLOOKUP($B336,floorspace!$B$4:$O$12,'shell factors calc'!P$2+1,FALSE)</f>
        <v>1901.63501</v>
      </c>
      <c r="Q336" s="8">
        <f>VLOOKUP($B336,floorspace!$B$4:$O$12,'shell factors calc'!Q$2+1,FALSE)</f>
        <v>53.974445000000003</v>
      </c>
      <c r="R336" s="8">
        <f>VLOOKUP($B336,floorspace!$B$4:$O$12,'shell factors calc'!R$2+1,FALSE)</f>
        <v>76.057404000000005</v>
      </c>
      <c r="S336" s="8">
        <f>VLOOKUP($B336,floorspace!$B$4:$O$12,'shell factors calc'!S$2+1,FALSE)</f>
        <v>260.10995500000001</v>
      </c>
      <c r="T336" s="8">
        <f>VLOOKUP($B336,floorspace!$B$4:$O$12,'shell factors calc'!T$2+1,FALSE)</f>
        <v>871.65142800000001</v>
      </c>
      <c r="U336" s="8">
        <f>VLOOKUP($B336,floorspace!$B$4:$O$12,'shell factors calc'!U$2+1,FALSE)</f>
        <v>2019.4379879999999</v>
      </c>
      <c r="V336" s="8">
        <f>VLOOKUP($B336,floorspace!$B$4:$O$12,'shell factors calc'!V$2+1,FALSE)</f>
        <v>962.05139199999996</v>
      </c>
      <c r="W336" s="8">
        <f>VLOOKUP($B336,floorspace!$B$4:$O$12,'shell factors calc'!W$2+1,FALSE)</f>
        <v>1967.076904</v>
      </c>
      <c r="X336" s="8">
        <f>VLOOKUP($B336,floorspace!$B$4:$O$12,'shell factors calc'!X$2+1,FALSE)</f>
        <v>1929.18335</v>
      </c>
      <c r="Y336" s="8">
        <f>VLOOKUP($B336,floorspace!$B$4:$O$12,'shell factors calc'!Y$2+1,FALSE)</f>
        <v>816.88464399999998</v>
      </c>
      <c r="Z336">
        <f t="shared" si="5"/>
        <v>0.54158515769299964</v>
      </c>
    </row>
    <row r="337" spans="1:26" x14ac:dyDescent="0.2">
      <c r="A337" s="5" t="s">
        <v>46</v>
      </c>
      <c r="B337" s="5" t="s">
        <v>37</v>
      </c>
      <c r="C337" s="6" t="s">
        <v>19</v>
      </c>
      <c r="D337" s="7">
        <v>0.481707</v>
      </c>
      <c r="E337">
        <v>0.48246699999999998</v>
      </c>
      <c r="F337">
        <v>0.75448899999999997</v>
      </c>
      <c r="G337">
        <v>0.58494800000000002</v>
      </c>
      <c r="H337">
        <v>0.64316200000000001</v>
      </c>
      <c r="I337">
        <v>0.54969000000000001</v>
      </c>
      <c r="J337">
        <v>0.52777499999999999</v>
      </c>
      <c r="K337">
        <v>0.51824999999999999</v>
      </c>
      <c r="L337">
        <v>0.47174899999999997</v>
      </c>
      <c r="M337">
        <v>0.65797300000000003</v>
      </c>
      <c r="N337">
        <v>0.53343300000000005</v>
      </c>
      <c r="O337" s="8">
        <f>VLOOKUP($B337,floorspace!$B$4:$O$12,'shell factors calc'!O$2+1,FALSE)</f>
        <v>1185.1273189999999</v>
      </c>
      <c r="P337" s="8">
        <f>VLOOKUP($B337,floorspace!$B$4:$O$12,'shell factors calc'!P$2+1,FALSE)</f>
        <v>1901.63501</v>
      </c>
      <c r="Q337" s="8">
        <f>VLOOKUP($B337,floorspace!$B$4:$O$12,'shell factors calc'!Q$2+1,FALSE)</f>
        <v>53.974445000000003</v>
      </c>
      <c r="R337" s="8">
        <f>VLOOKUP($B337,floorspace!$B$4:$O$12,'shell factors calc'!R$2+1,FALSE)</f>
        <v>76.057404000000005</v>
      </c>
      <c r="S337" s="8">
        <f>VLOOKUP($B337,floorspace!$B$4:$O$12,'shell factors calc'!S$2+1,FALSE)</f>
        <v>260.10995500000001</v>
      </c>
      <c r="T337" s="8">
        <f>VLOOKUP($B337,floorspace!$B$4:$O$12,'shell factors calc'!T$2+1,FALSE)</f>
        <v>871.65142800000001</v>
      </c>
      <c r="U337" s="8">
        <f>VLOOKUP($B337,floorspace!$B$4:$O$12,'shell factors calc'!U$2+1,FALSE)</f>
        <v>2019.4379879999999</v>
      </c>
      <c r="V337" s="8">
        <f>VLOOKUP($B337,floorspace!$B$4:$O$12,'shell factors calc'!V$2+1,FALSE)</f>
        <v>962.05139199999996</v>
      </c>
      <c r="W337" s="8">
        <f>VLOOKUP($B337,floorspace!$B$4:$O$12,'shell factors calc'!W$2+1,FALSE)</f>
        <v>1967.076904</v>
      </c>
      <c r="X337" s="8">
        <f>VLOOKUP($B337,floorspace!$B$4:$O$12,'shell factors calc'!X$2+1,FALSE)</f>
        <v>1929.18335</v>
      </c>
      <c r="Y337" s="8">
        <f>VLOOKUP($B337,floorspace!$B$4:$O$12,'shell factors calc'!Y$2+1,FALSE)</f>
        <v>816.88464399999998</v>
      </c>
      <c r="Z337">
        <f t="shared" si="5"/>
        <v>0.53287097325519683</v>
      </c>
    </row>
    <row r="338" spans="1:26" x14ac:dyDescent="0.2">
      <c r="A338" s="5" t="s">
        <v>46</v>
      </c>
      <c r="B338" s="5" t="s">
        <v>37</v>
      </c>
      <c r="C338" s="6" t="s">
        <v>20</v>
      </c>
      <c r="D338" s="7">
        <v>0.47278999999999999</v>
      </c>
      <c r="E338">
        <v>0.47351300000000002</v>
      </c>
      <c r="F338">
        <v>0.74949299999999996</v>
      </c>
      <c r="G338">
        <v>0.57815099999999997</v>
      </c>
      <c r="H338">
        <v>0.63616499999999998</v>
      </c>
      <c r="I338">
        <v>0.54054599999999997</v>
      </c>
      <c r="J338">
        <v>0.51881699999999997</v>
      </c>
      <c r="K338">
        <v>0.51024400000000003</v>
      </c>
      <c r="L338">
        <v>0.46227200000000002</v>
      </c>
      <c r="M338">
        <v>0.65099099999999999</v>
      </c>
      <c r="N338">
        <v>0.524733</v>
      </c>
      <c r="O338" s="8">
        <f>VLOOKUP($B338,floorspace!$B$4:$O$12,'shell factors calc'!O$2+1,FALSE)</f>
        <v>1185.1273189999999</v>
      </c>
      <c r="P338" s="8">
        <f>VLOOKUP($B338,floorspace!$B$4:$O$12,'shell factors calc'!P$2+1,FALSE)</f>
        <v>1901.63501</v>
      </c>
      <c r="Q338" s="8">
        <f>VLOOKUP($B338,floorspace!$B$4:$O$12,'shell factors calc'!Q$2+1,FALSE)</f>
        <v>53.974445000000003</v>
      </c>
      <c r="R338" s="8">
        <f>VLOOKUP($B338,floorspace!$B$4:$O$12,'shell factors calc'!R$2+1,FALSE)</f>
        <v>76.057404000000005</v>
      </c>
      <c r="S338" s="8">
        <f>VLOOKUP($B338,floorspace!$B$4:$O$12,'shell factors calc'!S$2+1,FALSE)</f>
        <v>260.10995500000001</v>
      </c>
      <c r="T338" s="8">
        <f>VLOOKUP($B338,floorspace!$B$4:$O$12,'shell factors calc'!T$2+1,FALSE)</f>
        <v>871.65142800000001</v>
      </c>
      <c r="U338" s="8">
        <f>VLOOKUP($B338,floorspace!$B$4:$O$12,'shell factors calc'!U$2+1,FALSE)</f>
        <v>2019.4379879999999</v>
      </c>
      <c r="V338" s="8">
        <f>VLOOKUP($B338,floorspace!$B$4:$O$12,'shell factors calc'!V$2+1,FALSE)</f>
        <v>962.05139199999996</v>
      </c>
      <c r="W338" s="8">
        <f>VLOOKUP($B338,floorspace!$B$4:$O$12,'shell factors calc'!W$2+1,FALSE)</f>
        <v>1967.076904</v>
      </c>
      <c r="X338" s="8">
        <f>VLOOKUP($B338,floorspace!$B$4:$O$12,'shell factors calc'!X$2+1,FALSE)</f>
        <v>1929.18335</v>
      </c>
      <c r="Y338" s="8">
        <f>VLOOKUP($B338,floorspace!$B$4:$O$12,'shell factors calc'!Y$2+1,FALSE)</f>
        <v>816.88464399999998</v>
      </c>
      <c r="Z338">
        <f t="shared" si="5"/>
        <v>0.5243032464826386</v>
      </c>
    </row>
    <row r="339" spans="1:26" x14ac:dyDescent="0.2">
      <c r="A339" s="5" t="s">
        <v>46</v>
      </c>
      <c r="B339" s="5" t="s">
        <v>37</v>
      </c>
      <c r="C339" s="6" t="s">
        <v>21</v>
      </c>
      <c r="D339" s="7">
        <v>0.46403899999999998</v>
      </c>
      <c r="E339">
        <v>0.464725</v>
      </c>
      <c r="F339">
        <v>0.744529</v>
      </c>
      <c r="G339">
        <v>0.571434</v>
      </c>
      <c r="H339">
        <v>0.629243</v>
      </c>
      <c r="I339">
        <v>0.53155399999999997</v>
      </c>
      <c r="J339">
        <v>0.51000999999999996</v>
      </c>
      <c r="K339">
        <v>0.50236199999999998</v>
      </c>
      <c r="L339">
        <v>0.452986</v>
      </c>
      <c r="M339">
        <v>0.64408399999999999</v>
      </c>
      <c r="N339">
        <v>0.51617400000000002</v>
      </c>
      <c r="O339" s="8">
        <f>VLOOKUP($B339,floorspace!$B$4:$O$12,'shell factors calc'!O$2+1,FALSE)</f>
        <v>1185.1273189999999</v>
      </c>
      <c r="P339" s="8">
        <f>VLOOKUP($B339,floorspace!$B$4:$O$12,'shell factors calc'!P$2+1,FALSE)</f>
        <v>1901.63501</v>
      </c>
      <c r="Q339" s="8">
        <f>VLOOKUP($B339,floorspace!$B$4:$O$12,'shell factors calc'!Q$2+1,FALSE)</f>
        <v>53.974445000000003</v>
      </c>
      <c r="R339" s="8">
        <f>VLOOKUP($B339,floorspace!$B$4:$O$12,'shell factors calc'!R$2+1,FALSE)</f>
        <v>76.057404000000005</v>
      </c>
      <c r="S339" s="8">
        <f>VLOOKUP($B339,floorspace!$B$4:$O$12,'shell factors calc'!S$2+1,FALSE)</f>
        <v>260.10995500000001</v>
      </c>
      <c r="T339" s="8">
        <f>VLOOKUP($B339,floorspace!$B$4:$O$12,'shell factors calc'!T$2+1,FALSE)</f>
        <v>871.65142800000001</v>
      </c>
      <c r="U339" s="8">
        <f>VLOOKUP($B339,floorspace!$B$4:$O$12,'shell factors calc'!U$2+1,FALSE)</f>
        <v>2019.4379879999999</v>
      </c>
      <c r="V339" s="8">
        <f>VLOOKUP($B339,floorspace!$B$4:$O$12,'shell factors calc'!V$2+1,FALSE)</f>
        <v>962.05139199999996</v>
      </c>
      <c r="W339" s="8">
        <f>VLOOKUP($B339,floorspace!$B$4:$O$12,'shell factors calc'!W$2+1,FALSE)</f>
        <v>1967.076904</v>
      </c>
      <c r="X339" s="8">
        <f>VLOOKUP($B339,floorspace!$B$4:$O$12,'shell factors calc'!X$2+1,FALSE)</f>
        <v>1929.18335</v>
      </c>
      <c r="Y339" s="8">
        <f>VLOOKUP($B339,floorspace!$B$4:$O$12,'shell factors calc'!Y$2+1,FALSE)</f>
        <v>816.88464399999998</v>
      </c>
      <c r="Z339">
        <f t="shared" si="5"/>
        <v>0.51587933744371428</v>
      </c>
    </row>
    <row r="340" spans="1:26" x14ac:dyDescent="0.2">
      <c r="A340" s="5" t="s">
        <v>46</v>
      </c>
      <c r="B340" s="5" t="s">
        <v>37</v>
      </c>
      <c r="C340" s="6" t="s">
        <v>22</v>
      </c>
      <c r="D340" s="7">
        <v>0.45544899999999999</v>
      </c>
      <c r="E340">
        <v>0.45609899999999998</v>
      </c>
      <c r="F340">
        <v>0.73959799999999998</v>
      </c>
      <c r="G340">
        <v>0.56479500000000005</v>
      </c>
      <c r="H340">
        <v>0.62239699999999998</v>
      </c>
      <c r="I340">
        <v>0.52271199999999995</v>
      </c>
      <c r="J340">
        <v>0.50135300000000005</v>
      </c>
      <c r="K340">
        <v>0.49460199999999999</v>
      </c>
      <c r="L340">
        <v>0.44388699999999998</v>
      </c>
      <c r="M340">
        <v>0.63724899999999995</v>
      </c>
      <c r="N340">
        <v>0.50775499999999996</v>
      </c>
      <c r="O340" s="8">
        <f>VLOOKUP($B340,floorspace!$B$4:$O$12,'shell factors calc'!O$2+1,FALSE)</f>
        <v>1185.1273189999999</v>
      </c>
      <c r="P340" s="8">
        <f>VLOOKUP($B340,floorspace!$B$4:$O$12,'shell factors calc'!P$2+1,FALSE)</f>
        <v>1901.63501</v>
      </c>
      <c r="Q340" s="8">
        <f>VLOOKUP($B340,floorspace!$B$4:$O$12,'shell factors calc'!Q$2+1,FALSE)</f>
        <v>53.974445000000003</v>
      </c>
      <c r="R340" s="8">
        <f>VLOOKUP($B340,floorspace!$B$4:$O$12,'shell factors calc'!R$2+1,FALSE)</f>
        <v>76.057404000000005</v>
      </c>
      <c r="S340" s="8">
        <f>VLOOKUP($B340,floorspace!$B$4:$O$12,'shell factors calc'!S$2+1,FALSE)</f>
        <v>260.10995500000001</v>
      </c>
      <c r="T340" s="8">
        <f>VLOOKUP($B340,floorspace!$B$4:$O$12,'shell factors calc'!T$2+1,FALSE)</f>
        <v>871.65142800000001</v>
      </c>
      <c r="U340" s="8">
        <f>VLOOKUP($B340,floorspace!$B$4:$O$12,'shell factors calc'!U$2+1,FALSE)</f>
        <v>2019.4379879999999</v>
      </c>
      <c r="V340" s="8">
        <f>VLOOKUP($B340,floorspace!$B$4:$O$12,'shell factors calc'!V$2+1,FALSE)</f>
        <v>962.05139199999996</v>
      </c>
      <c r="W340" s="8">
        <f>VLOOKUP($B340,floorspace!$B$4:$O$12,'shell factors calc'!W$2+1,FALSE)</f>
        <v>1967.076904</v>
      </c>
      <c r="X340" s="8">
        <f>VLOOKUP($B340,floorspace!$B$4:$O$12,'shell factors calc'!X$2+1,FALSE)</f>
        <v>1929.18335</v>
      </c>
      <c r="Y340" s="8">
        <f>VLOOKUP($B340,floorspace!$B$4:$O$12,'shell factors calc'!Y$2+1,FALSE)</f>
        <v>816.88464399999998</v>
      </c>
      <c r="Z340">
        <f t="shared" si="5"/>
        <v>0.50759646200951569</v>
      </c>
    </row>
    <row r="341" spans="1:26" x14ac:dyDescent="0.2">
      <c r="A341" s="5" t="s">
        <v>46</v>
      </c>
      <c r="B341" s="5" t="s">
        <v>37</v>
      </c>
      <c r="C341" s="6" t="s">
        <v>23</v>
      </c>
      <c r="D341" s="7">
        <v>0.44701800000000003</v>
      </c>
      <c r="E341">
        <v>0.44763399999999998</v>
      </c>
      <c r="F341">
        <v>0.73470000000000002</v>
      </c>
      <c r="G341">
        <v>0.55823299999999998</v>
      </c>
      <c r="H341">
        <v>0.61562600000000001</v>
      </c>
      <c r="I341">
        <v>0.51401699999999995</v>
      </c>
      <c r="J341">
        <v>0.49284299999999998</v>
      </c>
      <c r="K341">
        <v>0.48696099999999998</v>
      </c>
      <c r="L341">
        <v>0.43497000000000002</v>
      </c>
      <c r="M341">
        <v>0.63048800000000005</v>
      </c>
      <c r="N341">
        <v>0.49947399999999997</v>
      </c>
      <c r="O341" s="8">
        <f>VLOOKUP($B341,floorspace!$B$4:$O$12,'shell factors calc'!O$2+1,FALSE)</f>
        <v>1185.1273189999999</v>
      </c>
      <c r="P341" s="8">
        <f>VLOOKUP($B341,floorspace!$B$4:$O$12,'shell factors calc'!P$2+1,FALSE)</f>
        <v>1901.63501</v>
      </c>
      <c r="Q341" s="8">
        <f>VLOOKUP($B341,floorspace!$B$4:$O$12,'shell factors calc'!Q$2+1,FALSE)</f>
        <v>53.974445000000003</v>
      </c>
      <c r="R341" s="8">
        <f>VLOOKUP($B341,floorspace!$B$4:$O$12,'shell factors calc'!R$2+1,FALSE)</f>
        <v>76.057404000000005</v>
      </c>
      <c r="S341" s="8">
        <f>VLOOKUP($B341,floorspace!$B$4:$O$12,'shell factors calc'!S$2+1,FALSE)</f>
        <v>260.10995500000001</v>
      </c>
      <c r="T341" s="8">
        <f>VLOOKUP($B341,floorspace!$B$4:$O$12,'shell factors calc'!T$2+1,FALSE)</f>
        <v>871.65142800000001</v>
      </c>
      <c r="U341" s="8">
        <f>VLOOKUP($B341,floorspace!$B$4:$O$12,'shell factors calc'!U$2+1,FALSE)</f>
        <v>2019.4379879999999</v>
      </c>
      <c r="V341" s="8">
        <f>VLOOKUP($B341,floorspace!$B$4:$O$12,'shell factors calc'!V$2+1,FALSE)</f>
        <v>962.05139199999996</v>
      </c>
      <c r="W341" s="8">
        <f>VLOOKUP($B341,floorspace!$B$4:$O$12,'shell factors calc'!W$2+1,FALSE)</f>
        <v>1967.076904</v>
      </c>
      <c r="X341" s="8">
        <f>VLOOKUP($B341,floorspace!$B$4:$O$12,'shell factors calc'!X$2+1,FALSE)</f>
        <v>1929.18335</v>
      </c>
      <c r="Y341" s="8">
        <f>VLOOKUP($B341,floorspace!$B$4:$O$12,'shell factors calc'!Y$2+1,FALSE)</f>
        <v>816.88464399999998</v>
      </c>
      <c r="Z341">
        <f t="shared" si="5"/>
        <v>0.49945264576405662</v>
      </c>
    </row>
    <row r="342" spans="1:26" x14ac:dyDescent="0.2">
      <c r="A342" s="5" t="s">
        <v>46</v>
      </c>
      <c r="B342" s="5" t="s">
        <v>37</v>
      </c>
      <c r="C342" s="6" t="s">
        <v>24</v>
      </c>
      <c r="D342" s="7">
        <v>0.43874299999999999</v>
      </c>
      <c r="E342">
        <v>0.43932599999999999</v>
      </c>
      <c r="F342">
        <v>0.72983500000000001</v>
      </c>
      <c r="G342">
        <v>0.55174699999999999</v>
      </c>
      <c r="H342">
        <v>0.60892800000000002</v>
      </c>
      <c r="I342">
        <v>0.50546599999999997</v>
      </c>
      <c r="J342">
        <v>0.48447800000000002</v>
      </c>
      <c r="K342">
        <v>0.47943799999999998</v>
      </c>
      <c r="L342">
        <v>0.426232</v>
      </c>
      <c r="M342">
        <v>0.62379799999999996</v>
      </c>
      <c r="N342">
        <v>0.49132700000000001</v>
      </c>
      <c r="O342" s="8">
        <f>VLOOKUP($B342,floorspace!$B$4:$O$12,'shell factors calc'!O$2+1,FALSE)</f>
        <v>1185.1273189999999</v>
      </c>
      <c r="P342" s="8">
        <f>VLOOKUP($B342,floorspace!$B$4:$O$12,'shell factors calc'!P$2+1,FALSE)</f>
        <v>1901.63501</v>
      </c>
      <c r="Q342" s="8">
        <f>VLOOKUP($B342,floorspace!$B$4:$O$12,'shell factors calc'!Q$2+1,FALSE)</f>
        <v>53.974445000000003</v>
      </c>
      <c r="R342" s="8">
        <f>VLOOKUP($B342,floorspace!$B$4:$O$12,'shell factors calc'!R$2+1,FALSE)</f>
        <v>76.057404000000005</v>
      </c>
      <c r="S342" s="8">
        <f>VLOOKUP($B342,floorspace!$B$4:$O$12,'shell factors calc'!S$2+1,FALSE)</f>
        <v>260.10995500000001</v>
      </c>
      <c r="T342" s="8">
        <f>VLOOKUP($B342,floorspace!$B$4:$O$12,'shell factors calc'!T$2+1,FALSE)</f>
        <v>871.65142800000001</v>
      </c>
      <c r="U342" s="8">
        <f>VLOOKUP($B342,floorspace!$B$4:$O$12,'shell factors calc'!U$2+1,FALSE)</f>
        <v>2019.4379879999999</v>
      </c>
      <c r="V342" s="8">
        <f>VLOOKUP($B342,floorspace!$B$4:$O$12,'shell factors calc'!V$2+1,FALSE)</f>
        <v>962.05139199999996</v>
      </c>
      <c r="W342" s="8">
        <f>VLOOKUP($B342,floorspace!$B$4:$O$12,'shell factors calc'!W$2+1,FALSE)</f>
        <v>1967.076904</v>
      </c>
      <c r="X342" s="8">
        <f>VLOOKUP($B342,floorspace!$B$4:$O$12,'shell factors calc'!X$2+1,FALSE)</f>
        <v>1929.18335</v>
      </c>
      <c r="Y342" s="8">
        <f>VLOOKUP($B342,floorspace!$B$4:$O$12,'shell factors calc'!Y$2+1,FALSE)</f>
        <v>816.88464399999998</v>
      </c>
      <c r="Z342">
        <f t="shared" si="5"/>
        <v>0.49144503810041645</v>
      </c>
    </row>
    <row r="343" spans="1:26" x14ac:dyDescent="0.2">
      <c r="A343" s="5" t="s">
        <v>46</v>
      </c>
      <c r="B343" s="5" t="s">
        <v>37</v>
      </c>
      <c r="C343" s="6" t="s">
        <v>25</v>
      </c>
      <c r="D343" s="7">
        <v>0.43062099999999998</v>
      </c>
      <c r="E343">
        <v>0.431172</v>
      </c>
      <c r="F343">
        <v>0.72500100000000001</v>
      </c>
      <c r="G343">
        <v>0.54533600000000004</v>
      </c>
      <c r="H343">
        <v>0.60230300000000003</v>
      </c>
      <c r="I343">
        <v>0.497058</v>
      </c>
      <c r="J343">
        <v>0.47625400000000001</v>
      </c>
      <c r="K343">
        <v>0.47203200000000001</v>
      </c>
      <c r="L343">
        <v>0.41766999999999999</v>
      </c>
      <c r="M343">
        <v>0.61717900000000003</v>
      </c>
      <c r="N343">
        <v>0.48331299999999999</v>
      </c>
      <c r="O343" s="8">
        <f>VLOOKUP($B343,floorspace!$B$4:$O$12,'shell factors calc'!O$2+1,FALSE)</f>
        <v>1185.1273189999999</v>
      </c>
      <c r="P343" s="8">
        <f>VLOOKUP($B343,floorspace!$B$4:$O$12,'shell factors calc'!P$2+1,FALSE)</f>
        <v>1901.63501</v>
      </c>
      <c r="Q343" s="8">
        <f>VLOOKUP($B343,floorspace!$B$4:$O$12,'shell factors calc'!Q$2+1,FALSE)</f>
        <v>53.974445000000003</v>
      </c>
      <c r="R343" s="8">
        <f>VLOOKUP($B343,floorspace!$B$4:$O$12,'shell factors calc'!R$2+1,FALSE)</f>
        <v>76.057404000000005</v>
      </c>
      <c r="S343" s="8">
        <f>VLOOKUP($B343,floorspace!$B$4:$O$12,'shell factors calc'!S$2+1,FALSE)</f>
        <v>260.10995500000001</v>
      </c>
      <c r="T343" s="8">
        <f>VLOOKUP($B343,floorspace!$B$4:$O$12,'shell factors calc'!T$2+1,FALSE)</f>
        <v>871.65142800000001</v>
      </c>
      <c r="U343" s="8">
        <f>VLOOKUP($B343,floorspace!$B$4:$O$12,'shell factors calc'!U$2+1,FALSE)</f>
        <v>2019.4379879999999</v>
      </c>
      <c r="V343" s="8">
        <f>VLOOKUP($B343,floorspace!$B$4:$O$12,'shell factors calc'!V$2+1,FALSE)</f>
        <v>962.05139199999996</v>
      </c>
      <c r="W343" s="8">
        <f>VLOOKUP($B343,floorspace!$B$4:$O$12,'shell factors calc'!W$2+1,FALSE)</f>
        <v>1967.076904</v>
      </c>
      <c r="X343" s="8">
        <f>VLOOKUP($B343,floorspace!$B$4:$O$12,'shell factors calc'!X$2+1,FALSE)</f>
        <v>1929.18335</v>
      </c>
      <c r="Y343" s="8">
        <f>VLOOKUP($B343,floorspace!$B$4:$O$12,'shell factors calc'!Y$2+1,FALSE)</f>
        <v>816.88464399999998</v>
      </c>
      <c r="Z343">
        <f t="shared" si="5"/>
        <v>0.48357147398891848</v>
      </c>
    </row>
    <row r="344" spans="1:26" x14ac:dyDescent="0.2">
      <c r="A344" s="5" t="s">
        <v>46</v>
      </c>
      <c r="B344" s="5" t="s">
        <v>37</v>
      </c>
      <c r="C344" s="6" t="s">
        <v>26</v>
      </c>
      <c r="D344" s="7">
        <v>0.42265000000000003</v>
      </c>
      <c r="E344">
        <v>0.42316999999999999</v>
      </c>
      <c r="F344">
        <v>0.72019999999999995</v>
      </c>
      <c r="G344">
        <v>0.53900000000000003</v>
      </c>
      <c r="H344">
        <v>0.59575</v>
      </c>
      <c r="I344">
        <v>0.48879</v>
      </c>
      <c r="J344">
        <v>0.46816999999999998</v>
      </c>
      <c r="K344">
        <v>0.46473999999999999</v>
      </c>
      <c r="L344">
        <v>0.40927999999999998</v>
      </c>
      <c r="M344">
        <v>0.61063000000000001</v>
      </c>
      <c r="N344">
        <v>0.47543000000000002</v>
      </c>
      <c r="O344" s="8">
        <f>VLOOKUP($B344,floorspace!$B$4:$O$12,'shell factors calc'!O$2+1,FALSE)</f>
        <v>1185.1273189999999</v>
      </c>
      <c r="P344" s="8">
        <f>VLOOKUP($B344,floorspace!$B$4:$O$12,'shell factors calc'!P$2+1,FALSE)</f>
        <v>1901.63501</v>
      </c>
      <c r="Q344" s="8">
        <f>VLOOKUP($B344,floorspace!$B$4:$O$12,'shell factors calc'!Q$2+1,FALSE)</f>
        <v>53.974445000000003</v>
      </c>
      <c r="R344" s="8">
        <f>VLOOKUP($B344,floorspace!$B$4:$O$12,'shell factors calc'!R$2+1,FALSE)</f>
        <v>76.057404000000005</v>
      </c>
      <c r="S344" s="8">
        <f>VLOOKUP($B344,floorspace!$B$4:$O$12,'shell factors calc'!S$2+1,FALSE)</f>
        <v>260.10995500000001</v>
      </c>
      <c r="T344" s="8">
        <f>VLOOKUP($B344,floorspace!$B$4:$O$12,'shell factors calc'!T$2+1,FALSE)</f>
        <v>871.65142800000001</v>
      </c>
      <c r="U344" s="8">
        <f>VLOOKUP($B344,floorspace!$B$4:$O$12,'shell factors calc'!U$2+1,FALSE)</f>
        <v>2019.4379879999999</v>
      </c>
      <c r="V344" s="8">
        <f>VLOOKUP($B344,floorspace!$B$4:$O$12,'shell factors calc'!V$2+1,FALSE)</f>
        <v>962.05139199999996</v>
      </c>
      <c r="W344" s="8">
        <f>VLOOKUP($B344,floorspace!$B$4:$O$12,'shell factors calc'!W$2+1,FALSE)</f>
        <v>1967.076904</v>
      </c>
      <c r="X344" s="8">
        <f>VLOOKUP($B344,floorspace!$B$4:$O$12,'shell factors calc'!X$2+1,FALSE)</f>
        <v>1929.18335</v>
      </c>
      <c r="Y344" s="8">
        <f>VLOOKUP($B344,floorspace!$B$4:$O$12,'shell factors calc'!Y$2+1,FALSE)</f>
        <v>816.88464399999998</v>
      </c>
      <c r="Z344">
        <f t="shared" si="5"/>
        <v>0.47582985452613524</v>
      </c>
    </row>
    <row r="345" spans="1:26" x14ac:dyDescent="0.2">
      <c r="A345" s="5" t="s">
        <v>46</v>
      </c>
      <c r="B345" s="5" t="s">
        <v>37</v>
      </c>
      <c r="C345" s="6" t="s">
        <v>27</v>
      </c>
      <c r="D345" s="7">
        <v>0.41309400000000002</v>
      </c>
      <c r="E345">
        <v>0.41356999999999999</v>
      </c>
      <c r="F345">
        <v>0.71542899999999998</v>
      </c>
      <c r="G345">
        <v>0.53194900000000001</v>
      </c>
      <c r="H345">
        <v>0.58851299999999995</v>
      </c>
      <c r="I345">
        <v>0.47908299999999998</v>
      </c>
      <c r="J345">
        <v>0.45864500000000002</v>
      </c>
      <c r="K345">
        <v>0.456291</v>
      </c>
      <c r="L345">
        <v>0.399036</v>
      </c>
      <c r="M345">
        <v>0.60341900000000004</v>
      </c>
      <c r="N345">
        <v>0.46620800000000001</v>
      </c>
      <c r="O345" s="8">
        <f>VLOOKUP($B345,floorspace!$B$4:$O$12,'shell factors calc'!O$2+1,FALSE)</f>
        <v>1185.1273189999999</v>
      </c>
      <c r="P345" s="8">
        <f>VLOOKUP($B345,floorspace!$B$4:$O$12,'shell factors calc'!P$2+1,FALSE)</f>
        <v>1901.63501</v>
      </c>
      <c r="Q345" s="8">
        <f>VLOOKUP($B345,floorspace!$B$4:$O$12,'shell factors calc'!Q$2+1,FALSE)</f>
        <v>53.974445000000003</v>
      </c>
      <c r="R345" s="8">
        <f>VLOOKUP($B345,floorspace!$B$4:$O$12,'shell factors calc'!R$2+1,FALSE)</f>
        <v>76.057404000000005</v>
      </c>
      <c r="S345" s="8">
        <f>VLOOKUP($B345,floorspace!$B$4:$O$12,'shell factors calc'!S$2+1,FALSE)</f>
        <v>260.10995500000001</v>
      </c>
      <c r="T345" s="8">
        <f>VLOOKUP($B345,floorspace!$B$4:$O$12,'shell factors calc'!T$2+1,FALSE)</f>
        <v>871.65142800000001</v>
      </c>
      <c r="U345" s="8">
        <f>VLOOKUP($B345,floorspace!$B$4:$O$12,'shell factors calc'!U$2+1,FALSE)</f>
        <v>2019.4379879999999</v>
      </c>
      <c r="V345" s="8">
        <f>VLOOKUP($B345,floorspace!$B$4:$O$12,'shell factors calc'!V$2+1,FALSE)</f>
        <v>962.05139199999996</v>
      </c>
      <c r="W345" s="8">
        <f>VLOOKUP($B345,floorspace!$B$4:$O$12,'shell factors calc'!W$2+1,FALSE)</f>
        <v>1967.076904</v>
      </c>
      <c r="X345" s="8">
        <f>VLOOKUP($B345,floorspace!$B$4:$O$12,'shell factors calc'!X$2+1,FALSE)</f>
        <v>1929.18335</v>
      </c>
      <c r="Y345" s="8">
        <f>VLOOKUP($B345,floorspace!$B$4:$O$12,'shell factors calc'!Y$2+1,FALSE)</f>
        <v>816.88464399999998</v>
      </c>
      <c r="Z345">
        <f t="shared" si="5"/>
        <v>0.46672288125856098</v>
      </c>
    </row>
    <row r="346" spans="1:26" x14ac:dyDescent="0.2">
      <c r="A346" s="5" t="s">
        <v>46</v>
      </c>
      <c r="B346" s="5" t="s">
        <v>37</v>
      </c>
      <c r="C346" s="6" t="s">
        <v>28</v>
      </c>
      <c r="D346" s="7">
        <v>0.403754</v>
      </c>
      <c r="E346">
        <v>0.40418799999999999</v>
      </c>
      <c r="F346">
        <v>0.71069000000000004</v>
      </c>
      <c r="G346">
        <v>0.52498999999999996</v>
      </c>
      <c r="H346">
        <v>0.58136399999999999</v>
      </c>
      <c r="I346">
        <v>0.46956900000000001</v>
      </c>
      <c r="J346">
        <v>0.44931300000000002</v>
      </c>
      <c r="K346">
        <v>0.44799600000000001</v>
      </c>
      <c r="L346">
        <v>0.389048</v>
      </c>
      <c r="M346">
        <v>0.59629200000000004</v>
      </c>
      <c r="N346">
        <v>0.45716600000000002</v>
      </c>
      <c r="O346" s="8">
        <f>VLOOKUP($B346,floorspace!$B$4:$O$12,'shell factors calc'!O$2+1,FALSE)</f>
        <v>1185.1273189999999</v>
      </c>
      <c r="P346" s="8">
        <f>VLOOKUP($B346,floorspace!$B$4:$O$12,'shell factors calc'!P$2+1,FALSE)</f>
        <v>1901.63501</v>
      </c>
      <c r="Q346" s="8">
        <f>VLOOKUP($B346,floorspace!$B$4:$O$12,'shell factors calc'!Q$2+1,FALSE)</f>
        <v>53.974445000000003</v>
      </c>
      <c r="R346" s="8">
        <f>VLOOKUP($B346,floorspace!$B$4:$O$12,'shell factors calc'!R$2+1,FALSE)</f>
        <v>76.057404000000005</v>
      </c>
      <c r="S346" s="8">
        <f>VLOOKUP($B346,floorspace!$B$4:$O$12,'shell factors calc'!S$2+1,FALSE)</f>
        <v>260.10995500000001</v>
      </c>
      <c r="T346" s="8">
        <f>VLOOKUP($B346,floorspace!$B$4:$O$12,'shell factors calc'!T$2+1,FALSE)</f>
        <v>871.65142800000001</v>
      </c>
      <c r="U346" s="8">
        <f>VLOOKUP($B346,floorspace!$B$4:$O$12,'shell factors calc'!U$2+1,FALSE)</f>
        <v>2019.4379879999999</v>
      </c>
      <c r="V346" s="8">
        <f>VLOOKUP($B346,floorspace!$B$4:$O$12,'shell factors calc'!V$2+1,FALSE)</f>
        <v>962.05139199999996</v>
      </c>
      <c r="W346" s="8">
        <f>VLOOKUP($B346,floorspace!$B$4:$O$12,'shell factors calc'!W$2+1,FALSE)</f>
        <v>1967.076904</v>
      </c>
      <c r="X346" s="8">
        <f>VLOOKUP($B346,floorspace!$B$4:$O$12,'shell factors calc'!X$2+1,FALSE)</f>
        <v>1929.18335</v>
      </c>
      <c r="Y346" s="8">
        <f>VLOOKUP($B346,floorspace!$B$4:$O$12,'shell factors calc'!Y$2+1,FALSE)</f>
        <v>816.88464399999998</v>
      </c>
      <c r="Z346">
        <f t="shared" si="5"/>
        <v>0.45780032396371662</v>
      </c>
    </row>
    <row r="347" spans="1:26" x14ac:dyDescent="0.2">
      <c r="A347" s="5" t="s">
        <v>46</v>
      </c>
      <c r="B347" s="5" t="s">
        <v>37</v>
      </c>
      <c r="C347" s="6" t="s">
        <v>29</v>
      </c>
      <c r="D347" s="7">
        <v>0.39462599999999998</v>
      </c>
      <c r="E347">
        <v>0.39501799999999998</v>
      </c>
      <c r="F347">
        <v>0.705982</v>
      </c>
      <c r="G347">
        <v>0.518123</v>
      </c>
      <c r="H347">
        <v>0.57430099999999995</v>
      </c>
      <c r="I347">
        <v>0.46024300000000001</v>
      </c>
      <c r="J347">
        <v>0.44017099999999998</v>
      </c>
      <c r="K347">
        <v>0.43985200000000002</v>
      </c>
      <c r="L347">
        <v>0.37931100000000001</v>
      </c>
      <c r="M347">
        <v>0.58925000000000005</v>
      </c>
      <c r="N347">
        <v>0.44829799999999997</v>
      </c>
      <c r="O347" s="8">
        <f>VLOOKUP($B347,floorspace!$B$4:$O$12,'shell factors calc'!O$2+1,FALSE)</f>
        <v>1185.1273189999999</v>
      </c>
      <c r="P347" s="8">
        <f>VLOOKUP($B347,floorspace!$B$4:$O$12,'shell factors calc'!P$2+1,FALSE)</f>
        <v>1901.63501</v>
      </c>
      <c r="Q347" s="8">
        <f>VLOOKUP($B347,floorspace!$B$4:$O$12,'shell factors calc'!Q$2+1,FALSE)</f>
        <v>53.974445000000003</v>
      </c>
      <c r="R347" s="8">
        <f>VLOOKUP($B347,floorspace!$B$4:$O$12,'shell factors calc'!R$2+1,FALSE)</f>
        <v>76.057404000000005</v>
      </c>
      <c r="S347" s="8">
        <f>VLOOKUP($B347,floorspace!$B$4:$O$12,'shell factors calc'!S$2+1,FALSE)</f>
        <v>260.10995500000001</v>
      </c>
      <c r="T347" s="8">
        <f>VLOOKUP($B347,floorspace!$B$4:$O$12,'shell factors calc'!T$2+1,FALSE)</f>
        <v>871.65142800000001</v>
      </c>
      <c r="U347" s="8">
        <f>VLOOKUP($B347,floorspace!$B$4:$O$12,'shell factors calc'!U$2+1,FALSE)</f>
        <v>2019.4379879999999</v>
      </c>
      <c r="V347" s="8">
        <f>VLOOKUP($B347,floorspace!$B$4:$O$12,'shell factors calc'!V$2+1,FALSE)</f>
        <v>962.05139199999996</v>
      </c>
      <c r="W347" s="8">
        <f>VLOOKUP($B347,floorspace!$B$4:$O$12,'shell factors calc'!W$2+1,FALSE)</f>
        <v>1967.076904</v>
      </c>
      <c r="X347" s="8">
        <f>VLOOKUP($B347,floorspace!$B$4:$O$12,'shell factors calc'!X$2+1,FALSE)</f>
        <v>1929.18335</v>
      </c>
      <c r="Y347" s="8">
        <f>VLOOKUP($B347,floorspace!$B$4:$O$12,'shell factors calc'!Y$2+1,FALSE)</f>
        <v>816.88464399999998</v>
      </c>
      <c r="Z347">
        <f t="shared" si="5"/>
        <v>0.44905862588059658</v>
      </c>
    </row>
    <row r="348" spans="1:26" x14ac:dyDescent="0.2">
      <c r="A348" s="5" t="s">
        <v>46</v>
      </c>
      <c r="B348" s="5" t="s">
        <v>37</v>
      </c>
      <c r="C348" s="6" t="s">
        <v>30</v>
      </c>
      <c r="D348" s="7">
        <v>0.38570300000000002</v>
      </c>
      <c r="E348">
        <v>0.38605699999999998</v>
      </c>
      <c r="F348">
        <v>0.70130599999999998</v>
      </c>
      <c r="G348">
        <v>0.51134500000000005</v>
      </c>
      <c r="H348">
        <v>0.56732499999999997</v>
      </c>
      <c r="I348">
        <v>0.45110299999999998</v>
      </c>
      <c r="J348">
        <v>0.43121500000000001</v>
      </c>
      <c r="K348">
        <v>0.43185600000000002</v>
      </c>
      <c r="L348">
        <v>0.36981700000000001</v>
      </c>
      <c r="M348">
        <v>0.582291</v>
      </c>
      <c r="N348">
        <v>0.43960300000000002</v>
      </c>
      <c r="O348" s="8">
        <f>VLOOKUP($B348,floorspace!$B$4:$O$12,'shell factors calc'!O$2+1,FALSE)</f>
        <v>1185.1273189999999</v>
      </c>
      <c r="P348" s="8">
        <f>VLOOKUP($B348,floorspace!$B$4:$O$12,'shell factors calc'!P$2+1,FALSE)</f>
        <v>1901.63501</v>
      </c>
      <c r="Q348" s="8">
        <f>VLOOKUP($B348,floorspace!$B$4:$O$12,'shell factors calc'!Q$2+1,FALSE)</f>
        <v>53.974445000000003</v>
      </c>
      <c r="R348" s="8">
        <f>VLOOKUP($B348,floorspace!$B$4:$O$12,'shell factors calc'!R$2+1,FALSE)</f>
        <v>76.057404000000005</v>
      </c>
      <c r="S348" s="8">
        <f>VLOOKUP($B348,floorspace!$B$4:$O$12,'shell factors calc'!S$2+1,FALSE)</f>
        <v>260.10995500000001</v>
      </c>
      <c r="T348" s="8">
        <f>VLOOKUP($B348,floorspace!$B$4:$O$12,'shell factors calc'!T$2+1,FALSE)</f>
        <v>871.65142800000001</v>
      </c>
      <c r="U348" s="8">
        <f>VLOOKUP($B348,floorspace!$B$4:$O$12,'shell factors calc'!U$2+1,FALSE)</f>
        <v>2019.4379879999999</v>
      </c>
      <c r="V348" s="8">
        <f>VLOOKUP($B348,floorspace!$B$4:$O$12,'shell factors calc'!V$2+1,FALSE)</f>
        <v>962.05139199999996</v>
      </c>
      <c r="W348" s="8">
        <f>VLOOKUP($B348,floorspace!$B$4:$O$12,'shell factors calc'!W$2+1,FALSE)</f>
        <v>1967.076904</v>
      </c>
      <c r="X348" s="8">
        <f>VLOOKUP($B348,floorspace!$B$4:$O$12,'shell factors calc'!X$2+1,FALSE)</f>
        <v>1929.18335</v>
      </c>
      <c r="Y348" s="8">
        <f>VLOOKUP($B348,floorspace!$B$4:$O$12,'shell factors calc'!Y$2+1,FALSE)</f>
        <v>816.88464399999998</v>
      </c>
      <c r="Z348">
        <f t="shared" si="5"/>
        <v>0.44049388156884295</v>
      </c>
    </row>
    <row r="349" spans="1:26" x14ac:dyDescent="0.2">
      <c r="A349" s="5" t="s">
        <v>46</v>
      </c>
      <c r="B349" s="5" t="s">
        <v>37</v>
      </c>
      <c r="C349" s="6" t="s">
        <v>31</v>
      </c>
      <c r="D349" s="7">
        <v>0.37698300000000001</v>
      </c>
      <c r="E349">
        <v>0.377299</v>
      </c>
      <c r="F349">
        <v>0.69665999999999995</v>
      </c>
      <c r="G349">
        <v>0.50465599999999999</v>
      </c>
      <c r="H349">
        <v>0.56043299999999996</v>
      </c>
      <c r="I349">
        <v>0.44214399999999998</v>
      </c>
      <c r="J349">
        <v>0.42244199999999998</v>
      </c>
      <c r="K349">
        <v>0.42400500000000002</v>
      </c>
      <c r="L349">
        <v>0.36055999999999999</v>
      </c>
      <c r="M349">
        <v>0.57541399999999998</v>
      </c>
      <c r="N349">
        <v>0.43107600000000001</v>
      </c>
      <c r="O349" s="8">
        <f>VLOOKUP($B349,floorspace!$B$4:$O$12,'shell factors calc'!O$2+1,FALSE)</f>
        <v>1185.1273189999999</v>
      </c>
      <c r="P349" s="8">
        <f>VLOOKUP($B349,floorspace!$B$4:$O$12,'shell factors calc'!P$2+1,FALSE)</f>
        <v>1901.63501</v>
      </c>
      <c r="Q349" s="8">
        <f>VLOOKUP($B349,floorspace!$B$4:$O$12,'shell factors calc'!Q$2+1,FALSE)</f>
        <v>53.974445000000003</v>
      </c>
      <c r="R349" s="8">
        <f>VLOOKUP($B349,floorspace!$B$4:$O$12,'shell factors calc'!R$2+1,FALSE)</f>
        <v>76.057404000000005</v>
      </c>
      <c r="S349" s="8">
        <f>VLOOKUP($B349,floorspace!$B$4:$O$12,'shell factors calc'!S$2+1,FALSE)</f>
        <v>260.10995500000001</v>
      </c>
      <c r="T349" s="8">
        <f>VLOOKUP($B349,floorspace!$B$4:$O$12,'shell factors calc'!T$2+1,FALSE)</f>
        <v>871.65142800000001</v>
      </c>
      <c r="U349" s="8">
        <f>VLOOKUP($B349,floorspace!$B$4:$O$12,'shell factors calc'!U$2+1,FALSE)</f>
        <v>2019.4379879999999</v>
      </c>
      <c r="V349" s="8">
        <f>VLOOKUP($B349,floorspace!$B$4:$O$12,'shell factors calc'!V$2+1,FALSE)</f>
        <v>962.05139199999996</v>
      </c>
      <c r="W349" s="8">
        <f>VLOOKUP($B349,floorspace!$B$4:$O$12,'shell factors calc'!W$2+1,FALSE)</f>
        <v>1967.076904</v>
      </c>
      <c r="X349" s="8">
        <f>VLOOKUP($B349,floorspace!$B$4:$O$12,'shell factors calc'!X$2+1,FALSE)</f>
        <v>1929.18335</v>
      </c>
      <c r="Y349" s="8">
        <f>VLOOKUP($B349,floorspace!$B$4:$O$12,'shell factors calc'!Y$2+1,FALSE)</f>
        <v>816.88464399999998</v>
      </c>
      <c r="Z349">
        <f t="shared" si="5"/>
        <v>0.43210228911738896</v>
      </c>
    </row>
    <row r="350" spans="1:26" x14ac:dyDescent="0.2">
      <c r="A350" s="5" t="s">
        <v>46</v>
      </c>
      <c r="B350" s="5" t="s">
        <v>37</v>
      </c>
      <c r="C350" s="6" t="s">
        <v>32</v>
      </c>
      <c r="D350" s="7">
        <v>0.36846000000000001</v>
      </c>
      <c r="E350">
        <v>0.36873899999999998</v>
      </c>
      <c r="F350">
        <v>0.69204600000000005</v>
      </c>
      <c r="G350">
        <v>0.498054</v>
      </c>
      <c r="H350">
        <v>0.55362500000000003</v>
      </c>
      <c r="I350">
        <v>0.43336400000000003</v>
      </c>
      <c r="J350">
        <v>0.41384700000000002</v>
      </c>
      <c r="K350">
        <v>0.41629699999999997</v>
      </c>
      <c r="L350">
        <v>0.35153600000000002</v>
      </c>
      <c r="M350">
        <v>0.56861899999999999</v>
      </c>
      <c r="N350">
        <v>0.42271500000000001</v>
      </c>
      <c r="O350" s="8">
        <f>VLOOKUP($B350,floorspace!$B$4:$O$12,'shell factors calc'!O$2+1,FALSE)</f>
        <v>1185.1273189999999</v>
      </c>
      <c r="P350" s="8">
        <f>VLOOKUP($B350,floorspace!$B$4:$O$12,'shell factors calc'!P$2+1,FALSE)</f>
        <v>1901.63501</v>
      </c>
      <c r="Q350" s="8">
        <f>VLOOKUP($B350,floorspace!$B$4:$O$12,'shell factors calc'!Q$2+1,FALSE)</f>
        <v>53.974445000000003</v>
      </c>
      <c r="R350" s="8">
        <f>VLOOKUP($B350,floorspace!$B$4:$O$12,'shell factors calc'!R$2+1,FALSE)</f>
        <v>76.057404000000005</v>
      </c>
      <c r="S350" s="8">
        <f>VLOOKUP($B350,floorspace!$B$4:$O$12,'shell factors calc'!S$2+1,FALSE)</f>
        <v>260.10995500000001</v>
      </c>
      <c r="T350" s="8">
        <f>VLOOKUP($B350,floorspace!$B$4:$O$12,'shell factors calc'!T$2+1,FALSE)</f>
        <v>871.65142800000001</v>
      </c>
      <c r="U350" s="8">
        <f>VLOOKUP($B350,floorspace!$B$4:$O$12,'shell factors calc'!U$2+1,FALSE)</f>
        <v>2019.4379879999999</v>
      </c>
      <c r="V350" s="8">
        <f>VLOOKUP($B350,floorspace!$B$4:$O$12,'shell factors calc'!V$2+1,FALSE)</f>
        <v>962.05139199999996</v>
      </c>
      <c r="W350" s="8">
        <f>VLOOKUP($B350,floorspace!$B$4:$O$12,'shell factors calc'!W$2+1,FALSE)</f>
        <v>1967.076904</v>
      </c>
      <c r="X350" s="8">
        <f>VLOOKUP($B350,floorspace!$B$4:$O$12,'shell factors calc'!X$2+1,FALSE)</f>
        <v>1929.18335</v>
      </c>
      <c r="Y350" s="8">
        <f>VLOOKUP($B350,floorspace!$B$4:$O$12,'shell factors calc'!Y$2+1,FALSE)</f>
        <v>816.88464399999998</v>
      </c>
      <c r="Z350">
        <f t="shared" si="5"/>
        <v>0.42388053297795381</v>
      </c>
    </row>
    <row r="351" spans="1:26" x14ac:dyDescent="0.2">
      <c r="A351" s="5" t="s">
        <v>46</v>
      </c>
      <c r="B351" s="5" t="s">
        <v>37</v>
      </c>
      <c r="C351" s="6" t="s">
        <v>33</v>
      </c>
      <c r="D351" s="7">
        <v>0.36012899999999998</v>
      </c>
      <c r="E351">
        <v>0.36037400000000003</v>
      </c>
      <c r="F351">
        <v>0.68746099999999999</v>
      </c>
      <c r="G351">
        <v>0.491539</v>
      </c>
      <c r="H351">
        <v>0.54690000000000005</v>
      </c>
      <c r="I351">
        <v>0.424757</v>
      </c>
      <c r="J351">
        <v>0.40542600000000001</v>
      </c>
      <c r="K351">
        <v>0.40872900000000001</v>
      </c>
      <c r="L351">
        <v>0.34273700000000001</v>
      </c>
      <c r="M351">
        <v>0.56190399999999996</v>
      </c>
      <c r="N351">
        <v>0.414516</v>
      </c>
      <c r="O351" s="8">
        <f>VLOOKUP($B351,floorspace!$B$4:$O$12,'shell factors calc'!O$2+1,FALSE)</f>
        <v>1185.1273189999999</v>
      </c>
      <c r="P351" s="8">
        <f>VLOOKUP($B351,floorspace!$B$4:$O$12,'shell factors calc'!P$2+1,FALSE)</f>
        <v>1901.63501</v>
      </c>
      <c r="Q351" s="8">
        <f>VLOOKUP($B351,floorspace!$B$4:$O$12,'shell factors calc'!Q$2+1,FALSE)</f>
        <v>53.974445000000003</v>
      </c>
      <c r="R351" s="8">
        <f>VLOOKUP($B351,floorspace!$B$4:$O$12,'shell factors calc'!R$2+1,FALSE)</f>
        <v>76.057404000000005</v>
      </c>
      <c r="S351" s="8">
        <f>VLOOKUP($B351,floorspace!$B$4:$O$12,'shell factors calc'!S$2+1,FALSE)</f>
        <v>260.10995500000001</v>
      </c>
      <c r="T351" s="8">
        <f>VLOOKUP($B351,floorspace!$B$4:$O$12,'shell factors calc'!T$2+1,FALSE)</f>
        <v>871.65142800000001</v>
      </c>
      <c r="U351" s="8">
        <f>VLOOKUP($B351,floorspace!$B$4:$O$12,'shell factors calc'!U$2+1,FALSE)</f>
        <v>2019.4379879999999</v>
      </c>
      <c r="V351" s="8">
        <f>VLOOKUP($B351,floorspace!$B$4:$O$12,'shell factors calc'!V$2+1,FALSE)</f>
        <v>962.05139199999996</v>
      </c>
      <c r="W351" s="8">
        <f>VLOOKUP($B351,floorspace!$B$4:$O$12,'shell factors calc'!W$2+1,FALSE)</f>
        <v>1967.076904</v>
      </c>
      <c r="X351" s="8">
        <f>VLOOKUP($B351,floorspace!$B$4:$O$12,'shell factors calc'!X$2+1,FALSE)</f>
        <v>1929.18335</v>
      </c>
      <c r="Y351" s="8">
        <f>VLOOKUP($B351,floorspace!$B$4:$O$12,'shell factors calc'!Y$2+1,FALSE)</f>
        <v>816.88464399999998</v>
      </c>
      <c r="Z351">
        <f t="shared" si="5"/>
        <v>0.41582436934878708</v>
      </c>
    </row>
    <row r="352" spans="1:26" x14ac:dyDescent="0.2">
      <c r="A352" s="5" t="s">
        <v>46</v>
      </c>
      <c r="B352" s="5" t="s">
        <v>37</v>
      </c>
      <c r="C352" s="6" t="s">
        <v>34</v>
      </c>
      <c r="D352" s="7">
        <v>0.35198699999999999</v>
      </c>
      <c r="E352">
        <v>0.35219899999999998</v>
      </c>
      <c r="F352">
        <v>0.68290700000000004</v>
      </c>
      <c r="G352">
        <v>0.48510900000000001</v>
      </c>
      <c r="H352">
        <v>0.54025599999999996</v>
      </c>
      <c r="I352">
        <v>0.41632200000000003</v>
      </c>
      <c r="J352">
        <v>0.39717799999999998</v>
      </c>
      <c r="K352">
        <v>0.40129799999999999</v>
      </c>
      <c r="L352">
        <v>0.33415800000000001</v>
      </c>
      <c r="M352">
        <v>0.55526799999999998</v>
      </c>
      <c r="N352">
        <v>0.40647499999999998</v>
      </c>
      <c r="O352" s="8">
        <f>VLOOKUP($B352,floorspace!$B$4:$O$12,'shell factors calc'!O$2+1,FALSE)</f>
        <v>1185.1273189999999</v>
      </c>
      <c r="P352" s="8">
        <f>VLOOKUP($B352,floorspace!$B$4:$O$12,'shell factors calc'!P$2+1,FALSE)</f>
        <v>1901.63501</v>
      </c>
      <c r="Q352" s="8">
        <f>VLOOKUP($B352,floorspace!$B$4:$O$12,'shell factors calc'!Q$2+1,FALSE)</f>
        <v>53.974445000000003</v>
      </c>
      <c r="R352" s="8">
        <f>VLOOKUP($B352,floorspace!$B$4:$O$12,'shell factors calc'!R$2+1,FALSE)</f>
        <v>76.057404000000005</v>
      </c>
      <c r="S352" s="8">
        <f>VLOOKUP($B352,floorspace!$B$4:$O$12,'shell factors calc'!S$2+1,FALSE)</f>
        <v>260.10995500000001</v>
      </c>
      <c r="T352" s="8">
        <f>VLOOKUP($B352,floorspace!$B$4:$O$12,'shell factors calc'!T$2+1,FALSE)</f>
        <v>871.65142800000001</v>
      </c>
      <c r="U352" s="8">
        <f>VLOOKUP($B352,floorspace!$B$4:$O$12,'shell factors calc'!U$2+1,FALSE)</f>
        <v>2019.4379879999999</v>
      </c>
      <c r="V352" s="8">
        <f>VLOOKUP($B352,floorspace!$B$4:$O$12,'shell factors calc'!V$2+1,FALSE)</f>
        <v>962.05139199999996</v>
      </c>
      <c r="W352" s="8">
        <f>VLOOKUP($B352,floorspace!$B$4:$O$12,'shell factors calc'!W$2+1,FALSE)</f>
        <v>1967.076904</v>
      </c>
      <c r="X352" s="8">
        <f>VLOOKUP($B352,floorspace!$B$4:$O$12,'shell factors calc'!X$2+1,FALSE)</f>
        <v>1929.18335</v>
      </c>
      <c r="Y352" s="8">
        <f>VLOOKUP($B352,floorspace!$B$4:$O$12,'shell factors calc'!Y$2+1,FALSE)</f>
        <v>816.88464399999998</v>
      </c>
      <c r="Z352">
        <f t="shared" si="5"/>
        <v>0.40793093874719927</v>
      </c>
    </row>
    <row r="353" spans="1:26" x14ac:dyDescent="0.2">
      <c r="A353" s="5" t="s">
        <v>46</v>
      </c>
      <c r="B353" s="5" t="s">
        <v>37</v>
      </c>
      <c r="C353" s="6" t="s">
        <v>35</v>
      </c>
      <c r="D353" s="7">
        <v>0.344028</v>
      </c>
      <c r="E353">
        <v>0.34420899999999999</v>
      </c>
      <c r="F353">
        <v>0.67838399999999999</v>
      </c>
      <c r="G353">
        <v>0.47876299999999999</v>
      </c>
      <c r="H353">
        <v>0.53369299999999997</v>
      </c>
      <c r="I353">
        <v>0.40805399999999997</v>
      </c>
      <c r="J353">
        <v>0.38909700000000003</v>
      </c>
      <c r="K353">
        <v>0.39400299999999999</v>
      </c>
      <c r="L353">
        <v>0.32579399999999997</v>
      </c>
      <c r="M353">
        <v>0.54871000000000003</v>
      </c>
      <c r="N353">
        <v>0.39859099999999997</v>
      </c>
      <c r="O353" s="8">
        <f>VLOOKUP($B353,floorspace!$B$4:$O$12,'shell factors calc'!O$2+1,FALSE)</f>
        <v>1185.1273189999999</v>
      </c>
      <c r="P353" s="8">
        <f>VLOOKUP($B353,floorspace!$B$4:$O$12,'shell factors calc'!P$2+1,FALSE)</f>
        <v>1901.63501</v>
      </c>
      <c r="Q353" s="8">
        <f>VLOOKUP($B353,floorspace!$B$4:$O$12,'shell factors calc'!Q$2+1,FALSE)</f>
        <v>53.974445000000003</v>
      </c>
      <c r="R353" s="8">
        <f>VLOOKUP($B353,floorspace!$B$4:$O$12,'shell factors calc'!R$2+1,FALSE)</f>
        <v>76.057404000000005</v>
      </c>
      <c r="S353" s="8">
        <f>VLOOKUP($B353,floorspace!$B$4:$O$12,'shell factors calc'!S$2+1,FALSE)</f>
        <v>260.10995500000001</v>
      </c>
      <c r="T353" s="8">
        <f>VLOOKUP($B353,floorspace!$B$4:$O$12,'shell factors calc'!T$2+1,FALSE)</f>
        <v>871.65142800000001</v>
      </c>
      <c r="U353" s="8">
        <f>VLOOKUP($B353,floorspace!$B$4:$O$12,'shell factors calc'!U$2+1,FALSE)</f>
        <v>2019.4379879999999</v>
      </c>
      <c r="V353" s="8">
        <f>VLOOKUP($B353,floorspace!$B$4:$O$12,'shell factors calc'!V$2+1,FALSE)</f>
        <v>962.05139199999996</v>
      </c>
      <c r="W353" s="8">
        <f>VLOOKUP($B353,floorspace!$B$4:$O$12,'shell factors calc'!W$2+1,FALSE)</f>
        <v>1967.076904</v>
      </c>
      <c r="X353" s="8">
        <f>VLOOKUP($B353,floorspace!$B$4:$O$12,'shell factors calc'!X$2+1,FALSE)</f>
        <v>1929.18335</v>
      </c>
      <c r="Y353" s="8">
        <f>VLOOKUP($B353,floorspace!$B$4:$O$12,'shell factors calc'!Y$2+1,FALSE)</f>
        <v>816.88464399999998</v>
      </c>
      <c r="Z353">
        <f t="shared" si="5"/>
        <v>0.40019636235155193</v>
      </c>
    </row>
    <row r="354" spans="1:26" x14ac:dyDescent="0.2">
      <c r="A354" s="5" t="s">
        <v>46</v>
      </c>
      <c r="B354" s="1" t="s">
        <v>37</v>
      </c>
      <c r="C354" s="2" t="s">
        <v>36</v>
      </c>
      <c r="D354" s="4">
        <v>0.33624999999999999</v>
      </c>
      <c r="E354">
        <v>0.33639999999999998</v>
      </c>
      <c r="F354">
        <v>0.67388999999999999</v>
      </c>
      <c r="G354">
        <v>0.47249999999999998</v>
      </c>
      <c r="H354">
        <v>0.52720999999999996</v>
      </c>
      <c r="I354">
        <v>0.39995000000000003</v>
      </c>
      <c r="J354">
        <v>0.38118000000000002</v>
      </c>
      <c r="K354">
        <v>0.38684000000000002</v>
      </c>
      <c r="L354">
        <v>0.31763999999999998</v>
      </c>
      <c r="M354">
        <v>0.54222999999999999</v>
      </c>
      <c r="N354">
        <v>0.39085999999999999</v>
      </c>
      <c r="O354" s="8">
        <f>VLOOKUP($B354,floorspace!$B$4:$O$12,'shell factors calc'!O$2+1,FALSE)</f>
        <v>1185.1273189999999</v>
      </c>
      <c r="P354" s="8">
        <f>VLOOKUP($B354,floorspace!$B$4:$O$12,'shell factors calc'!P$2+1,FALSE)</f>
        <v>1901.63501</v>
      </c>
      <c r="Q354" s="8">
        <f>VLOOKUP($B354,floorspace!$B$4:$O$12,'shell factors calc'!Q$2+1,FALSE)</f>
        <v>53.974445000000003</v>
      </c>
      <c r="R354" s="8">
        <f>VLOOKUP($B354,floorspace!$B$4:$O$12,'shell factors calc'!R$2+1,FALSE)</f>
        <v>76.057404000000005</v>
      </c>
      <c r="S354" s="8">
        <f>VLOOKUP($B354,floorspace!$B$4:$O$12,'shell factors calc'!S$2+1,FALSE)</f>
        <v>260.10995500000001</v>
      </c>
      <c r="T354" s="8">
        <f>VLOOKUP($B354,floorspace!$B$4:$O$12,'shell factors calc'!T$2+1,FALSE)</f>
        <v>871.65142800000001</v>
      </c>
      <c r="U354" s="8">
        <f>VLOOKUP($B354,floorspace!$B$4:$O$12,'shell factors calc'!U$2+1,FALSE)</f>
        <v>2019.4379879999999</v>
      </c>
      <c r="V354" s="8">
        <f>VLOOKUP($B354,floorspace!$B$4:$O$12,'shell factors calc'!V$2+1,FALSE)</f>
        <v>962.05139199999996</v>
      </c>
      <c r="W354" s="8">
        <f>VLOOKUP($B354,floorspace!$B$4:$O$12,'shell factors calc'!W$2+1,FALSE)</f>
        <v>1967.076904</v>
      </c>
      <c r="X354" s="8">
        <f>VLOOKUP($B354,floorspace!$B$4:$O$12,'shell factors calc'!X$2+1,FALSE)</f>
        <v>1929.18335</v>
      </c>
      <c r="Y354" s="8">
        <f>VLOOKUP($B354,floorspace!$B$4:$O$12,'shell factors calc'!Y$2+1,FALSE)</f>
        <v>816.88464399999998</v>
      </c>
      <c r="Z354">
        <f t="shared" si="5"/>
        <v>0.3926176471584697</v>
      </c>
    </row>
    <row r="355" spans="1:26" x14ac:dyDescent="0.2">
      <c r="A355" s="5" t="s">
        <v>46</v>
      </c>
      <c r="B355" s="5" t="s">
        <v>38</v>
      </c>
      <c r="C355" s="6" t="s">
        <v>5</v>
      </c>
      <c r="D355" s="7">
        <v>0.62017299999999997</v>
      </c>
      <c r="E355">
        <v>0.61526000000000003</v>
      </c>
      <c r="F355">
        <v>0.86649900000000002</v>
      </c>
      <c r="G355">
        <v>0.79196299999999997</v>
      </c>
      <c r="H355">
        <v>0.73764200000000002</v>
      </c>
      <c r="I355">
        <v>0.69685399999999997</v>
      </c>
      <c r="J355">
        <v>0.656192</v>
      </c>
      <c r="K355">
        <v>0.65645900000000001</v>
      </c>
      <c r="L355">
        <v>0.61551900000000004</v>
      </c>
      <c r="M355">
        <v>0.65060499999999999</v>
      </c>
      <c r="N355">
        <v>0.65609399999999996</v>
      </c>
      <c r="O355" s="8">
        <f>VLOOKUP($B355,floorspace!$B$4:$O$12,'shell factors calc'!O$2+1,FALSE)</f>
        <v>2310.141357</v>
      </c>
      <c r="P355" s="8">
        <f>VLOOKUP($B355,floorspace!$B$4:$O$12,'shell factors calc'!P$2+1,FALSE)</f>
        <v>2408.3359380000002</v>
      </c>
      <c r="Q355" s="8">
        <f>VLOOKUP($B355,floorspace!$B$4:$O$12,'shell factors calc'!Q$2+1,FALSE)</f>
        <v>276.88534499999997</v>
      </c>
      <c r="R355" s="8">
        <f>VLOOKUP($B355,floorspace!$B$4:$O$12,'shell factors calc'!R$2+1,FALSE)</f>
        <v>212.81033300000001</v>
      </c>
      <c r="S355" s="8">
        <f>VLOOKUP($B355,floorspace!$B$4:$O$12,'shell factors calc'!S$2+1,FALSE)</f>
        <v>561.85345500000005</v>
      </c>
      <c r="T355" s="8">
        <f>VLOOKUP($B355,floorspace!$B$4:$O$12,'shell factors calc'!T$2+1,FALSE)</f>
        <v>1051.820923</v>
      </c>
      <c r="U355" s="8">
        <f>VLOOKUP($B355,floorspace!$B$4:$O$12,'shell factors calc'!U$2+1,FALSE)</f>
        <v>1563.5035399999999</v>
      </c>
      <c r="V355" s="8">
        <f>VLOOKUP($B355,floorspace!$B$4:$O$12,'shell factors calc'!V$2+1,FALSE)</f>
        <v>1452.933716</v>
      </c>
      <c r="W355" s="8">
        <f>VLOOKUP($B355,floorspace!$B$4:$O$12,'shell factors calc'!W$2+1,FALSE)</f>
        <v>3021.5776369999999</v>
      </c>
      <c r="X355" s="8">
        <f>VLOOKUP($B355,floorspace!$B$4:$O$12,'shell factors calc'!X$2+1,FALSE)</f>
        <v>3411.5915530000002</v>
      </c>
      <c r="Y355" s="8">
        <f>VLOOKUP($B355,floorspace!$B$4:$O$12,'shell factors calc'!Y$2+1,FALSE)</f>
        <v>941.76892099999998</v>
      </c>
      <c r="Z355">
        <f t="shared" si="5"/>
        <v>0.6476060404961812</v>
      </c>
    </row>
    <row r="356" spans="1:26" x14ac:dyDescent="0.2">
      <c r="A356" s="5" t="s">
        <v>46</v>
      </c>
      <c r="B356" s="5" t="s">
        <v>38</v>
      </c>
      <c r="C356" s="6" t="s">
        <v>6</v>
      </c>
      <c r="D356" s="7">
        <v>0.61180000000000001</v>
      </c>
      <c r="E356">
        <v>0.60672000000000004</v>
      </c>
      <c r="F356">
        <v>0.85546</v>
      </c>
      <c r="G356">
        <v>0.78759999999999997</v>
      </c>
      <c r="H356">
        <v>0.73065000000000002</v>
      </c>
      <c r="I356">
        <v>0.68845999999999996</v>
      </c>
      <c r="J356">
        <v>0.64754</v>
      </c>
      <c r="K356">
        <v>0.64917999999999998</v>
      </c>
      <c r="L356">
        <v>0.60658999999999996</v>
      </c>
      <c r="M356">
        <v>0.64078999999999997</v>
      </c>
      <c r="N356">
        <v>0.64759999999999995</v>
      </c>
      <c r="O356" s="8">
        <f>VLOOKUP($B356,floorspace!$B$4:$O$12,'shell factors calc'!O$2+1,FALSE)</f>
        <v>2310.141357</v>
      </c>
      <c r="P356" s="8">
        <f>VLOOKUP($B356,floorspace!$B$4:$O$12,'shell factors calc'!P$2+1,FALSE)</f>
        <v>2408.3359380000002</v>
      </c>
      <c r="Q356" s="8">
        <f>VLOOKUP($B356,floorspace!$B$4:$O$12,'shell factors calc'!Q$2+1,FALSE)</f>
        <v>276.88534499999997</v>
      </c>
      <c r="R356" s="8">
        <f>VLOOKUP($B356,floorspace!$B$4:$O$12,'shell factors calc'!R$2+1,FALSE)</f>
        <v>212.81033300000001</v>
      </c>
      <c r="S356" s="8">
        <f>VLOOKUP($B356,floorspace!$B$4:$O$12,'shell factors calc'!S$2+1,FALSE)</f>
        <v>561.85345500000005</v>
      </c>
      <c r="T356" s="8">
        <f>VLOOKUP($B356,floorspace!$B$4:$O$12,'shell factors calc'!T$2+1,FALSE)</f>
        <v>1051.820923</v>
      </c>
      <c r="U356" s="8">
        <f>VLOOKUP($B356,floorspace!$B$4:$O$12,'shell factors calc'!U$2+1,FALSE)</f>
        <v>1563.5035399999999</v>
      </c>
      <c r="V356" s="8">
        <f>VLOOKUP($B356,floorspace!$B$4:$O$12,'shell factors calc'!V$2+1,FALSE)</f>
        <v>1452.933716</v>
      </c>
      <c r="W356" s="8">
        <f>VLOOKUP($B356,floorspace!$B$4:$O$12,'shell factors calc'!W$2+1,FALSE)</f>
        <v>3021.5776369999999</v>
      </c>
      <c r="X356" s="8">
        <f>VLOOKUP($B356,floorspace!$B$4:$O$12,'shell factors calc'!X$2+1,FALSE)</f>
        <v>3411.5915530000002</v>
      </c>
      <c r="Y356" s="8">
        <f>VLOOKUP($B356,floorspace!$B$4:$O$12,'shell factors calc'!Y$2+1,FALSE)</f>
        <v>941.76892099999998</v>
      </c>
      <c r="Z356">
        <f t="shared" si="5"/>
        <v>0.63893714344512031</v>
      </c>
    </row>
    <row r="357" spans="1:26" x14ac:dyDescent="0.2">
      <c r="A357" s="5" t="s">
        <v>46</v>
      </c>
      <c r="B357" s="5" t="s">
        <v>38</v>
      </c>
      <c r="C357" s="6" t="s">
        <v>7</v>
      </c>
      <c r="D357" s="7">
        <v>0.60282400000000003</v>
      </c>
      <c r="E357">
        <v>0.59754499999999999</v>
      </c>
      <c r="F357">
        <v>0.84607100000000002</v>
      </c>
      <c r="G357">
        <v>0.78312499999999996</v>
      </c>
      <c r="H357">
        <v>0.72332399999999997</v>
      </c>
      <c r="I357">
        <v>0.67954199999999998</v>
      </c>
      <c r="J357">
        <v>0.63828099999999999</v>
      </c>
      <c r="K357">
        <v>0.64148099999999997</v>
      </c>
      <c r="L357">
        <v>0.59696700000000003</v>
      </c>
      <c r="M357">
        <v>0.630166</v>
      </c>
      <c r="N357">
        <v>0.63852200000000003</v>
      </c>
      <c r="O357" s="8">
        <f>VLOOKUP($B357,floorspace!$B$4:$O$12,'shell factors calc'!O$2+1,FALSE)</f>
        <v>2310.141357</v>
      </c>
      <c r="P357" s="8">
        <f>VLOOKUP($B357,floorspace!$B$4:$O$12,'shell factors calc'!P$2+1,FALSE)</f>
        <v>2408.3359380000002</v>
      </c>
      <c r="Q357" s="8">
        <f>VLOOKUP($B357,floorspace!$B$4:$O$12,'shell factors calc'!Q$2+1,FALSE)</f>
        <v>276.88534499999997</v>
      </c>
      <c r="R357" s="8">
        <f>VLOOKUP($B357,floorspace!$B$4:$O$12,'shell factors calc'!R$2+1,FALSE)</f>
        <v>212.81033300000001</v>
      </c>
      <c r="S357" s="8">
        <f>VLOOKUP($B357,floorspace!$B$4:$O$12,'shell factors calc'!S$2+1,FALSE)</f>
        <v>561.85345500000005</v>
      </c>
      <c r="T357" s="8">
        <f>VLOOKUP($B357,floorspace!$B$4:$O$12,'shell factors calc'!T$2+1,FALSE)</f>
        <v>1051.820923</v>
      </c>
      <c r="U357" s="8">
        <f>VLOOKUP($B357,floorspace!$B$4:$O$12,'shell factors calc'!U$2+1,FALSE)</f>
        <v>1563.5035399999999</v>
      </c>
      <c r="V357" s="8">
        <f>VLOOKUP($B357,floorspace!$B$4:$O$12,'shell factors calc'!V$2+1,FALSE)</f>
        <v>1452.933716</v>
      </c>
      <c r="W357" s="8">
        <f>VLOOKUP($B357,floorspace!$B$4:$O$12,'shell factors calc'!W$2+1,FALSE)</f>
        <v>3021.5776369999999</v>
      </c>
      <c r="X357" s="8">
        <f>VLOOKUP($B357,floorspace!$B$4:$O$12,'shell factors calc'!X$2+1,FALSE)</f>
        <v>3411.5915530000002</v>
      </c>
      <c r="Y357" s="8">
        <f>VLOOKUP($B357,floorspace!$B$4:$O$12,'shell factors calc'!Y$2+1,FALSE)</f>
        <v>941.76892099999998</v>
      </c>
      <c r="Z357">
        <f t="shared" si="5"/>
        <v>0.62967600865988282</v>
      </c>
    </row>
    <row r="358" spans="1:26" x14ac:dyDescent="0.2">
      <c r="A358" s="5" t="s">
        <v>46</v>
      </c>
      <c r="B358" s="5" t="s">
        <v>38</v>
      </c>
      <c r="C358" s="6" t="s">
        <v>8</v>
      </c>
      <c r="D358" s="7">
        <v>0.59397999999999995</v>
      </c>
      <c r="E358">
        <v>0.58850899999999995</v>
      </c>
      <c r="F358">
        <v>0.83678399999999997</v>
      </c>
      <c r="G358">
        <v>0.77867600000000003</v>
      </c>
      <c r="H358">
        <v>0.71607200000000004</v>
      </c>
      <c r="I358">
        <v>0.67073899999999997</v>
      </c>
      <c r="J358">
        <v>0.62915500000000002</v>
      </c>
      <c r="K358">
        <v>0.63387300000000002</v>
      </c>
      <c r="L358">
        <v>0.58749700000000005</v>
      </c>
      <c r="M358">
        <v>0.61971900000000002</v>
      </c>
      <c r="N358">
        <v>0.62957200000000002</v>
      </c>
      <c r="O358" s="8">
        <f>VLOOKUP($B358,floorspace!$B$4:$O$12,'shell factors calc'!O$2+1,FALSE)</f>
        <v>2310.141357</v>
      </c>
      <c r="P358" s="8">
        <f>VLOOKUP($B358,floorspace!$B$4:$O$12,'shell factors calc'!P$2+1,FALSE)</f>
        <v>2408.3359380000002</v>
      </c>
      <c r="Q358" s="8">
        <f>VLOOKUP($B358,floorspace!$B$4:$O$12,'shell factors calc'!Q$2+1,FALSE)</f>
        <v>276.88534499999997</v>
      </c>
      <c r="R358" s="8">
        <f>VLOOKUP($B358,floorspace!$B$4:$O$12,'shell factors calc'!R$2+1,FALSE)</f>
        <v>212.81033300000001</v>
      </c>
      <c r="S358" s="8">
        <f>VLOOKUP($B358,floorspace!$B$4:$O$12,'shell factors calc'!S$2+1,FALSE)</f>
        <v>561.85345500000005</v>
      </c>
      <c r="T358" s="8">
        <f>VLOOKUP($B358,floorspace!$B$4:$O$12,'shell factors calc'!T$2+1,FALSE)</f>
        <v>1051.820923</v>
      </c>
      <c r="U358" s="8">
        <f>VLOOKUP($B358,floorspace!$B$4:$O$12,'shell factors calc'!U$2+1,FALSE)</f>
        <v>1563.5035399999999</v>
      </c>
      <c r="V358" s="8">
        <f>VLOOKUP($B358,floorspace!$B$4:$O$12,'shell factors calc'!V$2+1,FALSE)</f>
        <v>1452.933716</v>
      </c>
      <c r="W358" s="8">
        <f>VLOOKUP($B358,floorspace!$B$4:$O$12,'shell factors calc'!W$2+1,FALSE)</f>
        <v>3021.5776369999999</v>
      </c>
      <c r="X358" s="8">
        <f>VLOOKUP($B358,floorspace!$B$4:$O$12,'shell factors calc'!X$2+1,FALSE)</f>
        <v>3411.5915530000002</v>
      </c>
      <c r="Y358" s="8">
        <f>VLOOKUP($B358,floorspace!$B$4:$O$12,'shell factors calc'!Y$2+1,FALSE)</f>
        <v>941.76892099999998</v>
      </c>
      <c r="Z358">
        <f t="shared" si="5"/>
        <v>0.62055214460965435</v>
      </c>
    </row>
    <row r="359" spans="1:26" x14ac:dyDescent="0.2">
      <c r="A359" s="5" t="s">
        <v>46</v>
      </c>
      <c r="B359" s="5" t="s">
        <v>38</v>
      </c>
      <c r="C359" s="6" t="s">
        <v>9</v>
      </c>
      <c r="D359" s="7">
        <v>0.58526500000000004</v>
      </c>
      <c r="E359">
        <v>0.57960999999999996</v>
      </c>
      <c r="F359">
        <v>0.8276</v>
      </c>
      <c r="G359">
        <v>0.77425200000000005</v>
      </c>
      <c r="H359">
        <v>0.70889199999999997</v>
      </c>
      <c r="I359">
        <v>0.66205000000000003</v>
      </c>
      <c r="J359">
        <v>0.62016000000000004</v>
      </c>
      <c r="K359">
        <v>0.626355</v>
      </c>
      <c r="L359">
        <v>0.57817799999999997</v>
      </c>
      <c r="M359">
        <v>0.60944500000000001</v>
      </c>
      <c r="N359">
        <v>0.62074700000000005</v>
      </c>
      <c r="O359" s="8">
        <f>VLOOKUP($B359,floorspace!$B$4:$O$12,'shell factors calc'!O$2+1,FALSE)</f>
        <v>2310.141357</v>
      </c>
      <c r="P359" s="8">
        <f>VLOOKUP($B359,floorspace!$B$4:$O$12,'shell factors calc'!P$2+1,FALSE)</f>
        <v>2408.3359380000002</v>
      </c>
      <c r="Q359" s="8">
        <f>VLOOKUP($B359,floorspace!$B$4:$O$12,'shell factors calc'!Q$2+1,FALSE)</f>
        <v>276.88534499999997</v>
      </c>
      <c r="R359" s="8">
        <f>VLOOKUP($B359,floorspace!$B$4:$O$12,'shell factors calc'!R$2+1,FALSE)</f>
        <v>212.81033300000001</v>
      </c>
      <c r="S359" s="8">
        <f>VLOOKUP($B359,floorspace!$B$4:$O$12,'shell factors calc'!S$2+1,FALSE)</f>
        <v>561.85345500000005</v>
      </c>
      <c r="T359" s="8">
        <f>VLOOKUP($B359,floorspace!$B$4:$O$12,'shell factors calc'!T$2+1,FALSE)</f>
        <v>1051.820923</v>
      </c>
      <c r="U359" s="8">
        <f>VLOOKUP($B359,floorspace!$B$4:$O$12,'shell factors calc'!U$2+1,FALSE)</f>
        <v>1563.5035399999999</v>
      </c>
      <c r="V359" s="8">
        <f>VLOOKUP($B359,floorspace!$B$4:$O$12,'shell factors calc'!V$2+1,FALSE)</f>
        <v>1452.933716</v>
      </c>
      <c r="W359" s="8">
        <f>VLOOKUP($B359,floorspace!$B$4:$O$12,'shell factors calc'!W$2+1,FALSE)</f>
        <v>3021.5776369999999</v>
      </c>
      <c r="X359" s="8">
        <f>VLOOKUP($B359,floorspace!$B$4:$O$12,'shell factors calc'!X$2+1,FALSE)</f>
        <v>3411.5915530000002</v>
      </c>
      <c r="Y359" s="8">
        <f>VLOOKUP($B359,floorspace!$B$4:$O$12,'shell factors calc'!Y$2+1,FALSE)</f>
        <v>941.76892099999998</v>
      </c>
      <c r="Z359">
        <f t="shared" si="5"/>
        <v>0.61156317211660849</v>
      </c>
    </row>
    <row r="360" spans="1:26" x14ac:dyDescent="0.2">
      <c r="A360" s="5" t="s">
        <v>46</v>
      </c>
      <c r="B360" s="5" t="s">
        <v>38</v>
      </c>
      <c r="C360" s="6" t="s">
        <v>10</v>
      </c>
      <c r="D360" s="7">
        <v>0.57667800000000002</v>
      </c>
      <c r="E360">
        <v>0.57084500000000005</v>
      </c>
      <c r="F360">
        <v>0.81851600000000002</v>
      </c>
      <c r="G360">
        <v>0.76985300000000001</v>
      </c>
      <c r="H360">
        <v>0.70178399999999996</v>
      </c>
      <c r="I360">
        <v>0.653474</v>
      </c>
      <c r="J360">
        <v>0.61129299999999998</v>
      </c>
      <c r="K360">
        <v>0.618927</v>
      </c>
      <c r="L360">
        <v>0.56900600000000001</v>
      </c>
      <c r="M360">
        <v>0.59934100000000001</v>
      </c>
      <c r="N360">
        <v>0.61204599999999998</v>
      </c>
      <c r="O360" s="8">
        <f>VLOOKUP($B360,floorspace!$B$4:$O$12,'shell factors calc'!O$2+1,FALSE)</f>
        <v>2310.141357</v>
      </c>
      <c r="P360" s="8">
        <f>VLOOKUP($B360,floorspace!$B$4:$O$12,'shell factors calc'!P$2+1,FALSE)</f>
        <v>2408.3359380000002</v>
      </c>
      <c r="Q360" s="8">
        <f>VLOOKUP($B360,floorspace!$B$4:$O$12,'shell factors calc'!Q$2+1,FALSE)</f>
        <v>276.88534499999997</v>
      </c>
      <c r="R360" s="8">
        <f>VLOOKUP($B360,floorspace!$B$4:$O$12,'shell factors calc'!R$2+1,FALSE)</f>
        <v>212.81033300000001</v>
      </c>
      <c r="S360" s="8">
        <f>VLOOKUP($B360,floorspace!$B$4:$O$12,'shell factors calc'!S$2+1,FALSE)</f>
        <v>561.85345500000005</v>
      </c>
      <c r="T360" s="8">
        <f>VLOOKUP($B360,floorspace!$B$4:$O$12,'shell factors calc'!T$2+1,FALSE)</f>
        <v>1051.820923</v>
      </c>
      <c r="U360" s="8">
        <f>VLOOKUP($B360,floorspace!$B$4:$O$12,'shell factors calc'!U$2+1,FALSE)</f>
        <v>1563.5035399999999</v>
      </c>
      <c r="V360" s="8">
        <f>VLOOKUP($B360,floorspace!$B$4:$O$12,'shell factors calc'!V$2+1,FALSE)</f>
        <v>1452.933716</v>
      </c>
      <c r="W360" s="8">
        <f>VLOOKUP($B360,floorspace!$B$4:$O$12,'shell factors calc'!W$2+1,FALSE)</f>
        <v>3021.5776369999999</v>
      </c>
      <c r="X360" s="8">
        <f>VLOOKUP($B360,floorspace!$B$4:$O$12,'shell factors calc'!X$2+1,FALSE)</f>
        <v>3411.5915530000002</v>
      </c>
      <c r="Y360" s="8">
        <f>VLOOKUP($B360,floorspace!$B$4:$O$12,'shell factors calc'!Y$2+1,FALSE)</f>
        <v>941.76892099999998</v>
      </c>
      <c r="Z360">
        <f t="shared" si="5"/>
        <v>0.60270680392800224</v>
      </c>
    </row>
    <row r="361" spans="1:26" x14ac:dyDescent="0.2">
      <c r="A361" s="5" t="s">
        <v>46</v>
      </c>
      <c r="B361" s="5" t="s">
        <v>38</v>
      </c>
      <c r="C361" s="6" t="s">
        <v>11</v>
      </c>
      <c r="D361" s="7">
        <v>0.568218</v>
      </c>
      <c r="E361">
        <v>0.56221200000000005</v>
      </c>
      <c r="F361">
        <v>0.80953200000000003</v>
      </c>
      <c r="G361">
        <v>0.76547900000000002</v>
      </c>
      <c r="H361">
        <v>0.69474800000000003</v>
      </c>
      <c r="I361">
        <v>0.64500900000000005</v>
      </c>
      <c r="J361">
        <v>0.60255199999999998</v>
      </c>
      <c r="K361">
        <v>0.61158699999999999</v>
      </c>
      <c r="L361">
        <v>0.559979</v>
      </c>
      <c r="M361">
        <v>0.58940499999999996</v>
      </c>
      <c r="N361">
        <v>0.60346599999999995</v>
      </c>
      <c r="O361" s="8">
        <f>VLOOKUP($B361,floorspace!$B$4:$O$12,'shell factors calc'!O$2+1,FALSE)</f>
        <v>2310.141357</v>
      </c>
      <c r="P361" s="8">
        <f>VLOOKUP($B361,floorspace!$B$4:$O$12,'shell factors calc'!P$2+1,FALSE)</f>
        <v>2408.3359380000002</v>
      </c>
      <c r="Q361" s="8">
        <f>VLOOKUP($B361,floorspace!$B$4:$O$12,'shell factors calc'!Q$2+1,FALSE)</f>
        <v>276.88534499999997</v>
      </c>
      <c r="R361" s="8">
        <f>VLOOKUP($B361,floorspace!$B$4:$O$12,'shell factors calc'!R$2+1,FALSE)</f>
        <v>212.81033300000001</v>
      </c>
      <c r="S361" s="8">
        <f>VLOOKUP($B361,floorspace!$B$4:$O$12,'shell factors calc'!S$2+1,FALSE)</f>
        <v>561.85345500000005</v>
      </c>
      <c r="T361" s="8">
        <f>VLOOKUP($B361,floorspace!$B$4:$O$12,'shell factors calc'!T$2+1,FALSE)</f>
        <v>1051.820923</v>
      </c>
      <c r="U361" s="8">
        <f>VLOOKUP($B361,floorspace!$B$4:$O$12,'shell factors calc'!U$2+1,FALSE)</f>
        <v>1563.5035399999999</v>
      </c>
      <c r="V361" s="8">
        <f>VLOOKUP($B361,floorspace!$B$4:$O$12,'shell factors calc'!V$2+1,FALSE)</f>
        <v>1452.933716</v>
      </c>
      <c r="W361" s="8">
        <f>VLOOKUP($B361,floorspace!$B$4:$O$12,'shell factors calc'!W$2+1,FALSE)</f>
        <v>3021.5776369999999</v>
      </c>
      <c r="X361" s="8">
        <f>VLOOKUP($B361,floorspace!$B$4:$O$12,'shell factors calc'!X$2+1,FALSE)</f>
        <v>3411.5915530000002</v>
      </c>
      <c r="Y361" s="8">
        <f>VLOOKUP($B361,floorspace!$B$4:$O$12,'shell factors calc'!Y$2+1,FALSE)</f>
        <v>941.76892099999998</v>
      </c>
      <c r="Z361">
        <f t="shared" si="5"/>
        <v>0.59398124171848765</v>
      </c>
    </row>
    <row r="362" spans="1:26" x14ac:dyDescent="0.2">
      <c r="A362" s="5" t="s">
        <v>46</v>
      </c>
      <c r="B362" s="5" t="s">
        <v>38</v>
      </c>
      <c r="C362" s="6" t="s">
        <v>12</v>
      </c>
      <c r="D362" s="7">
        <v>0.55988099999999996</v>
      </c>
      <c r="E362">
        <v>0.55371099999999995</v>
      </c>
      <c r="F362">
        <v>0.800647</v>
      </c>
      <c r="G362">
        <v>0.76112999999999997</v>
      </c>
      <c r="H362">
        <v>0.687782</v>
      </c>
      <c r="I362">
        <v>0.63665300000000002</v>
      </c>
      <c r="J362">
        <v>0.59393700000000005</v>
      </c>
      <c r="K362">
        <v>0.60433300000000001</v>
      </c>
      <c r="L362">
        <v>0.55109600000000003</v>
      </c>
      <c r="M362">
        <v>0.57963299999999995</v>
      </c>
      <c r="N362">
        <v>0.59500699999999995</v>
      </c>
      <c r="O362" s="8">
        <f>VLOOKUP($B362,floorspace!$B$4:$O$12,'shell factors calc'!O$2+1,FALSE)</f>
        <v>2310.141357</v>
      </c>
      <c r="P362" s="8">
        <f>VLOOKUP($B362,floorspace!$B$4:$O$12,'shell factors calc'!P$2+1,FALSE)</f>
        <v>2408.3359380000002</v>
      </c>
      <c r="Q362" s="8">
        <f>VLOOKUP($B362,floorspace!$B$4:$O$12,'shell factors calc'!Q$2+1,FALSE)</f>
        <v>276.88534499999997</v>
      </c>
      <c r="R362" s="8">
        <f>VLOOKUP($B362,floorspace!$B$4:$O$12,'shell factors calc'!R$2+1,FALSE)</f>
        <v>212.81033300000001</v>
      </c>
      <c r="S362" s="8">
        <f>VLOOKUP($B362,floorspace!$B$4:$O$12,'shell factors calc'!S$2+1,FALSE)</f>
        <v>561.85345500000005</v>
      </c>
      <c r="T362" s="8">
        <f>VLOOKUP($B362,floorspace!$B$4:$O$12,'shell factors calc'!T$2+1,FALSE)</f>
        <v>1051.820923</v>
      </c>
      <c r="U362" s="8">
        <f>VLOOKUP($B362,floorspace!$B$4:$O$12,'shell factors calc'!U$2+1,FALSE)</f>
        <v>1563.5035399999999</v>
      </c>
      <c r="V362" s="8">
        <f>VLOOKUP($B362,floorspace!$B$4:$O$12,'shell factors calc'!V$2+1,FALSE)</f>
        <v>1452.933716</v>
      </c>
      <c r="W362" s="8">
        <f>VLOOKUP($B362,floorspace!$B$4:$O$12,'shell factors calc'!W$2+1,FALSE)</f>
        <v>3021.5776369999999</v>
      </c>
      <c r="X362" s="8">
        <f>VLOOKUP($B362,floorspace!$B$4:$O$12,'shell factors calc'!X$2+1,FALSE)</f>
        <v>3411.5915530000002</v>
      </c>
      <c r="Y362" s="8">
        <f>VLOOKUP($B362,floorspace!$B$4:$O$12,'shell factors calc'!Y$2+1,FALSE)</f>
        <v>941.76892099999998</v>
      </c>
      <c r="Z362">
        <f t="shared" si="5"/>
        <v>0.58538460794245117</v>
      </c>
    </row>
    <row r="363" spans="1:26" x14ac:dyDescent="0.2">
      <c r="A363" s="5" t="s">
        <v>46</v>
      </c>
      <c r="B363" s="5" t="s">
        <v>38</v>
      </c>
      <c r="C363" s="6" t="s">
        <v>13</v>
      </c>
      <c r="D363" s="7">
        <v>0.55166700000000002</v>
      </c>
      <c r="E363">
        <v>0.54533699999999996</v>
      </c>
      <c r="F363">
        <v>0.79185899999999998</v>
      </c>
      <c r="G363">
        <v>0.75680599999999998</v>
      </c>
      <c r="H363">
        <v>0.68088599999999999</v>
      </c>
      <c r="I363">
        <v>0.62840600000000002</v>
      </c>
      <c r="J363">
        <v>0.58544499999999999</v>
      </c>
      <c r="K363">
        <v>0.59716599999999997</v>
      </c>
      <c r="L363">
        <v>0.542354</v>
      </c>
      <c r="M363">
        <v>0.57002299999999995</v>
      </c>
      <c r="N363">
        <v>0.58666700000000005</v>
      </c>
      <c r="O363" s="8">
        <f>VLOOKUP($B363,floorspace!$B$4:$O$12,'shell factors calc'!O$2+1,FALSE)</f>
        <v>2310.141357</v>
      </c>
      <c r="P363" s="8">
        <f>VLOOKUP($B363,floorspace!$B$4:$O$12,'shell factors calc'!P$2+1,FALSE)</f>
        <v>2408.3359380000002</v>
      </c>
      <c r="Q363" s="8">
        <f>VLOOKUP($B363,floorspace!$B$4:$O$12,'shell factors calc'!Q$2+1,FALSE)</f>
        <v>276.88534499999997</v>
      </c>
      <c r="R363" s="8">
        <f>VLOOKUP($B363,floorspace!$B$4:$O$12,'shell factors calc'!R$2+1,FALSE)</f>
        <v>212.81033300000001</v>
      </c>
      <c r="S363" s="8">
        <f>VLOOKUP($B363,floorspace!$B$4:$O$12,'shell factors calc'!S$2+1,FALSE)</f>
        <v>561.85345500000005</v>
      </c>
      <c r="T363" s="8">
        <f>VLOOKUP($B363,floorspace!$B$4:$O$12,'shell factors calc'!T$2+1,FALSE)</f>
        <v>1051.820923</v>
      </c>
      <c r="U363" s="8">
        <f>VLOOKUP($B363,floorspace!$B$4:$O$12,'shell factors calc'!U$2+1,FALSE)</f>
        <v>1563.5035399999999</v>
      </c>
      <c r="V363" s="8">
        <f>VLOOKUP($B363,floorspace!$B$4:$O$12,'shell factors calc'!V$2+1,FALSE)</f>
        <v>1452.933716</v>
      </c>
      <c r="W363" s="8">
        <f>VLOOKUP($B363,floorspace!$B$4:$O$12,'shell factors calc'!W$2+1,FALSE)</f>
        <v>3021.5776369999999</v>
      </c>
      <c r="X363" s="8">
        <f>VLOOKUP($B363,floorspace!$B$4:$O$12,'shell factors calc'!X$2+1,FALSE)</f>
        <v>3411.5915530000002</v>
      </c>
      <c r="Y363" s="8">
        <f>VLOOKUP($B363,floorspace!$B$4:$O$12,'shell factors calc'!Y$2+1,FALSE)</f>
        <v>941.76892099999998</v>
      </c>
      <c r="Z363">
        <f t="shared" si="5"/>
        <v>0.57691495035180462</v>
      </c>
    </row>
    <row r="364" spans="1:26" x14ac:dyDescent="0.2">
      <c r="A364" s="5" t="s">
        <v>46</v>
      </c>
      <c r="B364" s="5" t="s">
        <v>38</v>
      </c>
      <c r="C364" s="6" t="s">
        <v>14</v>
      </c>
      <c r="D364" s="7">
        <v>0.54357299999999997</v>
      </c>
      <c r="E364">
        <v>0.53709099999999999</v>
      </c>
      <c r="F364">
        <v>0.78316799999999998</v>
      </c>
      <c r="G364">
        <v>0.75250600000000001</v>
      </c>
      <c r="H364">
        <v>0.67405899999999996</v>
      </c>
      <c r="I364">
        <v>0.62026599999999998</v>
      </c>
      <c r="J364">
        <v>0.57707399999999998</v>
      </c>
      <c r="K364">
        <v>0.59008400000000005</v>
      </c>
      <c r="L364">
        <v>0.53374999999999995</v>
      </c>
      <c r="M364">
        <v>0.56057299999999999</v>
      </c>
      <c r="N364">
        <v>0.57844300000000004</v>
      </c>
      <c r="O364" s="8">
        <f>VLOOKUP($B364,floorspace!$B$4:$O$12,'shell factors calc'!O$2+1,FALSE)</f>
        <v>2310.141357</v>
      </c>
      <c r="P364" s="8">
        <f>VLOOKUP($B364,floorspace!$B$4:$O$12,'shell factors calc'!P$2+1,FALSE)</f>
        <v>2408.3359380000002</v>
      </c>
      <c r="Q364" s="8">
        <f>VLOOKUP($B364,floorspace!$B$4:$O$12,'shell factors calc'!Q$2+1,FALSE)</f>
        <v>276.88534499999997</v>
      </c>
      <c r="R364" s="8">
        <f>VLOOKUP($B364,floorspace!$B$4:$O$12,'shell factors calc'!R$2+1,FALSE)</f>
        <v>212.81033300000001</v>
      </c>
      <c r="S364" s="8">
        <f>VLOOKUP($B364,floorspace!$B$4:$O$12,'shell factors calc'!S$2+1,FALSE)</f>
        <v>561.85345500000005</v>
      </c>
      <c r="T364" s="8">
        <f>VLOOKUP($B364,floorspace!$B$4:$O$12,'shell factors calc'!T$2+1,FALSE)</f>
        <v>1051.820923</v>
      </c>
      <c r="U364" s="8">
        <f>VLOOKUP($B364,floorspace!$B$4:$O$12,'shell factors calc'!U$2+1,FALSE)</f>
        <v>1563.5035399999999</v>
      </c>
      <c r="V364" s="8">
        <f>VLOOKUP($B364,floorspace!$B$4:$O$12,'shell factors calc'!V$2+1,FALSE)</f>
        <v>1452.933716</v>
      </c>
      <c r="W364" s="8">
        <f>VLOOKUP($B364,floorspace!$B$4:$O$12,'shell factors calc'!W$2+1,FALSE)</f>
        <v>3021.5776369999999</v>
      </c>
      <c r="X364" s="8">
        <f>VLOOKUP($B364,floorspace!$B$4:$O$12,'shell factors calc'!X$2+1,FALSE)</f>
        <v>3411.5915530000002</v>
      </c>
      <c r="Y364" s="8">
        <f>VLOOKUP($B364,floorspace!$B$4:$O$12,'shell factors calc'!Y$2+1,FALSE)</f>
        <v>941.76892099999998</v>
      </c>
      <c r="Z364">
        <f t="shared" si="5"/>
        <v>0.56857040140020942</v>
      </c>
    </row>
    <row r="365" spans="1:26" x14ac:dyDescent="0.2">
      <c r="A365" s="5" t="s">
        <v>46</v>
      </c>
      <c r="B365" s="5" t="s">
        <v>38</v>
      </c>
      <c r="C365" s="6" t="s">
        <v>15</v>
      </c>
      <c r="D365" s="7">
        <v>0.53559800000000002</v>
      </c>
      <c r="E365">
        <v>0.52896900000000002</v>
      </c>
      <c r="F365">
        <v>0.77457200000000004</v>
      </c>
      <c r="G365">
        <v>0.74823099999999998</v>
      </c>
      <c r="H365">
        <v>0.66730100000000003</v>
      </c>
      <c r="I365">
        <v>0.61223099999999997</v>
      </c>
      <c r="J365">
        <v>0.56882299999999997</v>
      </c>
      <c r="K365">
        <v>0.58308499999999996</v>
      </c>
      <c r="L365">
        <v>0.52528300000000006</v>
      </c>
      <c r="M365">
        <v>0.55127899999999996</v>
      </c>
      <c r="N365">
        <v>0.57033500000000004</v>
      </c>
      <c r="O365" s="8">
        <f>VLOOKUP($B365,floorspace!$B$4:$O$12,'shell factors calc'!O$2+1,FALSE)</f>
        <v>2310.141357</v>
      </c>
      <c r="P365" s="8">
        <f>VLOOKUP($B365,floorspace!$B$4:$O$12,'shell factors calc'!P$2+1,FALSE)</f>
        <v>2408.3359380000002</v>
      </c>
      <c r="Q365" s="8">
        <f>VLOOKUP($B365,floorspace!$B$4:$O$12,'shell factors calc'!Q$2+1,FALSE)</f>
        <v>276.88534499999997</v>
      </c>
      <c r="R365" s="8">
        <f>VLOOKUP($B365,floorspace!$B$4:$O$12,'shell factors calc'!R$2+1,FALSE)</f>
        <v>212.81033300000001</v>
      </c>
      <c r="S365" s="8">
        <f>VLOOKUP($B365,floorspace!$B$4:$O$12,'shell factors calc'!S$2+1,FALSE)</f>
        <v>561.85345500000005</v>
      </c>
      <c r="T365" s="8">
        <f>VLOOKUP($B365,floorspace!$B$4:$O$12,'shell factors calc'!T$2+1,FALSE)</f>
        <v>1051.820923</v>
      </c>
      <c r="U365" s="8">
        <f>VLOOKUP($B365,floorspace!$B$4:$O$12,'shell factors calc'!U$2+1,FALSE)</f>
        <v>1563.5035399999999</v>
      </c>
      <c r="V365" s="8">
        <f>VLOOKUP($B365,floorspace!$B$4:$O$12,'shell factors calc'!V$2+1,FALSE)</f>
        <v>1452.933716</v>
      </c>
      <c r="W365" s="8">
        <f>VLOOKUP($B365,floorspace!$B$4:$O$12,'shell factors calc'!W$2+1,FALSE)</f>
        <v>3021.5776369999999</v>
      </c>
      <c r="X365" s="8">
        <f>VLOOKUP($B365,floorspace!$B$4:$O$12,'shell factors calc'!X$2+1,FALSE)</f>
        <v>3411.5915530000002</v>
      </c>
      <c r="Y365" s="8">
        <f>VLOOKUP($B365,floorspace!$B$4:$O$12,'shell factors calc'!Y$2+1,FALSE)</f>
        <v>941.76892099999998</v>
      </c>
      <c r="Z365">
        <f t="shared" si="5"/>
        <v>0.56034889724391546</v>
      </c>
    </row>
    <row r="366" spans="1:26" x14ac:dyDescent="0.2">
      <c r="A366" s="5" t="s">
        <v>46</v>
      </c>
      <c r="B366" s="5" t="s">
        <v>38</v>
      </c>
      <c r="C366" s="6" t="s">
        <v>16</v>
      </c>
      <c r="D366" s="7">
        <v>0.52773999999999999</v>
      </c>
      <c r="E366">
        <v>0.52097000000000004</v>
      </c>
      <c r="F366">
        <v>0.76607000000000003</v>
      </c>
      <c r="G366">
        <v>0.74397999999999997</v>
      </c>
      <c r="H366">
        <v>0.66061000000000003</v>
      </c>
      <c r="I366">
        <v>0.60429999999999995</v>
      </c>
      <c r="J366">
        <v>0.56069000000000002</v>
      </c>
      <c r="K366">
        <v>0.57616999999999996</v>
      </c>
      <c r="L366">
        <v>0.51695000000000002</v>
      </c>
      <c r="M366">
        <v>0.54213999999999996</v>
      </c>
      <c r="N366">
        <v>0.56233999999999995</v>
      </c>
      <c r="O366" s="8">
        <f>VLOOKUP($B366,floorspace!$B$4:$O$12,'shell factors calc'!O$2+1,FALSE)</f>
        <v>2310.141357</v>
      </c>
      <c r="P366" s="8">
        <f>VLOOKUP($B366,floorspace!$B$4:$O$12,'shell factors calc'!P$2+1,FALSE)</f>
        <v>2408.3359380000002</v>
      </c>
      <c r="Q366" s="8">
        <f>VLOOKUP($B366,floorspace!$B$4:$O$12,'shell factors calc'!Q$2+1,FALSE)</f>
        <v>276.88534499999997</v>
      </c>
      <c r="R366" s="8">
        <f>VLOOKUP($B366,floorspace!$B$4:$O$12,'shell factors calc'!R$2+1,FALSE)</f>
        <v>212.81033300000001</v>
      </c>
      <c r="S366" s="8">
        <f>VLOOKUP($B366,floorspace!$B$4:$O$12,'shell factors calc'!S$2+1,FALSE)</f>
        <v>561.85345500000005</v>
      </c>
      <c r="T366" s="8">
        <f>VLOOKUP($B366,floorspace!$B$4:$O$12,'shell factors calc'!T$2+1,FALSE)</f>
        <v>1051.820923</v>
      </c>
      <c r="U366" s="8">
        <f>VLOOKUP($B366,floorspace!$B$4:$O$12,'shell factors calc'!U$2+1,FALSE)</f>
        <v>1563.5035399999999</v>
      </c>
      <c r="V366" s="8">
        <f>VLOOKUP($B366,floorspace!$B$4:$O$12,'shell factors calc'!V$2+1,FALSE)</f>
        <v>1452.933716</v>
      </c>
      <c r="W366" s="8">
        <f>VLOOKUP($B366,floorspace!$B$4:$O$12,'shell factors calc'!W$2+1,FALSE)</f>
        <v>3021.5776369999999</v>
      </c>
      <c r="X366" s="8">
        <f>VLOOKUP($B366,floorspace!$B$4:$O$12,'shell factors calc'!X$2+1,FALSE)</f>
        <v>3411.5915530000002</v>
      </c>
      <c r="Y366" s="8">
        <f>VLOOKUP($B366,floorspace!$B$4:$O$12,'shell factors calc'!Y$2+1,FALSE)</f>
        <v>941.76892099999998</v>
      </c>
      <c r="Z366">
        <f t="shared" si="5"/>
        <v>0.55224888851897147</v>
      </c>
    </row>
    <row r="367" spans="1:26" x14ac:dyDescent="0.2">
      <c r="A367" s="5" t="s">
        <v>46</v>
      </c>
      <c r="B367" s="5" t="s">
        <v>38</v>
      </c>
      <c r="C367" s="6" t="s">
        <v>17</v>
      </c>
      <c r="D367" s="7">
        <v>0.51871100000000003</v>
      </c>
      <c r="E367">
        <v>0.51173400000000002</v>
      </c>
      <c r="F367">
        <v>0.76094499999999998</v>
      </c>
      <c r="G367">
        <v>0.73952200000000001</v>
      </c>
      <c r="H367">
        <v>0.65328600000000003</v>
      </c>
      <c r="I367">
        <v>0.59535199999999999</v>
      </c>
      <c r="J367">
        <v>0.55138299999999996</v>
      </c>
      <c r="K367">
        <v>0.56845699999999999</v>
      </c>
      <c r="L367">
        <v>0.50724999999999998</v>
      </c>
      <c r="M367">
        <v>0.53141899999999997</v>
      </c>
      <c r="N367">
        <v>0.55321900000000002</v>
      </c>
      <c r="O367" s="8">
        <f>VLOOKUP($B367,floorspace!$B$4:$O$12,'shell factors calc'!O$2+1,FALSE)</f>
        <v>2310.141357</v>
      </c>
      <c r="P367" s="8">
        <f>VLOOKUP($B367,floorspace!$B$4:$O$12,'shell factors calc'!P$2+1,FALSE)</f>
        <v>2408.3359380000002</v>
      </c>
      <c r="Q367" s="8">
        <f>VLOOKUP($B367,floorspace!$B$4:$O$12,'shell factors calc'!Q$2+1,FALSE)</f>
        <v>276.88534499999997</v>
      </c>
      <c r="R367" s="8">
        <f>VLOOKUP($B367,floorspace!$B$4:$O$12,'shell factors calc'!R$2+1,FALSE)</f>
        <v>212.81033300000001</v>
      </c>
      <c r="S367" s="8">
        <f>VLOOKUP($B367,floorspace!$B$4:$O$12,'shell factors calc'!S$2+1,FALSE)</f>
        <v>561.85345500000005</v>
      </c>
      <c r="T367" s="8">
        <f>VLOOKUP($B367,floorspace!$B$4:$O$12,'shell factors calc'!T$2+1,FALSE)</f>
        <v>1051.820923</v>
      </c>
      <c r="U367" s="8">
        <f>VLOOKUP($B367,floorspace!$B$4:$O$12,'shell factors calc'!U$2+1,FALSE)</f>
        <v>1563.5035399999999</v>
      </c>
      <c r="V367" s="8">
        <f>VLOOKUP($B367,floorspace!$B$4:$O$12,'shell factors calc'!V$2+1,FALSE)</f>
        <v>1452.933716</v>
      </c>
      <c r="W367" s="8">
        <f>VLOOKUP($B367,floorspace!$B$4:$O$12,'shell factors calc'!W$2+1,FALSE)</f>
        <v>3021.5776369999999</v>
      </c>
      <c r="X367" s="8">
        <f>VLOOKUP($B367,floorspace!$B$4:$O$12,'shell factors calc'!X$2+1,FALSE)</f>
        <v>3411.5915530000002</v>
      </c>
      <c r="Y367" s="8">
        <f>VLOOKUP($B367,floorspace!$B$4:$O$12,'shell factors calc'!Y$2+1,FALSE)</f>
        <v>941.76892099999998</v>
      </c>
      <c r="Z367">
        <f t="shared" si="5"/>
        <v>0.54299850179762732</v>
      </c>
    </row>
    <row r="368" spans="1:26" x14ac:dyDescent="0.2">
      <c r="A368" s="5" t="s">
        <v>46</v>
      </c>
      <c r="B368" s="5" t="s">
        <v>38</v>
      </c>
      <c r="C368" s="6" t="s">
        <v>18</v>
      </c>
      <c r="D368" s="7">
        <v>0.50983599999999996</v>
      </c>
      <c r="E368">
        <v>0.50266200000000005</v>
      </c>
      <c r="F368">
        <v>0.75585500000000005</v>
      </c>
      <c r="G368">
        <v>0.73509000000000002</v>
      </c>
      <c r="H368">
        <v>0.64604399999999995</v>
      </c>
      <c r="I368">
        <v>0.58653599999999995</v>
      </c>
      <c r="J368">
        <v>0.54222999999999999</v>
      </c>
      <c r="K368">
        <v>0.56084599999999996</v>
      </c>
      <c r="L368">
        <v>0.49773099999999998</v>
      </c>
      <c r="M368">
        <v>0.52090899999999996</v>
      </c>
      <c r="N368">
        <v>0.54424700000000004</v>
      </c>
      <c r="O368" s="8">
        <f>VLOOKUP($B368,floorspace!$B$4:$O$12,'shell factors calc'!O$2+1,FALSE)</f>
        <v>2310.141357</v>
      </c>
      <c r="P368" s="8">
        <f>VLOOKUP($B368,floorspace!$B$4:$O$12,'shell factors calc'!P$2+1,FALSE)</f>
        <v>2408.3359380000002</v>
      </c>
      <c r="Q368" s="8">
        <f>VLOOKUP($B368,floorspace!$B$4:$O$12,'shell factors calc'!Q$2+1,FALSE)</f>
        <v>276.88534499999997</v>
      </c>
      <c r="R368" s="8">
        <f>VLOOKUP($B368,floorspace!$B$4:$O$12,'shell factors calc'!R$2+1,FALSE)</f>
        <v>212.81033300000001</v>
      </c>
      <c r="S368" s="8">
        <f>VLOOKUP($B368,floorspace!$B$4:$O$12,'shell factors calc'!S$2+1,FALSE)</f>
        <v>561.85345500000005</v>
      </c>
      <c r="T368" s="8">
        <f>VLOOKUP($B368,floorspace!$B$4:$O$12,'shell factors calc'!T$2+1,FALSE)</f>
        <v>1051.820923</v>
      </c>
      <c r="U368" s="8">
        <f>VLOOKUP($B368,floorspace!$B$4:$O$12,'shell factors calc'!U$2+1,FALSE)</f>
        <v>1563.5035399999999</v>
      </c>
      <c r="V368" s="8">
        <f>VLOOKUP($B368,floorspace!$B$4:$O$12,'shell factors calc'!V$2+1,FALSE)</f>
        <v>1452.933716</v>
      </c>
      <c r="W368" s="8">
        <f>VLOOKUP($B368,floorspace!$B$4:$O$12,'shell factors calc'!W$2+1,FALSE)</f>
        <v>3021.5776369999999</v>
      </c>
      <c r="X368" s="8">
        <f>VLOOKUP($B368,floorspace!$B$4:$O$12,'shell factors calc'!X$2+1,FALSE)</f>
        <v>3411.5915530000002</v>
      </c>
      <c r="Y368" s="8">
        <f>VLOOKUP($B368,floorspace!$B$4:$O$12,'shell factors calc'!Y$2+1,FALSE)</f>
        <v>941.76892099999998</v>
      </c>
      <c r="Z368">
        <f t="shared" si="5"/>
        <v>0.53390769698793872</v>
      </c>
    </row>
    <row r="369" spans="1:26" x14ac:dyDescent="0.2">
      <c r="A369" s="5" t="s">
        <v>46</v>
      </c>
      <c r="B369" s="5" t="s">
        <v>38</v>
      </c>
      <c r="C369" s="6" t="s">
        <v>19</v>
      </c>
      <c r="D369" s="7">
        <v>0.50111300000000003</v>
      </c>
      <c r="E369">
        <v>0.49375000000000002</v>
      </c>
      <c r="F369">
        <v>0.75079899999999999</v>
      </c>
      <c r="G369">
        <v>0.73068500000000003</v>
      </c>
      <c r="H369">
        <v>0.63888100000000003</v>
      </c>
      <c r="I369">
        <v>0.577851</v>
      </c>
      <c r="J369">
        <v>0.53322899999999995</v>
      </c>
      <c r="K369">
        <v>0.553338</v>
      </c>
      <c r="L369">
        <v>0.48839100000000002</v>
      </c>
      <c r="M369">
        <v>0.51060700000000003</v>
      </c>
      <c r="N369">
        <v>0.53541899999999998</v>
      </c>
      <c r="O369" s="8">
        <f>VLOOKUP($B369,floorspace!$B$4:$O$12,'shell factors calc'!O$2+1,FALSE)</f>
        <v>2310.141357</v>
      </c>
      <c r="P369" s="8">
        <f>VLOOKUP($B369,floorspace!$B$4:$O$12,'shell factors calc'!P$2+1,FALSE)</f>
        <v>2408.3359380000002</v>
      </c>
      <c r="Q369" s="8">
        <f>VLOOKUP($B369,floorspace!$B$4:$O$12,'shell factors calc'!Q$2+1,FALSE)</f>
        <v>276.88534499999997</v>
      </c>
      <c r="R369" s="8">
        <f>VLOOKUP($B369,floorspace!$B$4:$O$12,'shell factors calc'!R$2+1,FALSE)</f>
        <v>212.81033300000001</v>
      </c>
      <c r="S369" s="8">
        <f>VLOOKUP($B369,floorspace!$B$4:$O$12,'shell factors calc'!S$2+1,FALSE)</f>
        <v>561.85345500000005</v>
      </c>
      <c r="T369" s="8">
        <f>VLOOKUP($B369,floorspace!$B$4:$O$12,'shell factors calc'!T$2+1,FALSE)</f>
        <v>1051.820923</v>
      </c>
      <c r="U369" s="8">
        <f>VLOOKUP($B369,floorspace!$B$4:$O$12,'shell factors calc'!U$2+1,FALSE)</f>
        <v>1563.5035399999999</v>
      </c>
      <c r="V369" s="8">
        <f>VLOOKUP($B369,floorspace!$B$4:$O$12,'shell factors calc'!V$2+1,FALSE)</f>
        <v>1452.933716</v>
      </c>
      <c r="W369" s="8">
        <f>VLOOKUP($B369,floorspace!$B$4:$O$12,'shell factors calc'!W$2+1,FALSE)</f>
        <v>3021.5776369999999</v>
      </c>
      <c r="X369" s="8">
        <f>VLOOKUP($B369,floorspace!$B$4:$O$12,'shell factors calc'!X$2+1,FALSE)</f>
        <v>3411.5915530000002</v>
      </c>
      <c r="Y369" s="8">
        <f>VLOOKUP($B369,floorspace!$B$4:$O$12,'shell factors calc'!Y$2+1,FALSE)</f>
        <v>941.76892099999998</v>
      </c>
      <c r="Z369">
        <f t="shared" si="5"/>
        <v>0.52497416679792919</v>
      </c>
    </row>
    <row r="370" spans="1:26" x14ac:dyDescent="0.2">
      <c r="A370" s="5" t="s">
        <v>46</v>
      </c>
      <c r="B370" s="5" t="s">
        <v>38</v>
      </c>
      <c r="C370" s="6" t="s">
        <v>20</v>
      </c>
      <c r="D370" s="7">
        <v>0.492539</v>
      </c>
      <c r="E370">
        <v>0.48499700000000001</v>
      </c>
      <c r="F370">
        <v>0.74577700000000002</v>
      </c>
      <c r="G370">
        <v>0.72630600000000001</v>
      </c>
      <c r="H370">
        <v>0.63179799999999997</v>
      </c>
      <c r="I370">
        <v>0.56929399999999997</v>
      </c>
      <c r="J370">
        <v>0.52437699999999998</v>
      </c>
      <c r="K370">
        <v>0.54593000000000003</v>
      </c>
      <c r="L370">
        <v>0.47922700000000001</v>
      </c>
      <c r="M370">
        <v>0.50050899999999998</v>
      </c>
      <c r="N370">
        <v>0.52673499999999995</v>
      </c>
      <c r="O370" s="8">
        <f>VLOOKUP($B370,floorspace!$B$4:$O$12,'shell factors calc'!O$2+1,FALSE)</f>
        <v>2310.141357</v>
      </c>
      <c r="P370" s="8">
        <f>VLOOKUP($B370,floorspace!$B$4:$O$12,'shell factors calc'!P$2+1,FALSE)</f>
        <v>2408.3359380000002</v>
      </c>
      <c r="Q370" s="8">
        <f>VLOOKUP($B370,floorspace!$B$4:$O$12,'shell factors calc'!Q$2+1,FALSE)</f>
        <v>276.88534499999997</v>
      </c>
      <c r="R370" s="8">
        <f>VLOOKUP($B370,floorspace!$B$4:$O$12,'shell factors calc'!R$2+1,FALSE)</f>
        <v>212.81033300000001</v>
      </c>
      <c r="S370" s="8">
        <f>VLOOKUP($B370,floorspace!$B$4:$O$12,'shell factors calc'!S$2+1,FALSE)</f>
        <v>561.85345500000005</v>
      </c>
      <c r="T370" s="8">
        <f>VLOOKUP($B370,floorspace!$B$4:$O$12,'shell factors calc'!T$2+1,FALSE)</f>
        <v>1051.820923</v>
      </c>
      <c r="U370" s="8">
        <f>VLOOKUP($B370,floorspace!$B$4:$O$12,'shell factors calc'!U$2+1,FALSE)</f>
        <v>1563.5035399999999</v>
      </c>
      <c r="V370" s="8">
        <f>VLOOKUP($B370,floorspace!$B$4:$O$12,'shell factors calc'!V$2+1,FALSE)</f>
        <v>1452.933716</v>
      </c>
      <c r="W370" s="8">
        <f>VLOOKUP($B370,floorspace!$B$4:$O$12,'shell factors calc'!W$2+1,FALSE)</f>
        <v>3021.5776369999999</v>
      </c>
      <c r="X370" s="8">
        <f>VLOOKUP($B370,floorspace!$B$4:$O$12,'shell factors calc'!X$2+1,FALSE)</f>
        <v>3411.5915530000002</v>
      </c>
      <c r="Y370" s="8">
        <f>VLOOKUP($B370,floorspace!$B$4:$O$12,'shell factors calc'!Y$2+1,FALSE)</f>
        <v>941.76892099999998</v>
      </c>
      <c r="Z370">
        <f t="shared" si="5"/>
        <v>0.51619536053786019</v>
      </c>
    </row>
    <row r="371" spans="1:26" x14ac:dyDescent="0.2">
      <c r="A371" s="5" t="s">
        <v>46</v>
      </c>
      <c r="B371" s="5" t="s">
        <v>38</v>
      </c>
      <c r="C371" s="6" t="s">
        <v>21</v>
      </c>
      <c r="D371" s="7">
        <v>0.48411199999999999</v>
      </c>
      <c r="E371">
        <v>0.47639799999999999</v>
      </c>
      <c r="F371">
        <v>0.740788</v>
      </c>
      <c r="G371">
        <v>0.72195399999999998</v>
      </c>
      <c r="H371">
        <v>0.62479399999999996</v>
      </c>
      <c r="I371">
        <v>0.56086400000000003</v>
      </c>
      <c r="J371">
        <v>0.51567300000000005</v>
      </c>
      <c r="K371">
        <v>0.53862200000000005</v>
      </c>
      <c r="L371">
        <v>0.47023399999999999</v>
      </c>
      <c r="M371">
        <v>0.49061100000000002</v>
      </c>
      <c r="N371">
        <v>0.51819199999999999</v>
      </c>
      <c r="O371" s="8">
        <f>VLOOKUP($B371,floorspace!$B$4:$O$12,'shell factors calc'!O$2+1,FALSE)</f>
        <v>2310.141357</v>
      </c>
      <c r="P371" s="8">
        <f>VLOOKUP($B371,floorspace!$B$4:$O$12,'shell factors calc'!P$2+1,FALSE)</f>
        <v>2408.3359380000002</v>
      </c>
      <c r="Q371" s="8">
        <f>VLOOKUP($B371,floorspace!$B$4:$O$12,'shell factors calc'!Q$2+1,FALSE)</f>
        <v>276.88534499999997</v>
      </c>
      <c r="R371" s="8">
        <f>VLOOKUP($B371,floorspace!$B$4:$O$12,'shell factors calc'!R$2+1,FALSE)</f>
        <v>212.81033300000001</v>
      </c>
      <c r="S371" s="8">
        <f>VLOOKUP($B371,floorspace!$B$4:$O$12,'shell factors calc'!S$2+1,FALSE)</f>
        <v>561.85345500000005</v>
      </c>
      <c r="T371" s="8">
        <f>VLOOKUP($B371,floorspace!$B$4:$O$12,'shell factors calc'!T$2+1,FALSE)</f>
        <v>1051.820923</v>
      </c>
      <c r="U371" s="8">
        <f>VLOOKUP($B371,floorspace!$B$4:$O$12,'shell factors calc'!U$2+1,FALSE)</f>
        <v>1563.5035399999999</v>
      </c>
      <c r="V371" s="8">
        <f>VLOOKUP($B371,floorspace!$B$4:$O$12,'shell factors calc'!V$2+1,FALSE)</f>
        <v>1452.933716</v>
      </c>
      <c r="W371" s="8">
        <f>VLOOKUP($B371,floorspace!$B$4:$O$12,'shell factors calc'!W$2+1,FALSE)</f>
        <v>3021.5776369999999</v>
      </c>
      <c r="X371" s="8">
        <f>VLOOKUP($B371,floorspace!$B$4:$O$12,'shell factors calc'!X$2+1,FALSE)</f>
        <v>3411.5915530000002</v>
      </c>
      <c r="Y371" s="8">
        <f>VLOOKUP($B371,floorspace!$B$4:$O$12,'shell factors calc'!Y$2+1,FALSE)</f>
        <v>941.76892099999998</v>
      </c>
      <c r="Z371">
        <f t="shared" si="5"/>
        <v>0.50756828732233317</v>
      </c>
    </row>
    <row r="372" spans="1:26" x14ac:dyDescent="0.2">
      <c r="A372" s="5" t="s">
        <v>46</v>
      </c>
      <c r="B372" s="5" t="s">
        <v>38</v>
      </c>
      <c r="C372" s="6" t="s">
        <v>22</v>
      </c>
      <c r="D372" s="7">
        <v>0.475829</v>
      </c>
      <c r="E372">
        <v>0.46795300000000001</v>
      </c>
      <c r="F372">
        <v>0.73583200000000004</v>
      </c>
      <c r="G372">
        <v>0.71762800000000004</v>
      </c>
      <c r="H372">
        <v>0.61786700000000006</v>
      </c>
      <c r="I372">
        <v>0.55255900000000002</v>
      </c>
      <c r="J372">
        <v>0.50711300000000004</v>
      </c>
      <c r="K372">
        <v>0.53141099999999997</v>
      </c>
      <c r="L372">
        <v>0.46140999999999999</v>
      </c>
      <c r="M372">
        <v>0.48090899999999998</v>
      </c>
      <c r="N372">
        <v>0.50978699999999999</v>
      </c>
      <c r="O372" s="8">
        <f>VLOOKUP($B372,floorspace!$B$4:$O$12,'shell factors calc'!O$2+1,FALSE)</f>
        <v>2310.141357</v>
      </c>
      <c r="P372" s="8">
        <f>VLOOKUP($B372,floorspace!$B$4:$O$12,'shell factors calc'!P$2+1,FALSE)</f>
        <v>2408.3359380000002</v>
      </c>
      <c r="Q372" s="8">
        <f>VLOOKUP($B372,floorspace!$B$4:$O$12,'shell factors calc'!Q$2+1,FALSE)</f>
        <v>276.88534499999997</v>
      </c>
      <c r="R372" s="8">
        <f>VLOOKUP($B372,floorspace!$B$4:$O$12,'shell factors calc'!R$2+1,FALSE)</f>
        <v>212.81033300000001</v>
      </c>
      <c r="S372" s="8">
        <f>VLOOKUP($B372,floorspace!$B$4:$O$12,'shell factors calc'!S$2+1,FALSE)</f>
        <v>561.85345500000005</v>
      </c>
      <c r="T372" s="8">
        <f>VLOOKUP($B372,floorspace!$B$4:$O$12,'shell factors calc'!T$2+1,FALSE)</f>
        <v>1051.820923</v>
      </c>
      <c r="U372" s="8">
        <f>VLOOKUP($B372,floorspace!$B$4:$O$12,'shell factors calc'!U$2+1,FALSE)</f>
        <v>1563.5035399999999</v>
      </c>
      <c r="V372" s="8">
        <f>VLOOKUP($B372,floorspace!$B$4:$O$12,'shell factors calc'!V$2+1,FALSE)</f>
        <v>1452.933716</v>
      </c>
      <c r="W372" s="8">
        <f>VLOOKUP($B372,floorspace!$B$4:$O$12,'shell factors calc'!W$2+1,FALSE)</f>
        <v>3021.5776369999999</v>
      </c>
      <c r="X372" s="8">
        <f>VLOOKUP($B372,floorspace!$B$4:$O$12,'shell factors calc'!X$2+1,FALSE)</f>
        <v>3411.5915530000002</v>
      </c>
      <c r="Y372" s="8">
        <f>VLOOKUP($B372,floorspace!$B$4:$O$12,'shell factors calc'!Y$2+1,FALSE)</f>
        <v>941.76892099999998</v>
      </c>
      <c r="Z372">
        <f t="shared" si="5"/>
        <v>0.49909042012736027</v>
      </c>
    </row>
    <row r="373" spans="1:26" x14ac:dyDescent="0.2">
      <c r="A373" s="5" t="s">
        <v>46</v>
      </c>
      <c r="B373" s="5" t="s">
        <v>38</v>
      </c>
      <c r="C373" s="6" t="s">
        <v>23</v>
      </c>
      <c r="D373" s="7">
        <v>0.46768700000000002</v>
      </c>
      <c r="E373">
        <v>0.45965600000000001</v>
      </c>
      <c r="F373">
        <v>0.73090999999999995</v>
      </c>
      <c r="G373">
        <v>0.71332700000000004</v>
      </c>
      <c r="H373">
        <v>0.61101700000000003</v>
      </c>
      <c r="I373">
        <v>0.544377</v>
      </c>
      <c r="J373">
        <v>0.498695</v>
      </c>
      <c r="K373">
        <v>0.52429700000000001</v>
      </c>
      <c r="L373">
        <v>0.45275199999999999</v>
      </c>
      <c r="M373">
        <v>0.47139799999999998</v>
      </c>
      <c r="N373">
        <v>0.50151900000000005</v>
      </c>
      <c r="O373" s="8">
        <f>VLOOKUP($B373,floorspace!$B$4:$O$12,'shell factors calc'!O$2+1,FALSE)</f>
        <v>2310.141357</v>
      </c>
      <c r="P373" s="8">
        <f>VLOOKUP($B373,floorspace!$B$4:$O$12,'shell factors calc'!P$2+1,FALSE)</f>
        <v>2408.3359380000002</v>
      </c>
      <c r="Q373" s="8">
        <f>VLOOKUP($B373,floorspace!$B$4:$O$12,'shell factors calc'!Q$2+1,FALSE)</f>
        <v>276.88534499999997</v>
      </c>
      <c r="R373" s="8">
        <f>VLOOKUP($B373,floorspace!$B$4:$O$12,'shell factors calc'!R$2+1,FALSE)</f>
        <v>212.81033300000001</v>
      </c>
      <c r="S373" s="8">
        <f>VLOOKUP($B373,floorspace!$B$4:$O$12,'shell factors calc'!S$2+1,FALSE)</f>
        <v>561.85345500000005</v>
      </c>
      <c r="T373" s="8">
        <f>VLOOKUP($B373,floorspace!$B$4:$O$12,'shell factors calc'!T$2+1,FALSE)</f>
        <v>1051.820923</v>
      </c>
      <c r="U373" s="8">
        <f>VLOOKUP($B373,floorspace!$B$4:$O$12,'shell factors calc'!U$2+1,FALSE)</f>
        <v>1563.5035399999999</v>
      </c>
      <c r="V373" s="8">
        <f>VLOOKUP($B373,floorspace!$B$4:$O$12,'shell factors calc'!V$2+1,FALSE)</f>
        <v>1452.933716</v>
      </c>
      <c r="W373" s="8">
        <f>VLOOKUP($B373,floorspace!$B$4:$O$12,'shell factors calc'!W$2+1,FALSE)</f>
        <v>3021.5776369999999</v>
      </c>
      <c r="X373" s="8">
        <f>VLOOKUP($B373,floorspace!$B$4:$O$12,'shell factors calc'!X$2+1,FALSE)</f>
        <v>3411.5915530000002</v>
      </c>
      <c r="Y373" s="8">
        <f>VLOOKUP($B373,floorspace!$B$4:$O$12,'shell factors calc'!Y$2+1,FALSE)</f>
        <v>941.76892099999998</v>
      </c>
      <c r="Z373">
        <f t="shared" si="5"/>
        <v>0.49075864440117584</v>
      </c>
    </row>
    <row r="374" spans="1:26" x14ac:dyDescent="0.2">
      <c r="A374" s="5" t="s">
        <v>46</v>
      </c>
      <c r="B374" s="5" t="s">
        <v>38</v>
      </c>
      <c r="C374" s="6" t="s">
        <v>24</v>
      </c>
      <c r="D374" s="7">
        <v>0.45968599999999998</v>
      </c>
      <c r="E374">
        <v>0.45150699999999999</v>
      </c>
      <c r="F374">
        <v>0.72602100000000003</v>
      </c>
      <c r="G374">
        <v>0.70905300000000004</v>
      </c>
      <c r="H374">
        <v>0.60424299999999997</v>
      </c>
      <c r="I374">
        <v>0.53631600000000001</v>
      </c>
      <c r="J374">
        <v>0.49041600000000002</v>
      </c>
      <c r="K374">
        <v>0.51727699999999999</v>
      </c>
      <c r="L374">
        <v>0.44425599999999998</v>
      </c>
      <c r="M374">
        <v>0.46207599999999999</v>
      </c>
      <c r="N374">
        <v>0.49338500000000002</v>
      </c>
      <c r="O374" s="8">
        <f>VLOOKUP($B374,floorspace!$B$4:$O$12,'shell factors calc'!O$2+1,FALSE)</f>
        <v>2310.141357</v>
      </c>
      <c r="P374" s="8">
        <f>VLOOKUP($B374,floorspace!$B$4:$O$12,'shell factors calc'!P$2+1,FALSE)</f>
        <v>2408.3359380000002</v>
      </c>
      <c r="Q374" s="8">
        <f>VLOOKUP($B374,floorspace!$B$4:$O$12,'shell factors calc'!Q$2+1,FALSE)</f>
        <v>276.88534499999997</v>
      </c>
      <c r="R374" s="8">
        <f>VLOOKUP($B374,floorspace!$B$4:$O$12,'shell factors calc'!R$2+1,FALSE)</f>
        <v>212.81033300000001</v>
      </c>
      <c r="S374" s="8">
        <f>VLOOKUP($B374,floorspace!$B$4:$O$12,'shell factors calc'!S$2+1,FALSE)</f>
        <v>561.85345500000005</v>
      </c>
      <c r="T374" s="8">
        <f>VLOOKUP($B374,floorspace!$B$4:$O$12,'shell factors calc'!T$2+1,FALSE)</f>
        <v>1051.820923</v>
      </c>
      <c r="U374" s="8">
        <f>VLOOKUP($B374,floorspace!$B$4:$O$12,'shell factors calc'!U$2+1,FALSE)</f>
        <v>1563.5035399999999</v>
      </c>
      <c r="V374" s="8">
        <f>VLOOKUP($B374,floorspace!$B$4:$O$12,'shell factors calc'!V$2+1,FALSE)</f>
        <v>1452.933716</v>
      </c>
      <c r="W374" s="8">
        <f>VLOOKUP($B374,floorspace!$B$4:$O$12,'shell factors calc'!W$2+1,FALSE)</f>
        <v>3021.5776369999999</v>
      </c>
      <c r="X374" s="8">
        <f>VLOOKUP($B374,floorspace!$B$4:$O$12,'shell factors calc'!X$2+1,FALSE)</f>
        <v>3411.5915530000002</v>
      </c>
      <c r="Y374" s="8">
        <f>VLOOKUP($B374,floorspace!$B$4:$O$12,'shell factors calc'!Y$2+1,FALSE)</f>
        <v>941.76892099999998</v>
      </c>
      <c r="Z374">
        <f t="shared" si="5"/>
        <v>0.48257102553381664</v>
      </c>
    </row>
    <row r="375" spans="1:26" x14ac:dyDescent="0.2">
      <c r="A375" s="5" t="s">
        <v>46</v>
      </c>
      <c r="B375" s="5" t="s">
        <v>38</v>
      </c>
      <c r="C375" s="6" t="s">
        <v>25</v>
      </c>
      <c r="D375" s="7">
        <v>0.45182099999999997</v>
      </c>
      <c r="E375">
        <v>0.44350299999999998</v>
      </c>
      <c r="F375">
        <v>0.72116400000000003</v>
      </c>
      <c r="G375">
        <v>0.70480399999999999</v>
      </c>
      <c r="H375">
        <v>0.59754499999999999</v>
      </c>
      <c r="I375">
        <v>0.52837400000000001</v>
      </c>
      <c r="J375">
        <v>0.48227599999999998</v>
      </c>
      <c r="K375">
        <v>0.51035200000000003</v>
      </c>
      <c r="L375">
        <v>0.43591999999999997</v>
      </c>
      <c r="M375">
        <v>0.45293800000000001</v>
      </c>
      <c r="N375">
        <v>0.48538199999999998</v>
      </c>
      <c r="O375" s="8">
        <f>VLOOKUP($B375,floorspace!$B$4:$O$12,'shell factors calc'!O$2+1,FALSE)</f>
        <v>2310.141357</v>
      </c>
      <c r="P375" s="8">
        <f>VLOOKUP($B375,floorspace!$B$4:$O$12,'shell factors calc'!P$2+1,FALSE)</f>
        <v>2408.3359380000002</v>
      </c>
      <c r="Q375" s="8">
        <f>VLOOKUP($B375,floorspace!$B$4:$O$12,'shell factors calc'!Q$2+1,FALSE)</f>
        <v>276.88534499999997</v>
      </c>
      <c r="R375" s="8">
        <f>VLOOKUP($B375,floorspace!$B$4:$O$12,'shell factors calc'!R$2+1,FALSE)</f>
        <v>212.81033300000001</v>
      </c>
      <c r="S375" s="8">
        <f>VLOOKUP($B375,floorspace!$B$4:$O$12,'shell factors calc'!S$2+1,FALSE)</f>
        <v>561.85345500000005</v>
      </c>
      <c r="T375" s="8">
        <f>VLOOKUP($B375,floorspace!$B$4:$O$12,'shell factors calc'!T$2+1,FALSE)</f>
        <v>1051.820923</v>
      </c>
      <c r="U375" s="8">
        <f>VLOOKUP($B375,floorspace!$B$4:$O$12,'shell factors calc'!U$2+1,FALSE)</f>
        <v>1563.5035399999999</v>
      </c>
      <c r="V375" s="8">
        <f>VLOOKUP($B375,floorspace!$B$4:$O$12,'shell factors calc'!V$2+1,FALSE)</f>
        <v>1452.933716</v>
      </c>
      <c r="W375" s="8">
        <f>VLOOKUP($B375,floorspace!$B$4:$O$12,'shell factors calc'!W$2+1,FALSE)</f>
        <v>3021.5776369999999</v>
      </c>
      <c r="X375" s="8">
        <f>VLOOKUP($B375,floorspace!$B$4:$O$12,'shell factors calc'!X$2+1,FALSE)</f>
        <v>3411.5915530000002</v>
      </c>
      <c r="Y375" s="8">
        <f>VLOOKUP($B375,floorspace!$B$4:$O$12,'shell factors calc'!Y$2+1,FALSE)</f>
        <v>941.76892099999998</v>
      </c>
      <c r="Z375">
        <f t="shared" si="5"/>
        <v>0.47452488794562564</v>
      </c>
    </row>
    <row r="376" spans="1:26" x14ac:dyDescent="0.2">
      <c r="A376" s="5" t="s">
        <v>46</v>
      </c>
      <c r="B376" s="5" t="s">
        <v>38</v>
      </c>
      <c r="C376" s="6" t="s">
        <v>26</v>
      </c>
      <c r="D376" s="7">
        <v>0.44408999999999998</v>
      </c>
      <c r="E376">
        <v>0.43564000000000003</v>
      </c>
      <c r="F376">
        <v>0.71633999999999998</v>
      </c>
      <c r="G376">
        <v>0.70057999999999998</v>
      </c>
      <c r="H376">
        <v>0.59092</v>
      </c>
      <c r="I376">
        <v>0.52054999999999996</v>
      </c>
      <c r="J376">
        <v>0.47427000000000002</v>
      </c>
      <c r="K376">
        <v>0.50351999999999997</v>
      </c>
      <c r="L376">
        <v>0.42774000000000001</v>
      </c>
      <c r="M376">
        <v>0.44397999999999999</v>
      </c>
      <c r="N376">
        <v>0.47750999999999999</v>
      </c>
      <c r="O376" s="8">
        <f>VLOOKUP($B376,floorspace!$B$4:$O$12,'shell factors calc'!O$2+1,FALSE)</f>
        <v>2310.141357</v>
      </c>
      <c r="P376" s="8">
        <f>VLOOKUP($B376,floorspace!$B$4:$O$12,'shell factors calc'!P$2+1,FALSE)</f>
        <v>2408.3359380000002</v>
      </c>
      <c r="Q376" s="8">
        <f>VLOOKUP($B376,floorspace!$B$4:$O$12,'shell factors calc'!Q$2+1,FALSE)</f>
        <v>276.88534499999997</v>
      </c>
      <c r="R376" s="8">
        <f>VLOOKUP($B376,floorspace!$B$4:$O$12,'shell factors calc'!R$2+1,FALSE)</f>
        <v>212.81033300000001</v>
      </c>
      <c r="S376" s="8">
        <f>VLOOKUP($B376,floorspace!$B$4:$O$12,'shell factors calc'!S$2+1,FALSE)</f>
        <v>561.85345500000005</v>
      </c>
      <c r="T376" s="8">
        <f>VLOOKUP($B376,floorspace!$B$4:$O$12,'shell factors calc'!T$2+1,FALSE)</f>
        <v>1051.820923</v>
      </c>
      <c r="U376" s="8">
        <f>VLOOKUP($B376,floorspace!$B$4:$O$12,'shell factors calc'!U$2+1,FALSE)</f>
        <v>1563.5035399999999</v>
      </c>
      <c r="V376" s="8">
        <f>VLOOKUP($B376,floorspace!$B$4:$O$12,'shell factors calc'!V$2+1,FALSE)</f>
        <v>1452.933716</v>
      </c>
      <c r="W376" s="8">
        <f>VLOOKUP($B376,floorspace!$B$4:$O$12,'shell factors calc'!W$2+1,FALSE)</f>
        <v>3021.5776369999999</v>
      </c>
      <c r="X376" s="8">
        <f>VLOOKUP($B376,floorspace!$B$4:$O$12,'shell factors calc'!X$2+1,FALSE)</f>
        <v>3411.5915530000002</v>
      </c>
      <c r="Y376" s="8">
        <f>VLOOKUP($B376,floorspace!$B$4:$O$12,'shell factors calc'!Y$2+1,FALSE)</f>
        <v>941.76892099999998</v>
      </c>
      <c r="Z376">
        <f t="shared" ref="Z376:Z437" si="6">SUMPRODUCT(D376:N376,O376:Y376)/SUM(O376:Y376)</f>
        <v>0.46661714272146038</v>
      </c>
    </row>
    <row r="377" spans="1:26" x14ac:dyDescent="0.2">
      <c r="A377" s="5" t="s">
        <v>46</v>
      </c>
      <c r="B377" s="5" t="s">
        <v>38</v>
      </c>
      <c r="C377" s="6" t="s">
        <v>27</v>
      </c>
      <c r="D377" s="7">
        <v>0.43496699999999999</v>
      </c>
      <c r="E377">
        <v>0.42629600000000001</v>
      </c>
      <c r="F377">
        <v>0.71154899999999999</v>
      </c>
      <c r="G377">
        <v>0.69613700000000001</v>
      </c>
      <c r="H377">
        <v>0.583588</v>
      </c>
      <c r="I377">
        <v>0.511548</v>
      </c>
      <c r="J377">
        <v>0.46487499999999998</v>
      </c>
      <c r="K377">
        <v>0.49577500000000002</v>
      </c>
      <c r="L377">
        <v>0.41790500000000003</v>
      </c>
      <c r="M377">
        <v>0.43308400000000002</v>
      </c>
      <c r="N377">
        <v>0.46831</v>
      </c>
      <c r="O377" s="8">
        <f>VLOOKUP($B377,floorspace!$B$4:$O$12,'shell factors calc'!O$2+1,FALSE)</f>
        <v>2310.141357</v>
      </c>
      <c r="P377" s="8">
        <f>VLOOKUP($B377,floorspace!$B$4:$O$12,'shell factors calc'!P$2+1,FALSE)</f>
        <v>2408.3359380000002</v>
      </c>
      <c r="Q377" s="8">
        <f>VLOOKUP($B377,floorspace!$B$4:$O$12,'shell factors calc'!Q$2+1,FALSE)</f>
        <v>276.88534499999997</v>
      </c>
      <c r="R377" s="8">
        <f>VLOOKUP($B377,floorspace!$B$4:$O$12,'shell factors calc'!R$2+1,FALSE)</f>
        <v>212.81033300000001</v>
      </c>
      <c r="S377" s="8">
        <f>VLOOKUP($B377,floorspace!$B$4:$O$12,'shell factors calc'!S$2+1,FALSE)</f>
        <v>561.85345500000005</v>
      </c>
      <c r="T377" s="8">
        <f>VLOOKUP($B377,floorspace!$B$4:$O$12,'shell factors calc'!T$2+1,FALSE)</f>
        <v>1051.820923</v>
      </c>
      <c r="U377" s="8">
        <f>VLOOKUP($B377,floorspace!$B$4:$O$12,'shell factors calc'!U$2+1,FALSE)</f>
        <v>1563.5035399999999</v>
      </c>
      <c r="V377" s="8">
        <f>VLOOKUP($B377,floorspace!$B$4:$O$12,'shell factors calc'!V$2+1,FALSE)</f>
        <v>1452.933716</v>
      </c>
      <c r="W377" s="8">
        <f>VLOOKUP($B377,floorspace!$B$4:$O$12,'shell factors calc'!W$2+1,FALSE)</f>
        <v>3021.5776369999999</v>
      </c>
      <c r="X377" s="8">
        <f>VLOOKUP($B377,floorspace!$B$4:$O$12,'shell factors calc'!X$2+1,FALSE)</f>
        <v>3411.5915530000002</v>
      </c>
      <c r="Y377" s="8">
        <f>VLOOKUP($B377,floorspace!$B$4:$O$12,'shell factors calc'!Y$2+1,FALSE)</f>
        <v>941.76892099999998</v>
      </c>
      <c r="Z377">
        <f t="shared" si="6"/>
        <v>0.45726762881562361</v>
      </c>
    </row>
    <row r="378" spans="1:26" x14ac:dyDescent="0.2">
      <c r="A378" s="5" t="s">
        <v>46</v>
      </c>
      <c r="B378" s="5" t="s">
        <v>38</v>
      </c>
      <c r="C378" s="6" t="s">
        <v>28</v>
      </c>
      <c r="D378" s="7">
        <v>0.42603200000000002</v>
      </c>
      <c r="E378">
        <v>0.41715200000000002</v>
      </c>
      <c r="F378">
        <v>0.70679099999999995</v>
      </c>
      <c r="G378">
        <v>0.69172299999999998</v>
      </c>
      <c r="H378">
        <v>0.57634700000000005</v>
      </c>
      <c r="I378">
        <v>0.50270099999999995</v>
      </c>
      <c r="J378">
        <v>0.45566699999999999</v>
      </c>
      <c r="K378">
        <v>0.48814999999999997</v>
      </c>
      <c r="L378">
        <v>0.40829700000000002</v>
      </c>
      <c r="M378">
        <v>0.422456</v>
      </c>
      <c r="N378">
        <v>0.459287</v>
      </c>
      <c r="O378" s="8">
        <f>VLOOKUP($B378,floorspace!$B$4:$O$12,'shell factors calc'!O$2+1,FALSE)</f>
        <v>2310.141357</v>
      </c>
      <c r="P378" s="8">
        <f>VLOOKUP($B378,floorspace!$B$4:$O$12,'shell factors calc'!P$2+1,FALSE)</f>
        <v>2408.3359380000002</v>
      </c>
      <c r="Q378" s="8">
        <f>VLOOKUP($B378,floorspace!$B$4:$O$12,'shell factors calc'!Q$2+1,FALSE)</f>
        <v>276.88534499999997</v>
      </c>
      <c r="R378" s="8">
        <f>VLOOKUP($B378,floorspace!$B$4:$O$12,'shell factors calc'!R$2+1,FALSE)</f>
        <v>212.81033300000001</v>
      </c>
      <c r="S378" s="8">
        <f>VLOOKUP($B378,floorspace!$B$4:$O$12,'shell factors calc'!S$2+1,FALSE)</f>
        <v>561.85345500000005</v>
      </c>
      <c r="T378" s="8">
        <f>VLOOKUP($B378,floorspace!$B$4:$O$12,'shell factors calc'!T$2+1,FALSE)</f>
        <v>1051.820923</v>
      </c>
      <c r="U378" s="8">
        <f>VLOOKUP($B378,floorspace!$B$4:$O$12,'shell factors calc'!U$2+1,FALSE)</f>
        <v>1563.5035399999999</v>
      </c>
      <c r="V378" s="8">
        <f>VLOOKUP($B378,floorspace!$B$4:$O$12,'shell factors calc'!V$2+1,FALSE)</f>
        <v>1452.933716</v>
      </c>
      <c r="W378" s="8">
        <f>VLOOKUP($B378,floorspace!$B$4:$O$12,'shell factors calc'!W$2+1,FALSE)</f>
        <v>3021.5776369999999</v>
      </c>
      <c r="X378" s="8">
        <f>VLOOKUP($B378,floorspace!$B$4:$O$12,'shell factors calc'!X$2+1,FALSE)</f>
        <v>3411.5915530000002</v>
      </c>
      <c r="Y378" s="8">
        <f>VLOOKUP($B378,floorspace!$B$4:$O$12,'shell factors calc'!Y$2+1,FALSE)</f>
        <v>941.76892099999998</v>
      </c>
      <c r="Z378">
        <f t="shared" si="6"/>
        <v>0.44811442145901981</v>
      </c>
    </row>
    <row r="379" spans="1:26" x14ac:dyDescent="0.2">
      <c r="A379" s="5" t="s">
        <v>46</v>
      </c>
      <c r="B379" s="5" t="s">
        <v>38</v>
      </c>
      <c r="C379" s="6" t="s">
        <v>29</v>
      </c>
      <c r="D379" s="7">
        <v>0.41727999999999998</v>
      </c>
      <c r="E379">
        <v>0.40820400000000001</v>
      </c>
      <c r="F379">
        <v>0.70206400000000002</v>
      </c>
      <c r="G379">
        <v>0.68733599999999995</v>
      </c>
      <c r="H379">
        <v>0.56919500000000001</v>
      </c>
      <c r="I379">
        <v>0.494008</v>
      </c>
      <c r="J379">
        <v>0.44663999999999998</v>
      </c>
      <c r="K379">
        <v>0.48064200000000001</v>
      </c>
      <c r="L379">
        <v>0.39890900000000001</v>
      </c>
      <c r="M379">
        <v>0.41208800000000001</v>
      </c>
      <c r="N379">
        <v>0.45043800000000001</v>
      </c>
      <c r="O379" s="8">
        <f>VLOOKUP($B379,floorspace!$B$4:$O$12,'shell factors calc'!O$2+1,FALSE)</f>
        <v>2310.141357</v>
      </c>
      <c r="P379" s="8">
        <f>VLOOKUP($B379,floorspace!$B$4:$O$12,'shell factors calc'!P$2+1,FALSE)</f>
        <v>2408.3359380000002</v>
      </c>
      <c r="Q379" s="8">
        <f>VLOOKUP($B379,floorspace!$B$4:$O$12,'shell factors calc'!Q$2+1,FALSE)</f>
        <v>276.88534499999997</v>
      </c>
      <c r="R379" s="8">
        <f>VLOOKUP($B379,floorspace!$B$4:$O$12,'shell factors calc'!R$2+1,FALSE)</f>
        <v>212.81033300000001</v>
      </c>
      <c r="S379" s="8">
        <f>VLOOKUP($B379,floorspace!$B$4:$O$12,'shell factors calc'!S$2+1,FALSE)</f>
        <v>561.85345500000005</v>
      </c>
      <c r="T379" s="8">
        <f>VLOOKUP($B379,floorspace!$B$4:$O$12,'shell factors calc'!T$2+1,FALSE)</f>
        <v>1051.820923</v>
      </c>
      <c r="U379" s="8">
        <f>VLOOKUP($B379,floorspace!$B$4:$O$12,'shell factors calc'!U$2+1,FALSE)</f>
        <v>1563.5035399999999</v>
      </c>
      <c r="V379" s="8">
        <f>VLOOKUP($B379,floorspace!$B$4:$O$12,'shell factors calc'!V$2+1,FALSE)</f>
        <v>1452.933716</v>
      </c>
      <c r="W379" s="8">
        <f>VLOOKUP($B379,floorspace!$B$4:$O$12,'shell factors calc'!W$2+1,FALSE)</f>
        <v>3021.5776369999999</v>
      </c>
      <c r="X379" s="8">
        <f>VLOOKUP($B379,floorspace!$B$4:$O$12,'shell factors calc'!X$2+1,FALSE)</f>
        <v>3411.5915530000002</v>
      </c>
      <c r="Y379" s="8">
        <f>VLOOKUP($B379,floorspace!$B$4:$O$12,'shell factors calc'!Y$2+1,FALSE)</f>
        <v>941.76892099999998</v>
      </c>
      <c r="Z379">
        <f t="shared" si="6"/>
        <v>0.43915232999814807</v>
      </c>
    </row>
    <row r="380" spans="1:26" x14ac:dyDescent="0.2">
      <c r="A380" s="5" t="s">
        <v>46</v>
      </c>
      <c r="B380" s="5" t="s">
        <v>38</v>
      </c>
      <c r="C380" s="6" t="s">
        <v>30</v>
      </c>
      <c r="D380" s="7">
        <v>0.40870800000000002</v>
      </c>
      <c r="E380">
        <v>0.399449</v>
      </c>
      <c r="F380">
        <v>0.69736900000000002</v>
      </c>
      <c r="G380">
        <v>0.68297799999999997</v>
      </c>
      <c r="H380">
        <v>0.56213299999999999</v>
      </c>
      <c r="I380">
        <v>0.48546499999999998</v>
      </c>
      <c r="J380">
        <v>0.43779299999999999</v>
      </c>
      <c r="K380">
        <v>0.47324899999999998</v>
      </c>
      <c r="L380">
        <v>0.38973799999999997</v>
      </c>
      <c r="M380">
        <v>0.40197500000000003</v>
      </c>
      <c r="N380">
        <v>0.44175999999999999</v>
      </c>
      <c r="O380" s="8">
        <f>VLOOKUP($B380,floorspace!$B$4:$O$12,'shell factors calc'!O$2+1,FALSE)</f>
        <v>2310.141357</v>
      </c>
      <c r="P380" s="8">
        <f>VLOOKUP($B380,floorspace!$B$4:$O$12,'shell factors calc'!P$2+1,FALSE)</f>
        <v>2408.3359380000002</v>
      </c>
      <c r="Q380" s="8">
        <f>VLOOKUP($B380,floorspace!$B$4:$O$12,'shell factors calc'!Q$2+1,FALSE)</f>
        <v>276.88534499999997</v>
      </c>
      <c r="R380" s="8">
        <f>VLOOKUP($B380,floorspace!$B$4:$O$12,'shell factors calc'!R$2+1,FALSE)</f>
        <v>212.81033300000001</v>
      </c>
      <c r="S380" s="8">
        <f>VLOOKUP($B380,floorspace!$B$4:$O$12,'shell factors calc'!S$2+1,FALSE)</f>
        <v>561.85345500000005</v>
      </c>
      <c r="T380" s="8">
        <f>VLOOKUP($B380,floorspace!$B$4:$O$12,'shell factors calc'!T$2+1,FALSE)</f>
        <v>1051.820923</v>
      </c>
      <c r="U380" s="8">
        <f>VLOOKUP($B380,floorspace!$B$4:$O$12,'shell factors calc'!U$2+1,FALSE)</f>
        <v>1563.5035399999999</v>
      </c>
      <c r="V380" s="8">
        <f>VLOOKUP($B380,floorspace!$B$4:$O$12,'shell factors calc'!V$2+1,FALSE)</f>
        <v>1452.933716</v>
      </c>
      <c r="W380" s="8">
        <f>VLOOKUP($B380,floorspace!$B$4:$O$12,'shell factors calc'!W$2+1,FALSE)</f>
        <v>3021.5776369999999</v>
      </c>
      <c r="X380" s="8">
        <f>VLOOKUP($B380,floorspace!$B$4:$O$12,'shell factors calc'!X$2+1,FALSE)</f>
        <v>3411.5915530000002</v>
      </c>
      <c r="Y380" s="8">
        <f>VLOOKUP($B380,floorspace!$B$4:$O$12,'shell factors calc'!Y$2+1,FALSE)</f>
        <v>941.76892099999998</v>
      </c>
      <c r="Z380">
        <f t="shared" si="6"/>
        <v>0.43037841972837193</v>
      </c>
    </row>
    <row r="381" spans="1:26" x14ac:dyDescent="0.2">
      <c r="A381" s="5" t="s">
        <v>46</v>
      </c>
      <c r="B381" s="5" t="s">
        <v>38</v>
      </c>
      <c r="C381" s="6" t="s">
        <v>31</v>
      </c>
      <c r="D381" s="7">
        <v>0.400312</v>
      </c>
      <c r="E381">
        <v>0.39088099999999998</v>
      </c>
      <c r="F381">
        <v>0.69270500000000002</v>
      </c>
      <c r="G381">
        <v>0.678647</v>
      </c>
      <c r="H381">
        <v>0.55515800000000004</v>
      </c>
      <c r="I381">
        <v>0.47706900000000002</v>
      </c>
      <c r="J381">
        <v>0.42912099999999997</v>
      </c>
      <c r="K381">
        <v>0.46597</v>
      </c>
      <c r="L381">
        <v>0.38077699999999998</v>
      </c>
      <c r="M381">
        <v>0.39211000000000001</v>
      </c>
      <c r="N381">
        <v>0.433249</v>
      </c>
      <c r="O381" s="8">
        <f>VLOOKUP($B381,floorspace!$B$4:$O$12,'shell factors calc'!O$2+1,FALSE)</f>
        <v>2310.141357</v>
      </c>
      <c r="P381" s="8">
        <f>VLOOKUP($B381,floorspace!$B$4:$O$12,'shell factors calc'!P$2+1,FALSE)</f>
        <v>2408.3359380000002</v>
      </c>
      <c r="Q381" s="8">
        <f>VLOOKUP($B381,floorspace!$B$4:$O$12,'shell factors calc'!Q$2+1,FALSE)</f>
        <v>276.88534499999997</v>
      </c>
      <c r="R381" s="8">
        <f>VLOOKUP($B381,floorspace!$B$4:$O$12,'shell factors calc'!R$2+1,FALSE)</f>
        <v>212.81033300000001</v>
      </c>
      <c r="S381" s="8">
        <f>VLOOKUP($B381,floorspace!$B$4:$O$12,'shell factors calc'!S$2+1,FALSE)</f>
        <v>561.85345500000005</v>
      </c>
      <c r="T381" s="8">
        <f>VLOOKUP($B381,floorspace!$B$4:$O$12,'shell factors calc'!T$2+1,FALSE)</f>
        <v>1051.820923</v>
      </c>
      <c r="U381" s="8">
        <f>VLOOKUP($B381,floorspace!$B$4:$O$12,'shell factors calc'!U$2+1,FALSE)</f>
        <v>1563.5035399999999</v>
      </c>
      <c r="V381" s="8">
        <f>VLOOKUP($B381,floorspace!$B$4:$O$12,'shell factors calc'!V$2+1,FALSE)</f>
        <v>1452.933716</v>
      </c>
      <c r="W381" s="8">
        <f>VLOOKUP($B381,floorspace!$B$4:$O$12,'shell factors calc'!W$2+1,FALSE)</f>
        <v>3021.5776369999999</v>
      </c>
      <c r="X381" s="8">
        <f>VLOOKUP($B381,floorspace!$B$4:$O$12,'shell factors calc'!X$2+1,FALSE)</f>
        <v>3411.5915530000002</v>
      </c>
      <c r="Y381" s="8">
        <f>VLOOKUP($B381,floorspace!$B$4:$O$12,'shell factors calc'!Y$2+1,FALSE)</f>
        <v>941.76892099999998</v>
      </c>
      <c r="Z381">
        <f t="shared" si="6"/>
        <v>0.42178761874519899</v>
      </c>
    </row>
    <row r="382" spans="1:26" x14ac:dyDescent="0.2">
      <c r="A382" s="5" t="s">
        <v>46</v>
      </c>
      <c r="B382" s="5" t="s">
        <v>38</v>
      </c>
      <c r="C382" s="6" t="s">
        <v>32</v>
      </c>
      <c r="D382" s="7">
        <v>0.39208900000000002</v>
      </c>
      <c r="E382">
        <v>0.382496</v>
      </c>
      <c r="F382">
        <v>0.68807300000000005</v>
      </c>
      <c r="G382">
        <v>0.67434300000000003</v>
      </c>
      <c r="H382">
        <v>0.54826900000000001</v>
      </c>
      <c r="I382">
        <v>0.46881899999999999</v>
      </c>
      <c r="J382">
        <v>0.42062100000000002</v>
      </c>
      <c r="K382">
        <v>0.45880300000000002</v>
      </c>
      <c r="L382">
        <v>0.37202200000000002</v>
      </c>
      <c r="M382">
        <v>0.38248700000000002</v>
      </c>
      <c r="N382">
        <v>0.424902</v>
      </c>
      <c r="O382" s="8">
        <f>VLOOKUP($B382,floorspace!$B$4:$O$12,'shell factors calc'!O$2+1,FALSE)</f>
        <v>2310.141357</v>
      </c>
      <c r="P382" s="8">
        <f>VLOOKUP($B382,floorspace!$B$4:$O$12,'shell factors calc'!P$2+1,FALSE)</f>
        <v>2408.3359380000002</v>
      </c>
      <c r="Q382" s="8">
        <f>VLOOKUP($B382,floorspace!$B$4:$O$12,'shell factors calc'!Q$2+1,FALSE)</f>
        <v>276.88534499999997</v>
      </c>
      <c r="R382" s="8">
        <f>VLOOKUP($B382,floorspace!$B$4:$O$12,'shell factors calc'!R$2+1,FALSE)</f>
        <v>212.81033300000001</v>
      </c>
      <c r="S382" s="8">
        <f>VLOOKUP($B382,floorspace!$B$4:$O$12,'shell factors calc'!S$2+1,FALSE)</f>
        <v>561.85345500000005</v>
      </c>
      <c r="T382" s="8">
        <f>VLOOKUP($B382,floorspace!$B$4:$O$12,'shell factors calc'!T$2+1,FALSE)</f>
        <v>1051.820923</v>
      </c>
      <c r="U382" s="8">
        <f>VLOOKUP($B382,floorspace!$B$4:$O$12,'shell factors calc'!U$2+1,FALSE)</f>
        <v>1563.5035399999999</v>
      </c>
      <c r="V382" s="8">
        <f>VLOOKUP($B382,floorspace!$B$4:$O$12,'shell factors calc'!V$2+1,FALSE)</f>
        <v>1452.933716</v>
      </c>
      <c r="W382" s="8">
        <f>VLOOKUP($B382,floorspace!$B$4:$O$12,'shell factors calc'!W$2+1,FALSE)</f>
        <v>3021.5776369999999</v>
      </c>
      <c r="X382" s="8">
        <f>VLOOKUP($B382,floorspace!$B$4:$O$12,'shell factors calc'!X$2+1,FALSE)</f>
        <v>3411.5915530000002</v>
      </c>
      <c r="Y382" s="8">
        <f>VLOOKUP($B382,floorspace!$B$4:$O$12,'shell factors calc'!Y$2+1,FALSE)</f>
        <v>941.76892099999998</v>
      </c>
      <c r="Z382">
        <f t="shared" si="6"/>
        <v>0.4133763903430086</v>
      </c>
    </row>
    <row r="383" spans="1:26" x14ac:dyDescent="0.2">
      <c r="A383" s="5" t="s">
        <v>46</v>
      </c>
      <c r="B383" s="5" t="s">
        <v>38</v>
      </c>
      <c r="C383" s="6" t="s">
        <v>33</v>
      </c>
      <c r="D383" s="7">
        <v>0.38403399999999999</v>
      </c>
      <c r="E383">
        <v>0.37429200000000001</v>
      </c>
      <c r="F383">
        <v>0.68347100000000005</v>
      </c>
      <c r="G383">
        <v>0.67006699999999997</v>
      </c>
      <c r="H383">
        <v>0.541466</v>
      </c>
      <c r="I383">
        <v>0.46071099999999998</v>
      </c>
      <c r="J383">
        <v>0.41228900000000002</v>
      </c>
      <c r="K383">
        <v>0.45174599999999998</v>
      </c>
      <c r="L383">
        <v>0.36346899999999999</v>
      </c>
      <c r="M383">
        <v>0.37309999999999999</v>
      </c>
      <c r="N383">
        <v>0.416715</v>
      </c>
      <c r="O383" s="8">
        <f>VLOOKUP($B383,floorspace!$B$4:$O$12,'shell factors calc'!O$2+1,FALSE)</f>
        <v>2310.141357</v>
      </c>
      <c r="P383" s="8">
        <f>VLOOKUP($B383,floorspace!$B$4:$O$12,'shell factors calc'!P$2+1,FALSE)</f>
        <v>2408.3359380000002</v>
      </c>
      <c r="Q383" s="8">
        <f>VLOOKUP($B383,floorspace!$B$4:$O$12,'shell factors calc'!Q$2+1,FALSE)</f>
        <v>276.88534499999997</v>
      </c>
      <c r="R383" s="8">
        <f>VLOOKUP($B383,floorspace!$B$4:$O$12,'shell factors calc'!R$2+1,FALSE)</f>
        <v>212.81033300000001</v>
      </c>
      <c r="S383" s="8">
        <f>VLOOKUP($B383,floorspace!$B$4:$O$12,'shell factors calc'!S$2+1,FALSE)</f>
        <v>561.85345500000005</v>
      </c>
      <c r="T383" s="8">
        <f>VLOOKUP($B383,floorspace!$B$4:$O$12,'shell factors calc'!T$2+1,FALSE)</f>
        <v>1051.820923</v>
      </c>
      <c r="U383" s="8">
        <f>VLOOKUP($B383,floorspace!$B$4:$O$12,'shell factors calc'!U$2+1,FALSE)</f>
        <v>1563.5035399999999</v>
      </c>
      <c r="V383" s="8">
        <f>VLOOKUP($B383,floorspace!$B$4:$O$12,'shell factors calc'!V$2+1,FALSE)</f>
        <v>1452.933716</v>
      </c>
      <c r="W383" s="8">
        <f>VLOOKUP($B383,floorspace!$B$4:$O$12,'shell factors calc'!W$2+1,FALSE)</f>
        <v>3021.5776369999999</v>
      </c>
      <c r="X383" s="8">
        <f>VLOOKUP($B383,floorspace!$B$4:$O$12,'shell factors calc'!X$2+1,FALSE)</f>
        <v>3411.5915530000002</v>
      </c>
      <c r="Y383" s="8">
        <f>VLOOKUP($B383,floorspace!$B$4:$O$12,'shell factors calc'!Y$2+1,FALSE)</f>
        <v>941.76892099999998</v>
      </c>
      <c r="Z383">
        <f t="shared" si="6"/>
        <v>0.40514087711282276</v>
      </c>
    </row>
    <row r="384" spans="1:26" x14ac:dyDescent="0.2">
      <c r="A384" s="5" t="s">
        <v>46</v>
      </c>
      <c r="B384" s="5" t="s">
        <v>38</v>
      </c>
      <c r="C384" s="6" t="s">
        <v>34</v>
      </c>
      <c r="D384" s="7">
        <v>0.37614500000000001</v>
      </c>
      <c r="E384">
        <v>0.36626399999999998</v>
      </c>
      <c r="F384">
        <v>0.67889999999999995</v>
      </c>
      <c r="G384">
        <v>0.66581800000000002</v>
      </c>
      <c r="H384">
        <v>0.534748</v>
      </c>
      <c r="I384">
        <v>0.45274399999999998</v>
      </c>
      <c r="J384">
        <v>0.40412199999999998</v>
      </c>
      <c r="K384">
        <v>0.44479800000000003</v>
      </c>
      <c r="L384">
        <v>0.35511199999999998</v>
      </c>
      <c r="M384">
        <v>0.36394399999999999</v>
      </c>
      <c r="N384">
        <v>0.40868599999999999</v>
      </c>
      <c r="O384" s="8">
        <f>VLOOKUP($B384,floorspace!$B$4:$O$12,'shell factors calc'!O$2+1,FALSE)</f>
        <v>2310.141357</v>
      </c>
      <c r="P384" s="8">
        <f>VLOOKUP($B384,floorspace!$B$4:$O$12,'shell factors calc'!P$2+1,FALSE)</f>
        <v>2408.3359380000002</v>
      </c>
      <c r="Q384" s="8">
        <f>VLOOKUP($B384,floorspace!$B$4:$O$12,'shell factors calc'!Q$2+1,FALSE)</f>
        <v>276.88534499999997</v>
      </c>
      <c r="R384" s="8">
        <f>VLOOKUP($B384,floorspace!$B$4:$O$12,'shell factors calc'!R$2+1,FALSE)</f>
        <v>212.81033300000001</v>
      </c>
      <c r="S384" s="8">
        <f>VLOOKUP($B384,floorspace!$B$4:$O$12,'shell factors calc'!S$2+1,FALSE)</f>
        <v>561.85345500000005</v>
      </c>
      <c r="T384" s="8">
        <f>VLOOKUP($B384,floorspace!$B$4:$O$12,'shell factors calc'!T$2+1,FALSE)</f>
        <v>1051.820923</v>
      </c>
      <c r="U384" s="8">
        <f>VLOOKUP($B384,floorspace!$B$4:$O$12,'shell factors calc'!U$2+1,FALSE)</f>
        <v>1563.5035399999999</v>
      </c>
      <c r="V384" s="8">
        <f>VLOOKUP($B384,floorspace!$B$4:$O$12,'shell factors calc'!V$2+1,FALSE)</f>
        <v>1452.933716</v>
      </c>
      <c r="W384" s="8">
        <f>VLOOKUP($B384,floorspace!$B$4:$O$12,'shell factors calc'!W$2+1,FALSE)</f>
        <v>3021.5776369999999</v>
      </c>
      <c r="X384" s="8">
        <f>VLOOKUP($B384,floorspace!$B$4:$O$12,'shell factors calc'!X$2+1,FALSE)</f>
        <v>3411.5915530000002</v>
      </c>
      <c r="Y384" s="8">
        <f>VLOOKUP($B384,floorspace!$B$4:$O$12,'shell factors calc'!Y$2+1,FALSE)</f>
        <v>941.76892099999998</v>
      </c>
      <c r="Z384">
        <f t="shared" si="6"/>
        <v>0.39707751052081475</v>
      </c>
    </row>
    <row r="385" spans="1:26" x14ac:dyDescent="0.2">
      <c r="A385" s="5" t="s">
        <v>46</v>
      </c>
      <c r="B385" s="5" t="s">
        <v>38</v>
      </c>
      <c r="C385" s="6" t="s">
        <v>35</v>
      </c>
      <c r="D385" s="7">
        <v>0.36841800000000002</v>
      </c>
      <c r="E385">
        <v>0.358408</v>
      </c>
      <c r="F385">
        <v>0.67435999999999996</v>
      </c>
      <c r="G385">
        <v>0.66159500000000004</v>
      </c>
      <c r="H385">
        <v>0.52811300000000005</v>
      </c>
      <c r="I385">
        <v>0.44491399999999998</v>
      </c>
      <c r="J385">
        <v>0.396117</v>
      </c>
      <c r="K385">
        <v>0.43795600000000001</v>
      </c>
      <c r="L385">
        <v>0.34694700000000001</v>
      </c>
      <c r="M385">
        <v>0.35501199999999999</v>
      </c>
      <c r="N385">
        <v>0.400812</v>
      </c>
      <c r="O385" s="8">
        <f>VLOOKUP($B385,floorspace!$B$4:$O$12,'shell factors calc'!O$2+1,FALSE)</f>
        <v>2310.141357</v>
      </c>
      <c r="P385" s="8">
        <f>VLOOKUP($B385,floorspace!$B$4:$O$12,'shell factors calc'!P$2+1,FALSE)</f>
        <v>2408.3359380000002</v>
      </c>
      <c r="Q385" s="8">
        <f>VLOOKUP($B385,floorspace!$B$4:$O$12,'shell factors calc'!Q$2+1,FALSE)</f>
        <v>276.88534499999997</v>
      </c>
      <c r="R385" s="8">
        <f>VLOOKUP($B385,floorspace!$B$4:$O$12,'shell factors calc'!R$2+1,FALSE)</f>
        <v>212.81033300000001</v>
      </c>
      <c r="S385" s="8">
        <f>VLOOKUP($B385,floorspace!$B$4:$O$12,'shell factors calc'!S$2+1,FALSE)</f>
        <v>561.85345500000005</v>
      </c>
      <c r="T385" s="8">
        <f>VLOOKUP($B385,floorspace!$B$4:$O$12,'shell factors calc'!T$2+1,FALSE)</f>
        <v>1051.820923</v>
      </c>
      <c r="U385" s="8">
        <f>VLOOKUP($B385,floorspace!$B$4:$O$12,'shell factors calc'!U$2+1,FALSE)</f>
        <v>1563.5035399999999</v>
      </c>
      <c r="V385" s="8">
        <f>VLOOKUP($B385,floorspace!$B$4:$O$12,'shell factors calc'!V$2+1,FALSE)</f>
        <v>1452.933716</v>
      </c>
      <c r="W385" s="8">
        <f>VLOOKUP($B385,floorspace!$B$4:$O$12,'shell factors calc'!W$2+1,FALSE)</f>
        <v>3021.5776369999999</v>
      </c>
      <c r="X385" s="8">
        <f>VLOOKUP($B385,floorspace!$B$4:$O$12,'shell factors calc'!X$2+1,FALSE)</f>
        <v>3411.5915530000002</v>
      </c>
      <c r="Y385" s="8">
        <f>VLOOKUP($B385,floorspace!$B$4:$O$12,'shell factors calc'!Y$2+1,FALSE)</f>
        <v>941.76892099999998</v>
      </c>
      <c r="Z385">
        <f t="shared" si="6"/>
        <v>0.38918209264418729</v>
      </c>
    </row>
    <row r="386" spans="1:26" x14ac:dyDescent="0.2">
      <c r="A386" s="5" t="s">
        <v>46</v>
      </c>
      <c r="B386" s="1" t="s">
        <v>38</v>
      </c>
      <c r="C386" s="2" t="s">
        <v>36</v>
      </c>
      <c r="D386" s="4">
        <v>0.36085</v>
      </c>
      <c r="E386">
        <v>0.35071999999999998</v>
      </c>
      <c r="F386">
        <v>0.66984999999999995</v>
      </c>
      <c r="G386">
        <v>0.65739999999999998</v>
      </c>
      <c r="H386">
        <v>0.52156000000000002</v>
      </c>
      <c r="I386">
        <v>0.43722</v>
      </c>
      <c r="J386">
        <v>0.38827</v>
      </c>
      <c r="K386">
        <v>0.43121999999999999</v>
      </c>
      <c r="L386">
        <v>0.33896999999999999</v>
      </c>
      <c r="M386">
        <v>0.3463</v>
      </c>
      <c r="N386">
        <v>0.39308999999999999</v>
      </c>
      <c r="O386" s="8">
        <f>VLOOKUP($B386,floorspace!$B$4:$O$12,'shell factors calc'!O$2+1,FALSE)</f>
        <v>2310.141357</v>
      </c>
      <c r="P386" s="8">
        <f>VLOOKUP($B386,floorspace!$B$4:$O$12,'shell factors calc'!P$2+1,FALSE)</f>
        <v>2408.3359380000002</v>
      </c>
      <c r="Q386" s="8">
        <f>VLOOKUP($B386,floorspace!$B$4:$O$12,'shell factors calc'!Q$2+1,FALSE)</f>
        <v>276.88534499999997</v>
      </c>
      <c r="R386" s="8">
        <f>VLOOKUP($B386,floorspace!$B$4:$O$12,'shell factors calc'!R$2+1,FALSE)</f>
        <v>212.81033300000001</v>
      </c>
      <c r="S386" s="8">
        <f>VLOOKUP($B386,floorspace!$B$4:$O$12,'shell factors calc'!S$2+1,FALSE)</f>
        <v>561.85345500000005</v>
      </c>
      <c r="T386" s="8">
        <f>VLOOKUP($B386,floorspace!$B$4:$O$12,'shell factors calc'!T$2+1,FALSE)</f>
        <v>1051.820923</v>
      </c>
      <c r="U386" s="8">
        <f>VLOOKUP($B386,floorspace!$B$4:$O$12,'shell factors calc'!U$2+1,FALSE)</f>
        <v>1563.5035399999999</v>
      </c>
      <c r="V386" s="8">
        <f>VLOOKUP($B386,floorspace!$B$4:$O$12,'shell factors calc'!V$2+1,FALSE)</f>
        <v>1452.933716</v>
      </c>
      <c r="W386" s="8">
        <f>VLOOKUP($B386,floorspace!$B$4:$O$12,'shell factors calc'!W$2+1,FALSE)</f>
        <v>3021.5776369999999</v>
      </c>
      <c r="X386" s="8">
        <f>VLOOKUP($B386,floorspace!$B$4:$O$12,'shell factors calc'!X$2+1,FALSE)</f>
        <v>3411.5915530000002</v>
      </c>
      <c r="Y386" s="8">
        <f>VLOOKUP($B386,floorspace!$B$4:$O$12,'shell factors calc'!Y$2+1,FALSE)</f>
        <v>941.76892099999998</v>
      </c>
      <c r="Z386">
        <f t="shared" si="6"/>
        <v>0.38145155370888173</v>
      </c>
    </row>
    <row r="387" spans="1:26" x14ac:dyDescent="0.2">
      <c r="A387" s="5" t="s">
        <v>46</v>
      </c>
      <c r="B387" s="5" t="s">
        <v>39</v>
      </c>
      <c r="C387" s="6" t="s">
        <v>5</v>
      </c>
      <c r="D387" s="7">
        <v>0.55983000000000005</v>
      </c>
      <c r="E387">
        <v>0.55766700000000002</v>
      </c>
      <c r="F387">
        <v>0.87158100000000005</v>
      </c>
      <c r="G387">
        <v>0.76685899999999996</v>
      </c>
      <c r="H387">
        <v>0.67541399999999996</v>
      </c>
      <c r="I387">
        <v>0.63886100000000001</v>
      </c>
      <c r="J387">
        <v>0.65202099999999996</v>
      </c>
      <c r="K387">
        <v>0.59184099999999995</v>
      </c>
      <c r="L387">
        <v>0.55852400000000002</v>
      </c>
      <c r="M387">
        <v>0.640934</v>
      </c>
      <c r="N387">
        <v>0.619363</v>
      </c>
      <c r="O387" s="8">
        <f>VLOOKUP($B387,floorspace!$B$4:$O$12,'shell factors calc'!O$2+1,FALSE)</f>
        <v>976.43579099999999</v>
      </c>
      <c r="P387" s="8">
        <f>VLOOKUP($B387,floorspace!$B$4:$O$12,'shell factors calc'!P$2+1,FALSE)</f>
        <v>1383.6553960000001</v>
      </c>
      <c r="Q387" s="8">
        <f>VLOOKUP($B387,floorspace!$B$4:$O$12,'shell factors calc'!Q$2+1,FALSE)</f>
        <v>120.231117</v>
      </c>
      <c r="R387" s="8">
        <f>VLOOKUP($B387,floorspace!$B$4:$O$12,'shell factors calc'!R$2+1,FALSE)</f>
        <v>62.268970000000003</v>
      </c>
      <c r="S387" s="8">
        <f>VLOOKUP($B387,floorspace!$B$4:$O$12,'shell factors calc'!S$2+1,FALSE)</f>
        <v>136.81397999999999</v>
      </c>
      <c r="T387" s="8">
        <f>VLOOKUP($B387,floorspace!$B$4:$O$12,'shell factors calc'!T$2+1,FALSE)</f>
        <v>578.51654099999996</v>
      </c>
      <c r="U387" s="8">
        <f>VLOOKUP($B387,floorspace!$B$4:$O$12,'shell factors calc'!U$2+1,FALSE)</f>
        <v>696.50329599999998</v>
      </c>
      <c r="V387" s="8">
        <f>VLOOKUP($B387,floorspace!$B$4:$O$12,'shell factors calc'!V$2+1,FALSE)</f>
        <v>787.38818400000002</v>
      </c>
      <c r="W387" s="8">
        <f>VLOOKUP($B387,floorspace!$B$4:$O$12,'shell factors calc'!W$2+1,FALSE)</f>
        <v>1768.7573239999999</v>
      </c>
      <c r="X387" s="8">
        <f>VLOOKUP($B387,floorspace!$B$4:$O$12,'shell factors calc'!X$2+1,FALSE)</f>
        <v>1364.572754</v>
      </c>
      <c r="Y387" s="8">
        <f>VLOOKUP($B387,floorspace!$B$4:$O$12,'shell factors calc'!Y$2+1,FALSE)</f>
        <v>479.19305400000002</v>
      </c>
      <c r="Z387">
        <f t="shared" si="6"/>
        <v>0.59995545923315674</v>
      </c>
    </row>
    <row r="388" spans="1:26" x14ac:dyDescent="0.2">
      <c r="A388" s="5" t="s">
        <v>46</v>
      </c>
      <c r="B388" s="5" t="s">
        <v>39</v>
      </c>
      <c r="C388" s="6" t="s">
        <v>6</v>
      </c>
      <c r="D388" s="7">
        <v>0.55015000000000003</v>
      </c>
      <c r="E388">
        <v>0.54786999999999997</v>
      </c>
      <c r="F388">
        <v>0.86067000000000005</v>
      </c>
      <c r="G388">
        <v>0.76197000000000004</v>
      </c>
      <c r="H388">
        <v>0.66678000000000004</v>
      </c>
      <c r="I388">
        <v>0.62890000000000001</v>
      </c>
      <c r="J388">
        <v>0.64327000000000001</v>
      </c>
      <c r="K388">
        <v>0.58320000000000005</v>
      </c>
      <c r="L388">
        <v>0.54829000000000006</v>
      </c>
      <c r="M388">
        <v>0.63085000000000002</v>
      </c>
      <c r="N388">
        <v>0.61001000000000005</v>
      </c>
      <c r="O388" s="8">
        <f>VLOOKUP($B388,floorspace!$B$4:$O$12,'shell factors calc'!O$2+1,FALSE)</f>
        <v>976.43579099999999</v>
      </c>
      <c r="P388" s="8">
        <f>VLOOKUP($B388,floorspace!$B$4:$O$12,'shell factors calc'!P$2+1,FALSE)</f>
        <v>1383.6553960000001</v>
      </c>
      <c r="Q388" s="8">
        <f>VLOOKUP($B388,floorspace!$B$4:$O$12,'shell factors calc'!Q$2+1,FALSE)</f>
        <v>120.231117</v>
      </c>
      <c r="R388" s="8">
        <f>VLOOKUP($B388,floorspace!$B$4:$O$12,'shell factors calc'!R$2+1,FALSE)</f>
        <v>62.268970000000003</v>
      </c>
      <c r="S388" s="8">
        <f>VLOOKUP($B388,floorspace!$B$4:$O$12,'shell factors calc'!S$2+1,FALSE)</f>
        <v>136.81397999999999</v>
      </c>
      <c r="T388" s="8">
        <f>VLOOKUP($B388,floorspace!$B$4:$O$12,'shell factors calc'!T$2+1,FALSE)</f>
        <v>578.51654099999996</v>
      </c>
      <c r="U388" s="8">
        <f>VLOOKUP($B388,floorspace!$B$4:$O$12,'shell factors calc'!U$2+1,FALSE)</f>
        <v>696.50329599999998</v>
      </c>
      <c r="V388" s="8">
        <f>VLOOKUP($B388,floorspace!$B$4:$O$12,'shell factors calc'!V$2+1,FALSE)</f>
        <v>787.38818400000002</v>
      </c>
      <c r="W388" s="8">
        <f>VLOOKUP($B388,floorspace!$B$4:$O$12,'shell factors calc'!W$2+1,FALSE)</f>
        <v>1768.7573239999999</v>
      </c>
      <c r="X388" s="8">
        <f>VLOOKUP($B388,floorspace!$B$4:$O$12,'shell factors calc'!X$2+1,FALSE)</f>
        <v>1364.572754</v>
      </c>
      <c r="Y388" s="8">
        <f>VLOOKUP($B388,floorspace!$B$4:$O$12,'shell factors calc'!Y$2+1,FALSE)</f>
        <v>479.19305400000002</v>
      </c>
      <c r="Z388">
        <f t="shared" si="6"/>
        <v>0.59028259897290014</v>
      </c>
    </row>
    <row r="389" spans="1:26" x14ac:dyDescent="0.2">
      <c r="A389" s="5" t="s">
        <v>46</v>
      </c>
      <c r="B389" s="5" t="s">
        <v>39</v>
      </c>
      <c r="C389" s="6" t="s">
        <v>7</v>
      </c>
      <c r="D389" s="7">
        <v>0.53953399999999996</v>
      </c>
      <c r="E389">
        <v>0.53711399999999998</v>
      </c>
      <c r="F389">
        <v>0.85129299999999997</v>
      </c>
      <c r="G389">
        <v>0.75693500000000002</v>
      </c>
      <c r="H389">
        <v>0.65756199999999998</v>
      </c>
      <c r="I389">
        <v>0.618089</v>
      </c>
      <c r="J389">
        <v>0.63389399999999996</v>
      </c>
      <c r="K389">
        <v>0.57388099999999997</v>
      </c>
      <c r="L389">
        <v>0.53700599999999998</v>
      </c>
      <c r="M389">
        <v>0.61989399999999995</v>
      </c>
      <c r="N389">
        <v>0.59988699999999995</v>
      </c>
      <c r="O389" s="8">
        <f>VLOOKUP($B389,floorspace!$B$4:$O$12,'shell factors calc'!O$2+1,FALSE)</f>
        <v>976.43579099999999</v>
      </c>
      <c r="P389" s="8">
        <f>VLOOKUP($B389,floorspace!$B$4:$O$12,'shell factors calc'!P$2+1,FALSE)</f>
        <v>1383.6553960000001</v>
      </c>
      <c r="Q389" s="8">
        <f>VLOOKUP($B389,floorspace!$B$4:$O$12,'shell factors calc'!Q$2+1,FALSE)</f>
        <v>120.231117</v>
      </c>
      <c r="R389" s="8">
        <f>VLOOKUP($B389,floorspace!$B$4:$O$12,'shell factors calc'!R$2+1,FALSE)</f>
        <v>62.268970000000003</v>
      </c>
      <c r="S389" s="8">
        <f>VLOOKUP($B389,floorspace!$B$4:$O$12,'shell factors calc'!S$2+1,FALSE)</f>
        <v>136.81397999999999</v>
      </c>
      <c r="T389" s="8">
        <f>VLOOKUP($B389,floorspace!$B$4:$O$12,'shell factors calc'!T$2+1,FALSE)</f>
        <v>578.51654099999996</v>
      </c>
      <c r="U389" s="8">
        <f>VLOOKUP($B389,floorspace!$B$4:$O$12,'shell factors calc'!U$2+1,FALSE)</f>
        <v>696.50329599999998</v>
      </c>
      <c r="V389" s="8">
        <f>VLOOKUP($B389,floorspace!$B$4:$O$12,'shell factors calc'!V$2+1,FALSE)</f>
        <v>787.38818400000002</v>
      </c>
      <c r="W389" s="8">
        <f>VLOOKUP($B389,floorspace!$B$4:$O$12,'shell factors calc'!W$2+1,FALSE)</f>
        <v>1768.7573239999999</v>
      </c>
      <c r="X389" s="8">
        <f>VLOOKUP($B389,floorspace!$B$4:$O$12,'shell factors calc'!X$2+1,FALSE)</f>
        <v>1364.572754</v>
      </c>
      <c r="Y389" s="8">
        <f>VLOOKUP($B389,floorspace!$B$4:$O$12,'shell factors calc'!Y$2+1,FALSE)</f>
        <v>479.19305400000002</v>
      </c>
      <c r="Z389">
        <f t="shared" si="6"/>
        <v>0.57976916810651058</v>
      </c>
    </row>
    <row r="390" spans="1:26" x14ac:dyDescent="0.2">
      <c r="A390" s="5" t="s">
        <v>46</v>
      </c>
      <c r="B390" s="5" t="s">
        <v>39</v>
      </c>
      <c r="C390" s="6" t="s">
        <v>8</v>
      </c>
      <c r="D390" s="7">
        <v>0.52912300000000001</v>
      </c>
      <c r="E390">
        <v>0.52656899999999995</v>
      </c>
      <c r="F390">
        <v>0.84201899999999996</v>
      </c>
      <c r="G390">
        <v>0.75193299999999996</v>
      </c>
      <c r="H390">
        <v>0.64847200000000005</v>
      </c>
      <c r="I390">
        <v>0.607464</v>
      </c>
      <c r="J390">
        <v>0.62465499999999996</v>
      </c>
      <c r="K390">
        <v>0.56471000000000005</v>
      </c>
      <c r="L390">
        <v>0.52595499999999995</v>
      </c>
      <c r="M390">
        <v>0.60912900000000003</v>
      </c>
      <c r="N390">
        <v>0.58993099999999998</v>
      </c>
      <c r="O390" s="8">
        <f>VLOOKUP($B390,floorspace!$B$4:$O$12,'shell factors calc'!O$2+1,FALSE)</f>
        <v>976.43579099999999</v>
      </c>
      <c r="P390" s="8">
        <f>VLOOKUP($B390,floorspace!$B$4:$O$12,'shell factors calc'!P$2+1,FALSE)</f>
        <v>1383.6553960000001</v>
      </c>
      <c r="Q390" s="8">
        <f>VLOOKUP($B390,floorspace!$B$4:$O$12,'shell factors calc'!Q$2+1,FALSE)</f>
        <v>120.231117</v>
      </c>
      <c r="R390" s="8">
        <f>VLOOKUP($B390,floorspace!$B$4:$O$12,'shell factors calc'!R$2+1,FALSE)</f>
        <v>62.268970000000003</v>
      </c>
      <c r="S390" s="8">
        <f>VLOOKUP($B390,floorspace!$B$4:$O$12,'shell factors calc'!S$2+1,FALSE)</f>
        <v>136.81397999999999</v>
      </c>
      <c r="T390" s="8">
        <f>VLOOKUP($B390,floorspace!$B$4:$O$12,'shell factors calc'!T$2+1,FALSE)</f>
        <v>578.51654099999996</v>
      </c>
      <c r="U390" s="8">
        <f>VLOOKUP($B390,floorspace!$B$4:$O$12,'shell factors calc'!U$2+1,FALSE)</f>
        <v>696.50329599999998</v>
      </c>
      <c r="V390" s="8">
        <f>VLOOKUP($B390,floorspace!$B$4:$O$12,'shell factors calc'!V$2+1,FALSE)</f>
        <v>787.38818400000002</v>
      </c>
      <c r="W390" s="8">
        <f>VLOOKUP($B390,floorspace!$B$4:$O$12,'shell factors calc'!W$2+1,FALSE)</f>
        <v>1768.7573239999999</v>
      </c>
      <c r="X390" s="8">
        <f>VLOOKUP($B390,floorspace!$B$4:$O$12,'shell factors calc'!X$2+1,FALSE)</f>
        <v>1364.572754</v>
      </c>
      <c r="Y390" s="8">
        <f>VLOOKUP($B390,floorspace!$B$4:$O$12,'shell factors calc'!Y$2+1,FALSE)</f>
        <v>479.19305400000002</v>
      </c>
      <c r="Z390">
        <f t="shared" si="6"/>
        <v>0.56944682471737518</v>
      </c>
    </row>
    <row r="391" spans="1:26" x14ac:dyDescent="0.2">
      <c r="A391" s="5" t="s">
        <v>46</v>
      </c>
      <c r="B391" s="5" t="s">
        <v>39</v>
      </c>
      <c r="C391" s="6" t="s">
        <v>9</v>
      </c>
      <c r="D391" s="7">
        <v>0.51891299999999996</v>
      </c>
      <c r="E391">
        <v>0.516231</v>
      </c>
      <c r="F391">
        <v>0.83284599999999998</v>
      </c>
      <c r="G391">
        <v>0.74696399999999996</v>
      </c>
      <c r="H391">
        <v>0.63950700000000005</v>
      </c>
      <c r="I391">
        <v>0.59702100000000002</v>
      </c>
      <c r="J391">
        <v>0.61555099999999996</v>
      </c>
      <c r="K391">
        <v>0.55568600000000001</v>
      </c>
      <c r="L391">
        <v>0.51513100000000001</v>
      </c>
      <c r="M391">
        <v>0.59855000000000003</v>
      </c>
      <c r="N391">
        <v>0.58014100000000002</v>
      </c>
      <c r="O391" s="8">
        <f>VLOOKUP($B391,floorspace!$B$4:$O$12,'shell factors calc'!O$2+1,FALSE)</f>
        <v>976.43579099999999</v>
      </c>
      <c r="P391" s="8">
        <f>VLOOKUP($B391,floorspace!$B$4:$O$12,'shell factors calc'!P$2+1,FALSE)</f>
        <v>1383.6553960000001</v>
      </c>
      <c r="Q391" s="8">
        <f>VLOOKUP($B391,floorspace!$B$4:$O$12,'shell factors calc'!Q$2+1,FALSE)</f>
        <v>120.231117</v>
      </c>
      <c r="R391" s="8">
        <f>VLOOKUP($B391,floorspace!$B$4:$O$12,'shell factors calc'!R$2+1,FALSE)</f>
        <v>62.268970000000003</v>
      </c>
      <c r="S391" s="8">
        <f>VLOOKUP($B391,floorspace!$B$4:$O$12,'shell factors calc'!S$2+1,FALSE)</f>
        <v>136.81397999999999</v>
      </c>
      <c r="T391" s="8">
        <f>VLOOKUP($B391,floorspace!$B$4:$O$12,'shell factors calc'!T$2+1,FALSE)</f>
        <v>578.51654099999996</v>
      </c>
      <c r="U391" s="8">
        <f>VLOOKUP($B391,floorspace!$B$4:$O$12,'shell factors calc'!U$2+1,FALSE)</f>
        <v>696.50329599999998</v>
      </c>
      <c r="V391" s="8">
        <f>VLOOKUP($B391,floorspace!$B$4:$O$12,'shell factors calc'!V$2+1,FALSE)</f>
        <v>787.38818400000002</v>
      </c>
      <c r="W391" s="8">
        <f>VLOOKUP($B391,floorspace!$B$4:$O$12,'shell factors calc'!W$2+1,FALSE)</f>
        <v>1768.7573239999999</v>
      </c>
      <c r="X391" s="8">
        <f>VLOOKUP($B391,floorspace!$B$4:$O$12,'shell factors calc'!X$2+1,FALSE)</f>
        <v>1364.572754</v>
      </c>
      <c r="Y391" s="8">
        <f>VLOOKUP($B391,floorspace!$B$4:$O$12,'shell factors calc'!Y$2+1,FALSE)</f>
        <v>479.19305400000002</v>
      </c>
      <c r="Z391">
        <f t="shared" si="6"/>
        <v>0.55931167857064501</v>
      </c>
    </row>
    <row r="392" spans="1:26" x14ac:dyDescent="0.2">
      <c r="A392" s="5" t="s">
        <v>46</v>
      </c>
      <c r="B392" s="5" t="s">
        <v>39</v>
      </c>
      <c r="C392" s="6" t="s">
        <v>10</v>
      </c>
      <c r="D392" s="7">
        <v>0.50890000000000002</v>
      </c>
      <c r="E392">
        <v>0.50609599999999999</v>
      </c>
      <c r="F392">
        <v>0.82377199999999995</v>
      </c>
      <c r="G392">
        <v>0.74202800000000002</v>
      </c>
      <c r="H392">
        <v>0.63066599999999995</v>
      </c>
      <c r="I392">
        <v>0.586758</v>
      </c>
      <c r="J392">
        <v>0.60657899999999998</v>
      </c>
      <c r="K392">
        <v>0.54680700000000004</v>
      </c>
      <c r="L392">
        <v>0.50453000000000003</v>
      </c>
      <c r="M392">
        <v>0.58815600000000001</v>
      </c>
      <c r="N392">
        <v>0.57051300000000005</v>
      </c>
      <c r="O392" s="8">
        <f>VLOOKUP($B392,floorspace!$B$4:$O$12,'shell factors calc'!O$2+1,FALSE)</f>
        <v>976.43579099999999</v>
      </c>
      <c r="P392" s="8">
        <f>VLOOKUP($B392,floorspace!$B$4:$O$12,'shell factors calc'!P$2+1,FALSE)</f>
        <v>1383.6553960000001</v>
      </c>
      <c r="Q392" s="8">
        <f>VLOOKUP($B392,floorspace!$B$4:$O$12,'shell factors calc'!Q$2+1,FALSE)</f>
        <v>120.231117</v>
      </c>
      <c r="R392" s="8">
        <f>VLOOKUP($B392,floorspace!$B$4:$O$12,'shell factors calc'!R$2+1,FALSE)</f>
        <v>62.268970000000003</v>
      </c>
      <c r="S392" s="8">
        <f>VLOOKUP($B392,floorspace!$B$4:$O$12,'shell factors calc'!S$2+1,FALSE)</f>
        <v>136.81397999999999</v>
      </c>
      <c r="T392" s="8">
        <f>VLOOKUP($B392,floorspace!$B$4:$O$12,'shell factors calc'!T$2+1,FALSE)</f>
        <v>578.51654099999996</v>
      </c>
      <c r="U392" s="8">
        <f>VLOOKUP($B392,floorspace!$B$4:$O$12,'shell factors calc'!U$2+1,FALSE)</f>
        <v>696.50329599999998</v>
      </c>
      <c r="V392" s="8">
        <f>VLOOKUP($B392,floorspace!$B$4:$O$12,'shell factors calc'!V$2+1,FALSE)</f>
        <v>787.38818400000002</v>
      </c>
      <c r="W392" s="8">
        <f>VLOOKUP($B392,floorspace!$B$4:$O$12,'shell factors calc'!W$2+1,FALSE)</f>
        <v>1768.7573239999999</v>
      </c>
      <c r="X392" s="8">
        <f>VLOOKUP($B392,floorspace!$B$4:$O$12,'shell factors calc'!X$2+1,FALSE)</f>
        <v>1364.572754</v>
      </c>
      <c r="Y392" s="8">
        <f>VLOOKUP($B392,floorspace!$B$4:$O$12,'shell factors calc'!Y$2+1,FALSE)</f>
        <v>479.19305400000002</v>
      </c>
      <c r="Z392">
        <f t="shared" si="6"/>
        <v>0.54936073776686223</v>
      </c>
    </row>
    <row r="393" spans="1:26" x14ac:dyDescent="0.2">
      <c r="A393" s="5" t="s">
        <v>46</v>
      </c>
      <c r="B393" s="5" t="s">
        <v>39</v>
      </c>
      <c r="C393" s="6" t="s">
        <v>11</v>
      </c>
      <c r="D393" s="7">
        <v>0.49908000000000002</v>
      </c>
      <c r="E393">
        <v>0.49615999999999999</v>
      </c>
      <c r="F393">
        <v>0.81479699999999999</v>
      </c>
      <c r="G393">
        <v>0.73712500000000003</v>
      </c>
      <c r="H393">
        <v>0.62194799999999995</v>
      </c>
      <c r="I393">
        <v>0.57667100000000004</v>
      </c>
      <c r="J393">
        <v>0.59773900000000002</v>
      </c>
      <c r="K393">
        <v>0.53806900000000002</v>
      </c>
      <c r="L393">
        <v>0.494147</v>
      </c>
      <c r="M393">
        <v>0.57794100000000004</v>
      </c>
      <c r="N393">
        <v>0.56104500000000002</v>
      </c>
      <c r="O393" s="8">
        <f>VLOOKUP($B393,floorspace!$B$4:$O$12,'shell factors calc'!O$2+1,FALSE)</f>
        <v>976.43579099999999</v>
      </c>
      <c r="P393" s="8">
        <f>VLOOKUP($B393,floorspace!$B$4:$O$12,'shell factors calc'!P$2+1,FALSE)</f>
        <v>1383.6553960000001</v>
      </c>
      <c r="Q393" s="8">
        <f>VLOOKUP($B393,floorspace!$B$4:$O$12,'shell factors calc'!Q$2+1,FALSE)</f>
        <v>120.231117</v>
      </c>
      <c r="R393" s="8">
        <f>VLOOKUP($B393,floorspace!$B$4:$O$12,'shell factors calc'!R$2+1,FALSE)</f>
        <v>62.268970000000003</v>
      </c>
      <c r="S393" s="8">
        <f>VLOOKUP($B393,floorspace!$B$4:$O$12,'shell factors calc'!S$2+1,FALSE)</f>
        <v>136.81397999999999</v>
      </c>
      <c r="T393" s="8">
        <f>VLOOKUP($B393,floorspace!$B$4:$O$12,'shell factors calc'!T$2+1,FALSE)</f>
        <v>578.51654099999996</v>
      </c>
      <c r="U393" s="8">
        <f>VLOOKUP($B393,floorspace!$B$4:$O$12,'shell factors calc'!U$2+1,FALSE)</f>
        <v>696.50329599999998</v>
      </c>
      <c r="V393" s="8">
        <f>VLOOKUP($B393,floorspace!$B$4:$O$12,'shell factors calc'!V$2+1,FALSE)</f>
        <v>787.38818400000002</v>
      </c>
      <c r="W393" s="8">
        <f>VLOOKUP($B393,floorspace!$B$4:$O$12,'shell factors calc'!W$2+1,FALSE)</f>
        <v>1768.7573239999999</v>
      </c>
      <c r="X393" s="8">
        <f>VLOOKUP($B393,floorspace!$B$4:$O$12,'shell factors calc'!X$2+1,FALSE)</f>
        <v>1364.572754</v>
      </c>
      <c r="Y393" s="8">
        <f>VLOOKUP($B393,floorspace!$B$4:$O$12,'shell factors calc'!Y$2+1,FALSE)</f>
        <v>479.19305400000002</v>
      </c>
      <c r="Z393">
        <f t="shared" si="6"/>
        <v>0.53959004862194337</v>
      </c>
    </row>
    <row r="394" spans="1:26" x14ac:dyDescent="0.2">
      <c r="A394" s="5" t="s">
        <v>46</v>
      </c>
      <c r="B394" s="5" t="s">
        <v>39</v>
      </c>
      <c r="C394" s="6" t="s">
        <v>12</v>
      </c>
      <c r="D394" s="7">
        <v>0.48944900000000002</v>
      </c>
      <c r="E394">
        <v>0.48641899999999999</v>
      </c>
      <c r="F394">
        <v>0.805921</v>
      </c>
      <c r="G394">
        <v>0.73225399999999996</v>
      </c>
      <c r="H394">
        <v>0.61334999999999995</v>
      </c>
      <c r="I394">
        <v>0.56675799999999998</v>
      </c>
      <c r="J394">
        <v>0.58902699999999997</v>
      </c>
      <c r="K394">
        <v>0.52947100000000002</v>
      </c>
      <c r="L394">
        <v>0.48397699999999999</v>
      </c>
      <c r="M394">
        <v>0.56790399999999996</v>
      </c>
      <c r="N394">
        <v>0.55173399999999995</v>
      </c>
      <c r="O394" s="8">
        <f>VLOOKUP($B394,floorspace!$B$4:$O$12,'shell factors calc'!O$2+1,FALSE)</f>
        <v>976.43579099999999</v>
      </c>
      <c r="P394" s="8">
        <f>VLOOKUP($B394,floorspace!$B$4:$O$12,'shell factors calc'!P$2+1,FALSE)</f>
        <v>1383.6553960000001</v>
      </c>
      <c r="Q394" s="8">
        <f>VLOOKUP($B394,floorspace!$B$4:$O$12,'shell factors calc'!Q$2+1,FALSE)</f>
        <v>120.231117</v>
      </c>
      <c r="R394" s="8">
        <f>VLOOKUP($B394,floorspace!$B$4:$O$12,'shell factors calc'!R$2+1,FALSE)</f>
        <v>62.268970000000003</v>
      </c>
      <c r="S394" s="8">
        <f>VLOOKUP($B394,floorspace!$B$4:$O$12,'shell factors calc'!S$2+1,FALSE)</f>
        <v>136.81397999999999</v>
      </c>
      <c r="T394" s="8">
        <f>VLOOKUP($B394,floorspace!$B$4:$O$12,'shell factors calc'!T$2+1,FALSE)</f>
        <v>578.51654099999996</v>
      </c>
      <c r="U394" s="8">
        <f>VLOOKUP($B394,floorspace!$B$4:$O$12,'shell factors calc'!U$2+1,FALSE)</f>
        <v>696.50329599999998</v>
      </c>
      <c r="V394" s="8">
        <f>VLOOKUP($B394,floorspace!$B$4:$O$12,'shell factors calc'!V$2+1,FALSE)</f>
        <v>787.38818400000002</v>
      </c>
      <c r="W394" s="8">
        <f>VLOOKUP($B394,floorspace!$B$4:$O$12,'shell factors calc'!W$2+1,FALSE)</f>
        <v>1768.7573239999999</v>
      </c>
      <c r="X394" s="8">
        <f>VLOOKUP($B394,floorspace!$B$4:$O$12,'shell factors calc'!X$2+1,FALSE)</f>
        <v>1364.572754</v>
      </c>
      <c r="Y394" s="8">
        <f>VLOOKUP($B394,floorspace!$B$4:$O$12,'shell factors calc'!Y$2+1,FALSE)</f>
        <v>479.19305400000002</v>
      </c>
      <c r="Z394">
        <f t="shared" si="6"/>
        <v>0.52999646433315506</v>
      </c>
    </row>
    <row r="395" spans="1:26" x14ac:dyDescent="0.2">
      <c r="A395" s="5" t="s">
        <v>46</v>
      </c>
      <c r="B395" s="5" t="s">
        <v>39</v>
      </c>
      <c r="C395" s="6" t="s">
        <v>13</v>
      </c>
      <c r="D395" s="7">
        <v>0.48000399999999999</v>
      </c>
      <c r="E395">
        <v>0.47686899999999999</v>
      </c>
      <c r="F395">
        <v>0.79713999999999996</v>
      </c>
      <c r="G395">
        <v>0.72741500000000003</v>
      </c>
      <c r="H395">
        <v>0.60487100000000005</v>
      </c>
      <c r="I395">
        <v>0.55701500000000004</v>
      </c>
      <c r="J395">
        <v>0.58044200000000001</v>
      </c>
      <c r="K395">
        <v>0.52100999999999997</v>
      </c>
      <c r="L395">
        <v>0.47401700000000002</v>
      </c>
      <c r="M395">
        <v>0.55804200000000004</v>
      </c>
      <c r="N395">
        <v>0.542578</v>
      </c>
      <c r="O395" s="8">
        <f>VLOOKUP($B395,floorspace!$B$4:$O$12,'shell factors calc'!O$2+1,FALSE)</f>
        <v>976.43579099999999</v>
      </c>
      <c r="P395" s="8">
        <f>VLOOKUP($B395,floorspace!$B$4:$O$12,'shell factors calc'!P$2+1,FALSE)</f>
        <v>1383.6553960000001</v>
      </c>
      <c r="Q395" s="8">
        <f>VLOOKUP($B395,floorspace!$B$4:$O$12,'shell factors calc'!Q$2+1,FALSE)</f>
        <v>120.231117</v>
      </c>
      <c r="R395" s="8">
        <f>VLOOKUP($B395,floorspace!$B$4:$O$12,'shell factors calc'!R$2+1,FALSE)</f>
        <v>62.268970000000003</v>
      </c>
      <c r="S395" s="8">
        <f>VLOOKUP($B395,floorspace!$B$4:$O$12,'shell factors calc'!S$2+1,FALSE)</f>
        <v>136.81397999999999</v>
      </c>
      <c r="T395" s="8">
        <f>VLOOKUP($B395,floorspace!$B$4:$O$12,'shell factors calc'!T$2+1,FALSE)</f>
        <v>578.51654099999996</v>
      </c>
      <c r="U395" s="8">
        <f>VLOOKUP($B395,floorspace!$B$4:$O$12,'shell factors calc'!U$2+1,FALSE)</f>
        <v>696.50329599999998</v>
      </c>
      <c r="V395" s="8">
        <f>VLOOKUP($B395,floorspace!$B$4:$O$12,'shell factors calc'!V$2+1,FALSE)</f>
        <v>787.38818400000002</v>
      </c>
      <c r="W395" s="8">
        <f>VLOOKUP($B395,floorspace!$B$4:$O$12,'shell factors calc'!W$2+1,FALSE)</f>
        <v>1768.7573239999999</v>
      </c>
      <c r="X395" s="8">
        <f>VLOOKUP($B395,floorspace!$B$4:$O$12,'shell factors calc'!X$2+1,FALSE)</f>
        <v>1364.572754</v>
      </c>
      <c r="Y395" s="8">
        <f>VLOOKUP($B395,floorspace!$B$4:$O$12,'shell factors calc'!Y$2+1,FALSE)</f>
        <v>479.19305400000002</v>
      </c>
      <c r="Z395">
        <f t="shared" si="6"/>
        <v>0.52057701485278163</v>
      </c>
    </row>
    <row r="396" spans="1:26" x14ac:dyDescent="0.2">
      <c r="A396" s="5" t="s">
        <v>46</v>
      </c>
      <c r="B396" s="5" t="s">
        <v>39</v>
      </c>
      <c r="C396" s="6" t="s">
        <v>14</v>
      </c>
      <c r="D396" s="7">
        <v>0.47074199999999999</v>
      </c>
      <c r="E396">
        <v>0.46750700000000001</v>
      </c>
      <c r="F396">
        <v>0.78845600000000005</v>
      </c>
      <c r="G396">
        <v>0.72260899999999995</v>
      </c>
      <c r="H396">
        <v>0.59650899999999996</v>
      </c>
      <c r="I396">
        <v>0.54744000000000004</v>
      </c>
      <c r="J396">
        <v>0.57198199999999999</v>
      </c>
      <c r="K396">
        <v>0.51268400000000003</v>
      </c>
      <c r="L396">
        <v>0.46426200000000001</v>
      </c>
      <c r="M396">
        <v>0.54835100000000003</v>
      </c>
      <c r="N396">
        <v>0.53357299999999996</v>
      </c>
      <c r="O396" s="8">
        <f>VLOOKUP($B396,floorspace!$B$4:$O$12,'shell factors calc'!O$2+1,FALSE)</f>
        <v>976.43579099999999</v>
      </c>
      <c r="P396" s="8">
        <f>VLOOKUP($B396,floorspace!$B$4:$O$12,'shell factors calc'!P$2+1,FALSE)</f>
        <v>1383.6553960000001</v>
      </c>
      <c r="Q396" s="8">
        <f>VLOOKUP($B396,floorspace!$B$4:$O$12,'shell factors calc'!Q$2+1,FALSE)</f>
        <v>120.231117</v>
      </c>
      <c r="R396" s="8">
        <f>VLOOKUP($B396,floorspace!$B$4:$O$12,'shell factors calc'!R$2+1,FALSE)</f>
        <v>62.268970000000003</v>
      </c>
      <c r="S396" s="8">
        <f>VLOOKUP($B396,floorspace!$B$4:$O$12,'shell factors calc'!S$2+1,FALSE)</f>
        <v>136.81397999999999</v>
      </c>
      <c r="T396" s="8">
        <f>VLOOKUP($B396,floorspace!$B$4:$O$12,'shell factors calc'!T$2+1,FALSE)</f>
        <v>578.51654099999996</v>
      </c>
      <c r="U396" s="8">
        <f>VLOOKUP($B396,floorspace!$B$4:$O$12,'shell factors calc'!U$2+1,FALSE)</f>
        <v>696.50329599999998</v>
      </c>
      <c r="V396" s="8">
        <f>VLOOKUP($B396,floorspace!$B$4:$O$12,'shell factors calc'!V$2+1,FALSE)</f>
        <v>787.38818400000002</v>
      </c>
      <c r="W396" s="8">
        <f>VLOOKUP($B396,floorspace!$B$4:$O$12,'shell factors calc'!W$2+1,FALSE)</f>
        <v>1768.7573239999999</v>
      </c>
      <c r="X396" s="8">
        <f>VLOOKUP($B396,floorspace!$B$4:$O$12,'shell factors calc'!X$2+1,FALSE)</f>
        <v>1364.572754</v>
      </c>
      <c r="Y396" s="8">
        <f>VLOOKUP($B396,floorspace!$B$4:$O$12,'shell factors calc'!Y$2+1,FALSE)</f>
        <v>479.19305400000002</v>
      </c>
      <c r="Z396">
        <f t="shared" si="6"/>
        <v>0.51132842106505916</v>
      </c>
    </row>
    <row r="397" spans="1:26" x14ac:dyDescent="0.2">
      <c r="A397" s="5" t="s">
        <v>46</v>
      </c>
      <c r="B397" s="5" t="s">
        <v>39</v>
      </c>
      <c r="C397" s="6" t="s">
        <v>15</v>
      </c>
      <c r="D397" s="7">
        <v>0.46165800000000001</v>
      </c>
      <c r="E397">
        <v>0.45832800000000001</v>
      </c>
      <c r="F397">
        <v>0.77986599999999995</v>
      </c>
      <c r="G397">
        <v>0.71783399999999997</v>
      </c>
      <c r="H397">
        <v>0.58826199999999995</v>
      </c>
      <c r="I397">
        <v>0.53802899999999998</v>
      </c>
      <c r="J397">
        <v>0.56364499999999995</v>
      </c>
      <c r="K397">
        <v>0.50449200000000005</v>
      </c>
      <c r="L397">
        <v>0.454708</v>
      </c>
      <c r="M397">
        <v>0.53882799999999997</v>
      </c>
      <c r="N397">
        <v>0.52471800000000002</v>
      </c>
      <c r="O397" s="8">
        <f>VLOOKUP($B397,floorspace!$B$4:$O$12,'shell factors calc'!O$2+1,FALSE)</f>
        <v>976.43579099999999</v>
      </c>
      <c r="P397" s="8">
        <f>VLOOKUP($B397,floorspace!$B$4:$O$12,'shell factors calc'!P$2+1,FALSE)</f>
        <v>1383.6553960000001</v>
      </c>
      <c r="Q397" s="8">
        <f>VLOOKUP($B397,floorspace!$B$4:$O$12,'shell factors calc'!Q$2+1,FALSE)</f>
        <v>120.231117</v>
      </c>
      <c r="R397" s="8">
        <f>VLOOKUP($B397,floorspace!$B$4:$O$12,'shell factors calc'!R$2+1,FALSE)</f>
        <v>62.268970000000003</v>
      </c>
      <c r="S397" s="8">
        <f>VLOOKUP($B397,floorspace!$B$4:$O$12,'shell factors calc'!S$2+1,FALSE)</f>
        <v>136.81397999999999</v>
      </c>
      <c r="T397" s="8">
        <f>VLOOKUP($B397,floorspace!$B$4:$O$12,'shell factors calc'!T$2+1,FALSE)</f>
        <v>578.51654099999996</v>
      </c>
      <c r="U397" s="8">
        <f>VLOOKUP($B397,floorspace!$B$4:$O$12,'shell factors calc'!U$2+1,FALSE)</f>
        <v>696.50329599999998</v>
      </c>
      <c r="V397" s="8">
        <f>VLOOKUP($B397,floorspace!$B$4:$O$12,'shell factors calc'!V$2+1,FALSE)</f>
        <v>787.38818400000002</v>
      </c>
      <c r="W397" s="8">
        <f>VLOOKUP($B397,floorspace!$B$4:$O$12,'shell factors calc'!W$2+1,FALSE)</f>
        <v>1768.7573239999999</v>
      </c>
      <c r="X397" s="8">
        <f>VLOOKUP($B397,floorspace!$B$4:$O$12,'shell factors calc'!X$2+1,FALSE)</f>
        <v>1364.572754</v>
      </c>
      <c r="Y397" s="8">
        <f>VLOOKUP($B397,floorspace!$B$4:$O$12,'shell factors calc'!Y$2+1,FALSE)</f>
        <v>479.19305400000002</v>
      </c>
      <c r="Z397">
        <f t="shared" si="6"/>
        <v>0.50224724742282478</v>
      </c>
    </row>
    <row r="398" spans="1:26" x14ac:dyDescent="0.2">
      <c r="A398" s="5" t="s">
        <v>46</v>
      </c>
      <c r="B398" s="5" t="s">
        <v>39</v>
      </c>
      <c r="C398" s="6" t="s">
        <v>16</v>
      </c>
      <c r="D398" s="7">
        <v>0.45274999999999999</v>
      </c>
      <c r="E398">
        <v>0.44933000000000001</v>
      </c>
      <c r="F398">
        <v>0.77137</v>
      </c>
      <c r="G398">
        <v>0.71309</v>
      </c>
      <c r="H398">
        <v>0.58013000000000003</v>
      </c>
      <c r="I398">
        <v>0.52878000000000003</v>
      </c>
      <c r="J398">
        <v>0.55542999999999998</v>
      </c>
      <c r="K398">
        <v>0.49642999999999998</v>
      </c>
      <c r="L398">
        <v>0.44535000000000002</v>
      </c>
      <c r="M398">
        <v>0.52947</v>
      </c>
      <c r="N398">
        <v>0.51600999999999997</v>
      </c>
      <c r="O398" s="8">
        <f>VLOOKUP($B398,floorspace!$B$4:$O$12,'shell factors calc'!O$2+1,FALSE)</f>
        <v>976.43579099999999</v>
      </c>
      <c r="P398" s="8">
        <f>VLOOKUP($B398,floorspace!$B$4:$O$12,'shell factors calc'!P$2+1,FALSE)</f>
        <v>1383.6553960000001</v>
      </c>
      <c r="Q398" s="8">
        <f>VLOOKUP($B398,floorspace!$B$4:$O$12,'shell factors calc'!Q$2+1,FALSE)</f>
        <v>120.231117</v>
      </c>
      <c r="R398" s="8">
        <f>VLOOKUP($B398,floorspace!$B$4:$O$12,'shell factors calc'!R$2+1,FALSE)</f>
        <v>62.268970000000003</v>
      </c>
      <c r="S398" s="8">
        <f>VLOOKUP($B398,floorspace!$B$4:$O$12,'shell factors calc'!S$2+1,FALSE)</f>
        <v>136.81397999999999</v>
      </c>
      <c r="T398" s="8">
        <f>VLOOKUP($B398,floorspace!$B$4:$O$12,'shell factors calc'!T$2+1,FALSE)</f>
        <v>578.51654099999996</v>
      </c>
      <c r="U398" s="8">
        <f>VLOOKUP($B398,floorspace!$B$4:$O$12,'shell factors calc'!U$2+1,FALSE)</f>
        <v>696.50329599999998</v>
      </c>
      <c r="V398" s="8">
        <f>VLOOKUP($B398,floorspace!$B$4:$O$12,'shell factors calc'!V$2+1,FALSE)</f>
        <v>787.38818400000002</v>
      </c>
      <c r="W398" s="8">
        <f>VLOOKUP($B398,floorspace!$B$4:$O$12,'shell factors calc'!W$2+1,FALSE)</f>
        <v>1768.7573239999999</v>
      </c>
      <c r="X398" s="8">
        <f>VLOOKUP($B398,floorspace!$B$4:$O$12,'shell factors calc'!X$2+1,FALSE)</f>
        <v>1364.572754</v>
      </c>
      <c r="Y398" s="8">
        <f>VLOOKUP($B398,floorspace!$B$4:$O$12,'shell factors calc'!Y$2+1,FALSE)</f>
        <v>479.19305400000002</v>
      </c>
      <c r="Z398">
        <f t="shared" si="6"/>
        <v>0.49333060939350093</v>
      </c>
    </row>
    <row r="399" spans="1:26" x14ac:dyDescent="0.2">
      <c r="A399" s="5" t="s">
        <v>46</v>
      </c>
      <c r="B399" s="5" t="s">
        <v>39</v>
      </c>
      <c r="C399" s="6" t="s">
        <v>17</v>
      </c>
      <c r="D399" s="7">
        <v>0.44197500000000001</v>
      </c>
      <c r="E399">
        <v>0.43840099999999999</v>
      </c>
      <c r="F399">
        <v>0.76625900000000002</v>
      </c>
      <c r="G399">
        <v>0.70807100000000001</v>
      </c>
      <c r="H399">
        <v>0.57086899999999996</v>
      </c>
      <c r="I399">
        <v>0.51785499999999995</v>
      </c>
      <c r="J399">
        <v>0.54600099999999996</v>
      </c>
      <c r="K399">
        <v>0.48703400000000002</v>
      </c>
      <c r="L399">
        <v>0.43386000000000002</v>
      </c>
      <c r="M399">
        <v>0.51839599999999997</v>
      </c>
      <c r="N399">
        <v>0.50579200000000002</v>
      </c>
      <c r="O399" s="8">
        <f>VLOOKUP($B399,floorspace!$B$4:$O$12,'shell factors calc'!O$2+1,FALSE)</f>
        <v>976.43579099999999</v>
      </c>
      <c r="P399" s="8">
        <f>VLOOKUP($B399,floorspace!$B$4:$O$12,'shell factors calc'!P$2+1,FALSE)</f>
        <v>1383.6553960000001</v>
      </c>
      <c r="Q399" s="8">
        <f>VLOOKUP($B399,floorspace!$B$4:$O$12,'shell factors calc'!Q$2+1,FALSE)</f>
        <v>120.231117</v>
      </c>
      <c r="R399" s="8">
        <f>VLOOKUP($B399,floorspace!$B$4:$O$12,'shell factors calc'!R$2+1,FALSE)</f>
        <v>62.268970000000003</v>
      </c>
      <c r="S399" s="8">
        <f>VLOOKUP($B399,floorspace!$B$4:$O$12,'shell factors calc'!S$2+1,FALSE)</f>
        <v>136.81397999999999</v>
      </c>
      <c r="T399" s="8">
        <f>VLOOKUP($B399,floorspace!$B$4:$O$12,'shell factors calc'!T$2+1,FALSE)</f>
        <v>578.51654099999996</v>
      </c>
      <c r="U399" s="8">
        <f>VLOOKUP($B399,floorspace!$B$4:$O$12,'shell factors calc'!U$2+1,FALSE)</f>
        <v>696.50329599999998</v>
      </c>
      <c r="V399" s="8">
        <f>VLOOKUP($B399,floorspace!$B$4:$O$12,'shell factors calc'!V$2+1,FALSE)</f>
        <v>787.38818400000002</v>
      </c>
      <c r="W399" s="8">
        <f>VLOOKUP($B399,floorspace!$B$4:$O$12,'shell factors calc'!W$2+1,FALSE)</f>
        <v>1768.7573239999999</v>
      </c>
      <c r="X399" s="8">
        <f>VLOOKUP($B399,floorspace!$B$4:$O$12,'shell factors calc'!X$2+1,FALSE)</f>
        <v>1364.572754</v>
      </c>
      <c r="Y399" s="8">
        <f>VLOOKUP($B399,floorspace!$B$4:$O$12,'shell factors calc'!Y$2+1,FALSE)</f>
        <v>479.19305400000002</v>
      </c>
      <c r="Z399">
        <f t="shared" si="6"/>
        <v>0.48274284493783531</v>
      </c>
    </row>
    <row r="400" spans="1:26" x14ac:dyDescent="0.2">
      <c r="A400" s="5" t="s">
        <v>46</v>
      </c>
      <c r="B400" s="5" t="s">
        <v>39</v>
      </c>
      <c r="C400" s="6" t="s">
        <v>18</v>
      </c>
      <c r="D400" s="7">
        <v>0.43145699999999998</v>
      </c>
      <c r="E400">
        <v>0.42773800000000001</v>
      </c>
      <c r="F400">
        <v>0.76118200000000003</v>
      </c>
      <c r="G400">
        <v>0.70308700000000002</v>
      </c>
      <c r="H400">
        <v>0.56175600000000003</v>
      </c>
      <c r="I400">
        <v>0.50715600000000005</v>
      </c>
      <c r="J400">
        <v>0.53673300000000002</v>
      </c>
      <c r="K400">
        <v>0.47781499999999999</v>
      </c>
      <c r="L400">
        <v>0.42266599999999999</v>
      </c>
      <c r="M400">
        <v>0.50755300000000003</v>
      </c>
      <c r="N400">
        <v>0.49577599999999999</v>
      </c>
      <c r="O400" s="8">
        <f>VLOOKUP($B400,floorspace!$B$4:$O$12,'shell factors calc'!O$2+1,FALSE)</f>
        <v>976.43579099999999</v>
      </c>
      <c r="P400" s="8">
        <f>VLOOKUP($B400,floorspace!$B$4:$O$12,'shell factors calc'!P$2+1,FALSE)</f>
        <v>1383.6553960000001</v>
      </c>
      <c r="Q400" s="8">
        <f>VLOOKUP($B400,floorspace!$B$4:$O$12,'shell factors calc'!Q$2+1,FALSE)</f>
        <v>120.231117</v>
      </c>
      <c r="R400" s="8">
        <f>VLOOKUP($B400,floorspace!$B$4:$O$12,'shell factors calc'!R$2+1,FALSE)</f>
        <v>62.268970000000003</v>
      </c>
      <c r="S400" s="8">
        <f>VLOOKUP($B400,floorspace!$B$4:$O$12,'shell factors calc'!S$2+1,FALSE)</f>
        <v>136.81397999999999</v>
      </c>
      <c r="T400" s="8">
        <f>VLOOKUP($B400,floorspace!$B$4:$O$12,'shell factors calc'!T$2+1,FALSE)</f>
        <v>578.51654099999996</v>
      </c>
      <c r="U400" s="8">
        <f>VLOOKUP($B400,floorspace!$B$4:$O$12,'shell factors calc'!U$2+1,FALSE)</f>
        <v>696.50329599999998</v>
      </c>
      <c r="V400" s="8">
        <f>VLOOKUP($B400,floorspace!$B$4:$O$12,'shell factors calc'!V$2+1,FALSE)</f>
        <v>787.38818400000002</v>
      </c>
      <c r="W400" s="8">
        <f>VLOOKUP($B400,floorspace!$B$4:$O$12,'shell factors calc'!W$2+1,FALSE)</f>
        <v>1768.7573239999999</v>
      </c>
      <c r="X400" s="8">
        <f>VLOOKUP($B400,floorspace!$B$4:$O$12,'shell factors calc'!X$2+1,FALSE)</f>
        <v>1364.572754</v>
      </c>
      <c r="Y400" s="8">
        <f>VLOOKUP($B400,floorspace!$B$4:$O$12,'shell factors calc'!Y$2+1,FALSE)</f>
        <v>479.19305400000002</v>
      </c>
      <c r="Z400">
        <f t="shared" si="6"/>
        <v>0.47239008742077265</v>
      </c>
    </row>
    <row r="401" spans="1:26" x14ac:dyDescent="0.2">
      <c r="A401" s="5" t="s">
        <v>46</v>
      </c>
      <c r="B401" s="5" t="s">
        <v>39</v>
      </c>
      <c r="C401" s="6" t="s">
        <v>19</v>
      </c>
      <c r="D401" s="7">
        <v>0.42118899999999998</v>
      </c>
      <c r="E401">
        <v>0.41733500000000001</v>
      </c>
      <c r="F401">
        <v>0.75613900000000001</v>
      </c>
      <c r="G401">
        <v>0.69813899999999995</v>
      </c>
      <c r="H401">
        <v>0.55278899999999997</v>
      </c>
      <c r="I401">
        <v>0.49667800000000001</v>
      </c>
      <c r="J401">
        <v>0.52762200000000004</v>
      </c>
      <c r="K401">
        <v>0.46877099999999999</v>
      </c>
      <c r="L401">
        <v>0.41176099999999999</v>
      </c>
      <c r="M401">
        <v>0.49693700000000002</v>
      </c>
      <c r="N401">
        <v>0.48595899999999997</v>
      </c>
      <c r="O401" s="8">
        <f>VLOOKUP($B401,floorspace!$B$4:$O$12,'shell factors calc'!O$2+1,FALSE)</f>
        <v>976.43579099999999</v>
      </c>
      <c r="P401" s="8">
        <f>VLOOKUP($B401,floorspace!$B$4:$O$12,'shell factors calc'!P$2+1,FALSE)</f>
        <v>1383.6553960000001</v>
      </c>
      <c r="Q401" s="8">
        <f>VLOOKUP($B401,floorspace!$B$4:$O$12,'shell factors calc'!Q$2+1,FALSE)</f>
        <v>120.231117</v>
      </c>
      <c r="R401" s="8">
        <f>VLOOKUP($B401,floorspace!$B$4:$O$12,'shell factors calc'!R$2+1,FALSE)</f>
        <v>62.268970000000003</v>
      </c>
      <c r="S401" s="8">
        <f>VLOOKUP($B401,floorspace!$B$4:$O$12,'shell factors calc'!S$2+1,FALSE)</f>
        <v>136.81397999999999</v>
      </c>
      <c r="T401" s="8">
        <f>VLOOKUP($B401,floorspace!$B$4:$O$12,'shell factors calc'!T$2+1,FALSE)</f>
        <v>578.51654099999996</v>
      </c>
      <c r="U401" s="8">
        <f>VLOOKUP($B401,floorspace!$B$4:$O$12,'shell factors calc'!U$2+1,FALSE)</f>
        <v>696.50329599999998</v>
      </c>
      <c r="V401" s="8">
        <f>VLOOKUP($B401,floorspace!$B$4:$O$12,'shell factors calc'!V$2+1,FALSE)</f>
        <v>787.38818400000002</v>
      </c>
      <c r="W401" s="8">
        <f>VLOOKUP($B401,floorspace!$B$4:$O$12,'shell factors calc'!W$2+1,FALSE)</f>
        <v>1768.7573239999999</v>
      </c>
      <c r="X401" s="8">
        <f>VLOOKUP($B401,floorspace!$B$4:$O$12,'shell factors calc'!X$2+1,FALSE)</f>
        <v>1364.572754</v>
      </c>
      <c r="Y401" s="8">
        <f>VLOOKUP($B401,floorspace!$B$4:$O$12,'shell factors calc'!Y$2+1,FALSE)</f>
        <v>479.19305400000002</v>
      </c>
      <c r="Z401">
        <f t="shared" si="6"/>
        <v>0.46226732401022569</v>
      </c>
    </row>
    <row r="402" spans="1:26" x14ac:dyDescent="0.2">
      <c r="A402" s="5" t="s">
        <v>46</v>
      </c>
      <c r="B402" s="5" t="s">
        <v>39</v>
      </c>
      <c r="C402" s="6" t="s">
        <v>20</v>
      </c>
      <c r="D402" s="7">
        <v>0.41116599999999998</v>
      </c>
      <c r="E402">
        <v>0.40718399999999999</v>
      </c>
      <c r="F402">
        <v>0.75112900000000005</v>
      </c>
      <c r="G402">
        <v>0.69322499999999998</v>
      </c>
      <c r="H402">
        <v>0.54396500000000003</v>
      </c>
      <c r="I402">
        <v>0.48641699999999999</v>
      </c>
      <c r="J402">
        <v>0.51866500000000004</v>
      </c>
      <c r="K402">
        <v>0.459899</v>
      </c>
      <c r="L402">
        <v>0.40113700000000002</v>
      </c>
      <c r="M402">
        <v>0.486543</v>
      </c>
      <c r="N402">
        <v>0.47633599999999998</v>
      </c>
      <c r="O402" s="8">
        <f>VLOOKUP($B402,floorspace!$B$4:$O$12,'shell factors calc'!O$2+1,FALSE)</f>
        <v>976.43579099999999</v>
      </c>
      <c r="P402" s="8">
        <f>VLOOKUP($B402,floorspace!$B$4:$O$12,'shell factors calc'!P$2+1,FALSE)</f>
        <v>1383.6553960000001</v>
      </c>
      <c r="Q402" s="8">
        <f>VLOOKUP($B402,floorspace!$B$4:$O$12,'shell factors calc'!Q$2+1,FALSE)</f>
        <v>120.231117</v>
      </c>
      <c r="R402" s="8">
        <f>VLOOKUP($B402,floorspace!$B$4:$O$12,'shell factors calc'!R$2+1,FALSE)</f>
        <v>62.268970000000003</v>
      </c>
      <c r="S402" s="8">
        <f>VLOOKUP($B402,floorspace!$B$4:$O$12,'shell factors calc'!S$2+1,FALSE)</f>
        <v>136.81397999999999</v>
      </c>
      <c r="T402" s="8">
        <f>VLOOKUP($B402,floorspace!$B$4:$O$12,'shell factors calc'!T$2+1,FALSE)</f>
        <v>578.51654099999996</v>
      </c>
      <c r="U402" s="8">
        <f>VLOOKUP($B402,floorspace!$B$4:$O$12,'shell factors calc'!U$2+1,FALSE)</f>
        <v>696.50329599999998</v>
      </c>
      <c r="V402" s="8">
        <f>VLOOKUP($B402,floorspace!$B$4:$O$12,'shell factors calc'!V$2+1,FALSE)</f>
        <v>787.38818400000002</v>
      </c>
      <c r="W402" s="8">
        <f>VLOOKUP($B402,floorspace!$B$4:$O$12,'shell factors calc'!W$2+1,FALSE)</f>
        <v>1768.7573239999999</v>
      </c>
      <c r="X402" s="8">
        <f>VLOOKUP($B402,floorspace!$B$4:$O$12,'shell factors calc'!X$2+1,FALSE)</f>
        <v>1364.572754</v>
      </c>
      <c r="Y402" s="8">
        <f>VLOOKUP($B402,floorspace!$B$4:$O$12,'shell factors calc'!Y$2+1,FALSE)</f>
        <v>479.19305400000002</v>
      </c>
      <c r="Z402">
        <f t="shared" si="6"/>
        <v>0.45236895985591835</v>
      </c>
    </row>
    <row r="403" spans="1:26" x14ac:dyDescent="0.2">
      <c r="A403" s="5" t="s">
        <v>46</v>
      </c>
      <c r="B403" s="5" t="s">
        <v>39</v>
      </c>
      <c r="C403" s="6" t="s">
        <v>21</v>
      </c>
      <c r="D403" s="7">
        <v>0.40138099999999999</v>
      </c>
      <c r="E403">
        <v>0.39728000000000002</v>
      </c>
      <c r="F403">
        <v>0.74615299999999996</v>
      </c>
      <c r="G403">
        <v>0.68834600000000001</v>
      </c>
      <c r="H403">
        <v>0.53528100000000001</v>
      </c>
      <c r="I403">
        <v>0.47636699999999998</v>
      </c>
      <c r="J403">
        <v>0.50986100000000001</v>
      </c>
      <c r="K403">
        <v>0.45119399999999998</v>
      </c>
      <c r="L403">
        <v>0.39078800000000002</v>
      </c>
      <c r="M403">
        <v>0.47636699999999998</v>
      </c>
      <c r="N403">
        <v>0.46690300000000001</v>
      </c>
      <c r="O403" s="8">
        <f>VLOOKUP($B403,floorspace!$B$4:$O$12,'shell factors calc'!O$2+1,FALSE)</f>
        <v>976.43579099999999</v>
      </c>
      <c r="P403" s="8">
        <f>VLOOKUP($B403,floorspace!$B$4:$O$12,'shell factors calc'!P$2+1,FALSE)</f>
        <v>1383.6553960000001</v>
      </c>
      <c r="Q403" s="8">
        <f>VLOOKUP($B403,floorspace!$B$4:$O$12,'shell factors calc'!Q$2+1,FALSE)</f>
        <v>120.231117</v>
      </c>
      <c r="R403" s="8">
        <f>VLOOKUP($B403,floorspace!$B$4:$O$12,'shell factors calc'!R$2+1,FALSE)</f>
        <v>62.268970000000003</v>
      </c>
      <c r="S403" s="8">
        <f>VLOOKUP($B403,floorspace!$B$4:$O$12,'shell factors calc'!S$2+1,FALSE)</f>
        <v>136.81397999999999</v>
      </c>
      <c r="T403" s="8">
        <f>VLOOKUP($B403,floorspace!$B$4:$O$12,'shell factors calc'!T$2+1,FALSE)</f>
        <v>578.51654099999996</v>
      </c>
      <c r="U403" s="8">
        <f>VLOOKUP($B403,floorspace!$B$4:$O$12,'shell factors calc'!U$2+1,FALSE)</f>
        <v>696.50329599999998</v>
      </c>
      <c r="V403" s="8">
        <f>VLOOKUP($B403,floorspace!$B$4:$O$12,'shell factors calc'!V$2+1,FALSE)</f>
        <v>787.38818400000002</v>
      </c>
      <c r="W403" s="8">
        <f>VLOOKUP($B403,floorspace!$B$4:$O$12,'shell factors calc'!W$2+1,FALSE)</f>
        <v>1768.7573239999999</v>
      </c>
      <c r="X403" s="8">
        <f>VLOOKUP($B403,floorspace!$B$4:$O$12,'shell factors calc'!X$2+1,FALSE)</f>
        <v>1364.572754</v>
      </c>
      <c r="Y403" s="8">
        <f>VLOOKUP($B403,floorspace!$B$4:$O$12,'shell factors calc'!Y$2+1,FALSE)</f>
        <v>479.19305400000002</v>
      </c>
      <c r="Z403">
        <f t="shared" si="6"/>
        <v>0.44269019823695532</v>
      </c>
    </row>
    <row r="404" spans="1:26" x14ac:dyDescent="0.2">
      <c r="A404" s="5" t="s">
        <v>46</v>
      </c>
      <c r="B404" s="5" t="s">
        <v>39</v>
      </c>
      <c r="C404" s="6" t="s">
        <v>22</v>
      </c>
      <c r="D404" s="7">
        <v>0.39182899999999998</v>
      </c>
      <c r="E404">
        <v>0.38761800000000002</v>
      </c>
      <c r="F404">
        <v>0.74120900000000001</v>
      </c>
      <c r="G404">
        <v>0.68350100000000003</v>
      </c>
      <c r="H404">
        <v>0.52673700000000001</v>
      </c>
      <c r="I404">
        <v>0.46652500000000002</v>
      </c>
      <c r="J404">
        <v>0.50120600000000004</v>
      </c>
      <c r="K404">
        <v>0.44265399999999999</v>
      </c>
      <c r="L404">
        <v>0.38070500000000002</v>
      </c>
      <c r="M404">
        <v>0.46640300000000001</v>
      </c>
      <c r="N404">
        <v>0.45765800000000001</v>
      </c>
      <c r="O404" s="8">
        <f>VLOOKUP($B404,floorspace!$B$4:$O$12,'shell factors calc'!O$2+1,FALSE)</f>
        <v>976.43579099999999</v>
      </c>
      <c r="P404" s="8">
        <f>VLOOKUP($B404,floorspace!$B$4:$O$12,'shell factors calc'!P$2+1,FALSE)</f>
        <v>1383.6553960000001</v>
      </c>
      <c r="Q404" s="8">
        <f>VLOOKUP($B404,floorspace!$B$4:$O$12,'shell factors calc'!Q$2+1,FALSE)</f>
        <v>120.231117</v>
      </c>
      <c r="R404" s="8">
        <f>VLOOKUP($B404,floorspace!$B$4:$O$12,'shell factors calc'!R$2+1,FALSE)</f>
        <v>62.268970000000003</v>
      </c>
      <c r="S404" s="8">
        <f>VLOOKUP($B404,floorspace!$B$4:$O$12,'shell factors calc'!S$2+1,FALSE)</f>
        <v>136.81397999999999</v>
      </c>
      <c r="T404" s="8">
        <f>VLOOKUP($B404,floorspace!$B$4:$O$12,'shell factors calc'!T$2+1,FALSE)</f>
        <v>578.51654099999996</v>
      </c>
      <c r="U404" s="8">
        <f>VLOOKUP($B404,floorspace!$B$4:$O$12,'shell factors calc'!U$2+1,FALSE)</f>
        <v>696.50329599999998</v>
      </c>
      <c r="V404" s="8">
        <f>VLOOKUP($B404,floorspace!$B$4:$O$12,'shell factors calc'!V$2+1,FALSE)</f>
        <v>787.38818400000002</v>
      </c>
      <c r="W404" s="8">
        <f>VLOOKUP($B404,floorspace!$B$4:$O$12,'shell factors calc'!W$2+1,FALSE)</f>
        <v>1768.7573239999999</v>
      </c>
      <c r="X404" s="8">
        <f>VLOOKUP($B404,floorspace!$B$4:$O$12,'shell factors calc'!X$2+1,FALSE)</f>
        <v>1364.572754</v>
      </c>
      <c r="Y404" s="8">
        <f>VLOOKUP($B404,floorspace!$B$4:$O$12,'shell factors calc'!Y$2+1,FALSE)</f>
        <v>479.19305400000002</v>
      </c>
      <c r="Z404">
        <f t="shared" si="6"/>
        <v>0.43322586050565559</v>
      </c>
    </row>
    <row r="405" spans="1:26" x14ac:dyDescent="0.2">
      <c r="A405" s="5" t="s">
        <v>46</v>
      </c>
      <c r="B405" s="5" t="s">
        <v>39</v>
      </c>
      <c r="C405" s="6" t="s">
        <v>23</v>
      </c>
      <c r="D405" s="7">
        <v>0.38250400000000001</v>
      </c>
      <c r="E405">
        <v>0.37819000000000003</v>
      </c>
      <c r="F405">
        <v>0.73629800000000001</v>
      </c>
      <c r="G405">
        <v>0.67869000000000002</v>
      </c>
      <c r="H405">
        <v>0.51832800000000001</v>
      </c>
      <c r="I405">
        <v>0.45688699999999999</v>
      </c>
      <c r="J405">
        <v>0.49269800000000002</v>
      </c>
      <c r="K405">
        <v>0.434276</v>
      </c>
      <c r="L405">
        <v>0.37088300000000002</v>
      </c>
      <c r="M405">
        <v>0.456648</v>
      </c>
      <c r="N405">
        <v>0.44859500000000002</v>
      </c>
      <c r="O405" s="8">
        <f>VLOOKUP($B405,floorspace!$B$4:$O$12,'shell factors calc'!O$2+1,FALSE)</f>
        <v>976.43579099999999</v>
      </c>
      <c r="P405" s="8">
        <f>VLOOKUP($B405,floorspace!$B$4:$O$12,'shell factors calc'!P$2+1,FALSE)</f>
        <v>1383.6553960000001</v>
      </c>
      <c r="Q405" s="8">
        <f>VLOOKUP($B405,floorspace!$B$4:$O$12,'shell factors calc'!Q$2+1,FALSE)</f>
        <v>120.231117</v>
      </c>
      <c r="R405" s="8">
        <f>VLOOKUP($B405,floorspace!$B$4:$O$12,'shell factors calc'!R$2+1,FALSE)</f>
        <v>62.268970000000003</v>
      </c>
      <c r="S405" s="8">
        <f>VLOOKUP($B405,floorspace!$B$4:$O$12,'shell factors calc'!S$2+1,FALSE)</f>
        <v>136.81397999999999</v>
      </c>
      <c r="T405" s="8">
        <f>VLOOKUP($B405,floorspace!$B$4:$O$12,'shell factors calc'!T$2+1,FALSE)</f>
        <v>578.51654099999996</v>
      </c>
      <c r="U405" s="8">
        <f>VLOOKUP($B405,floorspace!$B$4:$O$12,'shell factors calc'!U$2+1,FALSE)</f>
        <v>696.50329599999998</v>
      </c>
      <c r="V405" s="8">
        <f>VLOOKUP($B405,floorspace!$B$4:$O$12,'shell factors calc'!V$2+1,FALSE)</f>
        <v>787.38818400000002</v>
      </c>
      <c r="W405" s="8">
        <f>VLOOKUP($B405,floorspace!$B$4:$O$12,'shell factors calc'!W$2+1,FALSE)</f>
        <v>1768.7573239999999</v>
      </c>
      <c r="X405" s="8">
        <f>VLOOKUP($B405,floorspace!$B$4:$O$12,'shell factors calc'!X$2+1,FALSE)</f>
        <v>1364.572754</v>
      </c>
      <c r="Y405" s="8">
        <f>VLOOKUP($B405,floorspace!$B$4:$O$12,'shell factors calc'!Y$2+1,FALSE)</f>
        <v>479.19305400000002</v>
      </c>
      <c r="Z405">
        <f t="shared" si="6"/>
        <v>0.42397123370873419</v>
      </c>
    </row>
    <row r="406" spans="1:26" x14ac:dyDescent="0.2">
      <c r="A406" s="5" t="s">
        <v>46</v>
      </c>
      <c r="B406" s="5" t="s">
        <v>39</v>
      </c>
      <c r="C406" s="6" t="s">
        <v>24</v>
      </c>
      <c r="D406" s="7">
        <v>0.37340099999999998</v>
      </c>
      <c r="E406">
        <v>0.36899100000000001</v>
      </c>
      <c r="F406">
        <v>0.73141999999999996</v>
      </c>
      <c r="G406">
        <v>0.67391299999999998</v>
      </c>
      <c r="H406">
        <v>0.51005400000000001</v>
      </c>
      <c r="I406">
        <v>0.44744800000000001</v>
      </c>
      <c r="J406">
        <v>0.48433399999999999</v>
      </c>
      <c r="K406">
        <v>0.42605599999999999</v>
      </c>
      <c r="L406">
        <v>0.36131400000000002</v>
      </c>
      <c r="M406">
        <v>0.44709700000000002</v>
      </c>
      <c r="N406">
        <v>0.43971199999999999</v>
      </c>
      <c r="O406" s="8">
        <f>VLOOKUP($B406,floorspace!$B$4:$O$12,'shell factors calc'!O$2+1,FALSE)</f>
        <v>976.43579099999999</v>
      </c>
      <c r="P406" s="8">
        <f>VLOOKUP($B406,floorspace!$B$4:$O$12,'shell factors calc'!P$2+1,FALSE)</f>
        <v>1383.6553960000001</v>
      </c>
      <c r="Q406" s="8">
        <f>VLOOKUP($B406,floorspace!$B$4:$O$12,'shell factors calc'!Q$2+1,FALSE)</f>
        <v>120.231117</v>
      </c>
      <c r="R406" s="8">
        <f>VLOOKUP($B406,floorspace!$B$4:$O$12,'shell factors calc'!R$2+1,FALSE)</f>
        <v>62.268970000000003</v>
      </c>
      <c r="S406" s="8">
        <f>VLOOKUP($B406,floorspace!$B$4:$O$12,'shell factors calc'!S$2+1,FALSE)</f>
        <v>136.81397999999999</v>
      </c>
      <c r="T406" s="8">
        <f>VLOOKUP($B406,floorspace!$B$4:$O$12,'shell factors calc'!T$2+1,FALSE)</f>
        <v>578.51654099999996</v>
      </c>
      <c r="U406" s="8">
        <f>VLOOKUP($B406,floorspace!$B$4:$O$12,'shell factors calc'!U$2+1,FALSE)</f>
        <v>696.50329599999998</v>
      </c>
      <c r="V406" s="8">
        <f>VLOOKUP($B406,floorspace!$B$4:$O$12,'shell factors calc'!V$2+1,FALSE)</f>
        <v>787.38818400000002</v>
      </c>
      <c r="W406" s="8">
        <f>VLOOKUP($B406,floorspace!$B$4:$O$12,'shell factors calc'!W$2+1,FALSE)</f>
        <v>1768.7573239999999</v>
      </c>
      <c r="X406" s="8">
        <f>VLOOKUP($B406,floorspace!$B$4:$O$12,'shell factors calc'!X$2+1,FALSE)</f>
        <v>1364.572754</v>
      </c>
      <c r="Y406" s="8">
        <f>VLOOKUP($B406,floorspace!$B$4:$O$12,'shell factors calc'!Y$2+1,FALSE)</f>
        <v>479.19305400000002</v>
      </c>
      <c r="Z406">
        <f t="shared" si="6"/>
        <v>0.41492130686654016</v>
      </c>
    </row>
    <row r="407" spans="1:26" x14ac:dyDescent="0.2">
      <c r="A407" s="5" t="s">
        <v>46</v>
      </c>
      <c r="B407" s="5" t="s">
        <v>39</v>
      </c>
      <c r="C407" s="6" t="s">
        <v>25</v>
      </c>
      <c r="D407" s="7">
        <v>0.36451499999999998</v>
      </c>
      <c r="E407">
        <v>0.36001699999999998</v>
      </c>
      <c r="F407">
        <v>0.72657400000000005</v>
      </c>
      <c r="G407">
        <v>0.66917000000000004</v>
      </c>
      <c r="H407">
        <v>0.50191200000000002</v>
      </c>
      <c r="I407">
        <v>0.43820300000000001</v>
      </c>
      <c r="J407">
        <v>0.47611199999999998</v>
      </c>
      <c r="K407">
        <v>0.417991</v>
      </c>
      <c r="L407">
        <v>0.35199200000000003</v>
      </c>
      <c r="M407">
        <v>0.43774600000000002</v>
      </c>
      <c r="N407">
        <v>0.43100500000000003</v>
      </c>
      <c r="O407" s="8">
        <f>VLOOKUP($B407,floorspace!$B$4:$O$12,'shell factors calc'!O$2+1,FALSE)</f>
        <v>976.43579099999999</v>
      </c>
      <c r="P407" s="8">
        <f>VLOOKUP($B407,floorspace!$B$4:$O$12,'shell factors calc'!P$2+1,FALSE)</f>
        <v>1383.6553960000001</v>
      </c>
      <c r="Q407" s="8">
        <f>VLOOKUP($B407,floorspace!$B$4:$O$12,'shell factors calc'!Q$2+1,FALSE)</f>
        <v>120.231117</v>
      </c>
      <c r="R407" s="8">
        <f>VLOOKUP($B407,floorspace!$B$4:$O$12,'shell factors calc'!R$2+1,FALSE)</f>
        <v>62.268970000000003</v>
      </c>
      <c r="S407" s="8">
        <f>VLOOKUP($B407,floorspace!$B$4:$O$12,'shell factors calc'!S$2+1,FALSE)</f>
        <v>136.81397999999999</v>
      </c>
      <c r="T407" s="8">
        <f>VLOOKUP($B407,floorspace!$B$4:$O$12,'shell factors calc'!T$2+1,FALSE)</f>
        <v>578.51654099999996</v>
      </c>
      <c r="U407" s="8">
        <f>VLOOKUP($B407,floorspace!$B$4:$O$12,'shell factors calc'!U$2+1,FALSE)</f>
        <v>696.50329599999998</v>
      </c>
      <c r="V407" s="8">
        <f>VLOOKUP($B407,floorspace!$B$4:$O$12,'shell factors calc'!V$2+1,FALSE)</f>
        <v>787.38818400000002</v>
      </c>
      <c r="W407" s="8">
        <f>VLOOKUP($B407,floorspace!$B$4:$O$12,'shell factors calc'!W$2+1,FALSE)</f>
        <v>1768.7573239999999</v>
      </c>
      <c r="X407" s="8">
        <f>VLOOKUP($B407,floorspace!$B$4:$O$12,'shell factors calc'!X$2+1,FALSE)</f>
        <v>1364.572754</v>
      </c>
      <c r="Y407" s="8">
        <f>VLOOKUP($B407,floorspace!$B$4:$O$12,'shell factors calc'!Y$2+1,FALSE)</f>
        <v>479.19305400000002</v>
      </c>
      <c r="Z407">
        <f t="shared" si="6"/>
        <v>0.40607182077368748</v>
      </c>
    </row>
    <row r="408" spans="1:26" x14ac:dyDescent="0.2">
      <c r="A408" s="5" t="s">
        <v>46</v>
      </c>
      <c r="B408" s="5" t="s">
        <v>39</v>
      </c>
      <c r="C408" s="6" t="s">
        <v>26</v>
      </c>
      <c r="D408" s="7">
        <v>0.35583999999999999</v>
      </c>
      <c r="E408">
        <v>0.35126000000000002</v>
      </c>
      <c r="F408">
        <v>0.72175999999999996</v>
      </c>
      <c r="G408">
        <v>0.66446000000000005</v>
      </c>
      <c r="H408">
        <v>0.49390000000000001</v>
      </c>
      <c r="I408">
        <v>0.42914999999999998</v>
      </c>
      <c r="J408">
        <v>0.46803</v>
      </c>
      <c r="K408">
        <v>0.41008</v>
      </c>
      <c r="L408">
        <v>0.34290999999999999</v>
      </c>
      <c r="M408">
        <v>0.42859000000000003</v>
      </c>
      <c r="N408">
        <v>0.42247000000000001</v>
      </c>
      <c r="O408" s="8">
        <f>VLOOKUP($B408,floorspace!$B$4:$O$12,'shell factors calc'!O$2+1,FALSE)</f>
        <v>976.43579099999999</v>
      </c>
      <c r="P408" s="8">
        <f>VLOOKUP($B408,floorspace!$B$4:$O$12,'shell factors calc'!P$2+1,FALSE)</f>
        <v>1383.6553960000001</v>
      </c>
      <c r="Q408" s="8">
        <f>VLOOKUP($B408,floorspace!$B$4:$O$12,'shell factors calc'!Q$2+1,FALSE)</f>
        <v>120.231117</v>
      </c>
      <c r="R408" s="8">
        <f>VLOOKUP($B408,floorspace!$B$4:$O$12,'shell factors calc'!R$2+1,FALSE)</f>
        <v>62.268970000000003</v>
      </c>
      <c r="S408" s="8">
        <f>VLOOKUP($B408,floorspace!$B$4:$O$12,'shell factors calc'!S$2+1,FALSE)</f>
        <v>136.81397999999999</v>
      </c>
      <c r="T408" s="8">
        <f>VLOOKUP($B408,floorspace!$B$4:$O$12,'shell factors calc'!T$2+1,FALSE)</f>
        <v>578.51654099999996</v>
      </c>
      <c r="U408" s="8">
        <f>VLOOKUP($B408,floorspace!$B$4:$O$12,'shell factors calc'!U$2+1,FALSE)</f>
        <v>696.50329599999998</v>
      </c>
      <c r="V408" s="8">
        <f>VLOOKUP($B408,floorspace!$B$4:$O$12,'shell factors calc'!V$2+1,FALSE)</f>
        <v>787.38818400000002</v>
      </c>
      <c r="W408" s="8">
        <f>VLOOKUP($B408,floorspace!$B$4:$O$12,'shell factors calc'!W$2+1,FALSE)</f>
        <v>1768.7573239999999</v>
      </c>
      <c r="X408" s="8">
        <f>VLOOKUP($B408,floorspace!$B$4:$O$12,'shell factors calc'!X$2+1,FALSE)</f>
        <v>1364.572754</v>
      </c>
      <c r="Y408" s="8">
        <f>VLOOKUP($B408,floorspace!$B$4:$O$12,'shell factors calc'!Y$2+1,FALSE)</f>
        <v>479.19305400000002</v>
      </c>
      <c r="Z408">
        <f t="shared" si="6"/>
        <v>0.39741778136267358</v>
      </c>
    </row>
    <row r="409" spans="1:26" x14ac:dyDescent="0.2">
      <c r="A409" s="5" t="s">
        <v>46</v>
      </c>
      <c r="B409" s="5" t="s">
        <v>39</v>
      </c>
      <c r="C409" s="6" t="s">
        <v>27</v>
      </c>
      <c r="D409" s="7">
        <v>0.34476699999999999</v>
      </c>
      <c r="E409">
        <v>0.34001100000000001</v>
      </c>
      <c r="F409">
        <v>0.716978</v>
      </c>
      <c r="G409">
        <v>0.65945399999999998</v>
      </c>
      <c r="H409">
        <v>0.48456500000000002</v>
      </c>
      <c r="I409">
        <v>0.418022</v>
      </c>
      <c r="J409">
        <v>0.458505</v>
      </c>
      <c r="K409">
        <v>0.40055099999999999</v>
      </c>
      <c r="L409">
        <v>0.33102300000000001</v>
      </c>
      <c r="M409">
        <v>0.41891400000000001</v>
      </c>
      <c r="N409">
        <v>0.41217900000000002</v>
      </c>
      <c r="O409" s="8">
        <f>VLOOKUP($B409,floorspace!$B$4:$O$12,'shell factors calc'!O$2+1,FALSE)</f>
        <v>976.43579099999999</v>
      </c>
      <c r="P409" s="8">
        <f>VLOOKUP($B409,floorspace!$B$4:$O$12,'shell factors calc'!P$2+1,FALSE)</f>
        <v>1383.6553960000001</v>
      </c>
      <c r="Q409" s="8">
        <f>VLOOKUP($B409,floorspace!$B$4:$O$12,'shell factors calc'!Q$2+1,FALSE)</f>
        <v>120.231117</v>
      </c>
      <c r="R409" s="8">
        <f>VLOOKUP($B409,floorspace!$B$4:$O$12,'shell factors calc'!R$2+1,FALSE)</f>
        <v>62.268970000000003</v>
      </c>
      <c r="S409" s="8">
        <f>VLOOKUP($B409,floorspace!$B$4:$O$12,'shell factors calc'!S$2+1,FALSE)</f>
        <v>136.81397999999999</v>
      </c>
      <c r="T409" s="8">
        <f>VLOOKUP($B409,floorspace!$B$4:$O$12,'shell factors calc'!T$2+1,FALSE)</f>
        <v>578.51654099999996</v>
      </c>
      <c r="U409" s="8">
        <f>VLOOKUP($B409,floorspace!$B$4:$O$12,'shell factors calc'!U$2+1,FALSE)</f>
        <v>696.50329599999998</v>
      </c>
      <c r="V409" s="8">
        <f>VLOOKUP($B409,floorspace!$B$4:$O$12,'shell factors calc'!V$2+1,FALSE)</f>
        <v>787.38818400000002</v>
      </c>
      <c r="W409" s="8">
        <f>VLOOKUP($B409,floorspace!$B$4:$O$12,'shell factors calc'!W$2+1,FALSE)</f>
        <v>1768.7573239999999</v>
      </c>
      <c r="X409" s="8">
        <f>VLOOKUP($B409,floorspace!$B$4:$O$12,'shell factors calc'!X$2+1,FALSE)</f>
        <v>1364.572754</v>
      </c>
      <c r="Y409" s="8">
        <f>VLOOKUP($B409,floorspace!$B$4:$O$12,'shell factors calc'!Y$2+1,FALSE)</f>
        <v>479.19305400000002</v>
      </c>
      <c r="Z409">
        <f t="shared" si="6"/>
        <v>0.3868513187621509</v>
      </c>
    </row>
    <row r="410" spans="1:26" x14ac:dyDescent="0.2">
      <c r="A410" s="5" t="s">
        <v>46</v>
      </c>
      <c r="B410" s="5" t="s">
        <v>39</v>
      </c>
      <c r="C410" s="6" t="s">
        <v>28</v>
      </c>
      <c r="D410" s="7">
        <v>0.33403899999999997</v>
      </c>
      <c r="E410">
        <v>0.32912200000000003</v>
      </c>
      <c r="F410">
        <v>0.71222700000000005</v>
      </c>
      <c r="G410">
        <v>0.65448499999999998</v>
      </c>
      <c r="H410">
        <v>0.475406</v>
      </c>
      <c r="I410">
        <v>0.40718300000000002</v>
      </c>
      <c r="J410">
        <v>0.44917499999999999</v>
      </c>
      <c r="K410">
        <v>0.39124300000000001</v>
      </c>
      <c r="L410">
        <v>0.319548</v>
      </c>
      <c r="M410">
        <v>0.40945599999999999</v>
      </c>
      <c r="N410">
        <v>0.40213900000000002</v>
      </c>
      <c r="O410" s="8">
        <f>VLOOKUP($B410,floorspace!$B$4:$O$12,'shell factors calc'!O$2+1,FALSE)</f>
        <v>976.43579099999999</v>
      </c>
      <c r="P410" s="8">
        <f>VLOOKUP($B410,floorspace!$B$4:$O$12,'shell factors calc'!P$2+1,FALSE)</f>
        <v>1383.6553960000001</v>
      </c>
      <c r="Q410" s="8">
        <f>VLOOKUP($B410,floorspace!$B$4:$O$12,'shell factors calc'!Q$2+1,FALSE)</f>
        <v>120.231117</v>
      </c>
      <c r="R410" s="8">
        <f>VLOOKUP($B410,floorspace!$B$4:$O$12,'shell factors calc'!R$2+1,FALSE)</f>
        <v>62.268970000000003</v>
      </c>
      <c r="S410" s="8">
        <f>VLOOKUP($B410,floorspace!$B$4:$O$12,'shell factors calc'!S$2+1,FALSE)</f>
        <v>136.81397999999999</v>
      </c>
      <c r="T410" s="8">
        <f>VLOOKUP($B410,floorspace!$B$4:$O$12,'shell factors calc'!T$2+1,FALSE)</f>
        <v>578.51654099999996</v>
      </c>
      <c r="U410" s="8">
        <f>VLOOKUP($B410,floorspace!$B$4:$O$12,'shell factors calc'!U$2+1,FALSE)</f>
        <v>696.50329599999998</v>
      </c>
      <c r="V410" s="8">
        <f>VLOOKUP($B410,floorspace!$B$4:$O$12,'shell factors calc'!V$2+1,FALSE)</f>
        <v>787.38818400000002</v>
      </c>
      <c r="W410" s="8">
        <f>VLOOKUP($B410,floorspace!$B$4:$O$12,'shell factors calc'!W$2+1,FALSE)</f>
        <v>1768.7573239999999</v>
      </c>
      <c r="X410" s="8">
        <f>VLOOKUP($B410,floorspace!$B$4:$O$12,'shell factors calc'!X$2+1,FALSE)</f>
        <v>1364.572754</v>
      </c>
      <c r="Y410" s="8">
        <f>VLOOKUP($B410,floorspace!$B$4:$O$12,'shell factors calc'!Y$2+1,FALSE)</f>
        <v>479.19305400000002</v>
      </c>
      <c r="Z410">
        <f t="shared" si="6"/>
        <v>0.37658273753632526</v>
      </c>
    </row>
    <row r="411" spans="1:26" x14ac:dyDescent="0.2">
      <c r="A411" s="5" t="s">
        <v>46</v>
      </c>
      <c r="B411" s="5" t="s">
        <v>39</v>
      </c>
      <c r="C411" s="6" t="s">
        <v>29</v>
      </c>
      <c r="D411" s="7">
        <v>0.32364500000000002</v>
      </c>
      <c r="E411">
        <v>0.31858199999999998</v>
      </c>
      <c r="F411">
        <v>0.70750900000000005</v>
      </c>
      <c r="G411">
        <v>0.64955399999999996</v>
      </c>
      <c r="H411">
        <v>0.46642</v>
      </c>
      <c r="I411">
        <v>0.39662500000000001</v>
      </c>
      <c r="J411">
        <v>0.44003399999999998</v>
      </c>
      <c r="K411">
        <v>0.38215199999999999</v>
      </c>
      <c r="L411">
        <v>0.308471</v>
      </c>
      <c r="M411">
        <v>0.40021200000000001</v>
      </c>
      <c r="N411">
        <v>0.39234400000000003</v>
      </c>
      <c r="O411" s="8">
        <f>VLOOKUP($B411,floorspace!$B$4:$O$12,'shell factors calc'!O$2+1,FALSE)</f>
        <v>976.43579099999999</v>
      </c>
      <c r="P411" s="8">
        <f>VLOOKUP($B411,floorspace!$B$4:$O$12,'shell factors calc'!P$2+1,FALSE)</f>
        <v>1383.6553960000001</v>
      </c>
      <c r="Q411" s="8">
        <f>VLOOKUP($B411,floorspace!$B$4:$O$12,'shell factors calc'!Q$2+1,FALSE)</f>
        <v>120.231117</v>
      </c>
      <c r="R411" s="8">
        <f>VLOOKUP($B411,floorspace!$B$4:$O$12,'shell factors calc'!R$2+1,FALSE)</f>
        <v>62.268970000000003</v>
      </c>
      <c r="S411" s="8">
        <f>VLOOKUP($B411,floorspace!$B$4:$O$12,'shell factors calc'!S$2+1,FALSE)</f>
        <v>136.81397999999999</v>
      </c>
      <c r="T411" s="8">
        <f>VLOOKUP($B411,floorspace!$B$4:$O$12,'shell factors calc'!T$2+1,FALSE)</f>
        <v>578.51654099999996</v>
      </c>
      <c r="U411" s="8">
        <f>VLOOKUP($B411,floorspace!$B$4:$O$12,'shell factors calc'!U$2+1,FALSE)</f>
        <v>696.50329599999998</v>
      </c>
      <c r="V411" s="8">
        <f>VLOOKUP($B411,floorspace!$B$4:$O$12,'shell factors calc'!V$2+1,FALSE)</f>
        <v>787.38818400000002</v>
      </c>
      <c r="W411" s="8">
        <f>VLOOKUP($B411,floorspace!$B$4:$O$12,'shell factors calc'!W$2+1,FALSE)</f>
        <v>1768.7573239999999</v>
      </c>
      <c r="X411" s="8">
        <f>VLOOKUP($B411,floorspace!$B$4:$O$12,'shell factors calc'!X$2+1,FALSE)</f>
        <v>1364.572754</v>
      </c>
      <c r="Y411" s="8">
        <f>VLOOKUP($B411,floorspace!$B$4:$O$12,'shell factors calc'!Y$2+1,FALSE)</f>
        <v>479.19305400000002</v>
      </c>
      <c r="Z411">
        <f t="shared" si="6"/>
        <v>0.36660352456493861</v>
      </c>
    </row>
    <row r="412" spans="1:26" x14ac:dyDescent="0.2">
      <c r="A412" s="5" t="s">
        <v>46</v>
      </c>
      <c r="B412" s="5" t="s">
        <v>39</v>
      </c>
      <c r="C412" s="6" t="s">
        <v>30</v>
      </c>
      <c r="D412" s="7">
        <v>0.31357499999999999</v>
      </c>
      <c r="E412">
        <v>0.30837900000000001</v>
      </c>
      <c r="F412">
        <v>0.70282100000000003</v>
      </c>
      <c r="G412">
        <v>0.64466000000000001</v>
      </c>
      <c r="H412">
        <v>0.45760400000000001</v>
      </c>
      <c r="I412">
        <v>0.38634099999999999</v>
      </c>
      <c r="J412">
        <v>0.43107899999999999</v>
      </c>
      <c r="K412">
        <v>0.37327199999999999</v>
      </c>
      <c r="L412">
        <v>0.29777799999999999</v>
      </c>
      <c r="M412">
        <v>0.391177</v>
      </c>
      <c r="N412">
        <v>0.38278699999999999</v>
      </c>
      <c r="O412" s="8">
        <f>VLOOKUP($B412,floorspace!$B$4:$O$12,'shell factors calc'!O$2+1,FALSE)</f>
        <v>976.43579099999999</v>
      </c>
      <c r="P412" s="8">
        <f>VLOOKUP($B412,floorspace!$B$4:$O$12,'shell factors calc'!P$2+1,FALSE)</f>
        <v>1383.6553960000001</v>
      </c>
      <c r="Q412" s="8">
        <f>VLOOKUP($B412,floorspace!$B$4:$O$12,'shell factors calc'!Q$2+1,FALSE)</f>
        <v>120.231117</v>
      </c>
      <c r="R412" s="8">
        <f>VLOOKUP($B412,floorspace!$B$4:$O$12,'shell factors calc'!R$2+1,FALSE)</f>
        <v>62.268970000000003</v>
      </c>
      <c r="S412" s="8">
        <f>VLOOKUP($B412,floorspace!$B$4:$O$12,'shell factors calc'!S$2+1,FALSE)</f>
        <v>136.81397999999999</v>
      </c>
      <c r="T412" s="8">
        <f>VLOOKUP($B412,floorspace!$B$4:$O$12,'shell factors calc'!T$2+1,FALSE)</f>
        <v>578.51654099999996</v>
      </c>
      <c r="U412" s="8">
        <f>VLOOKUP($B412,floorspace!$B$4:$O$12,'shell factors calc'!U$2+1,FALSE)</f>
        <v>696.50329599999998</v>
      </c>
      <c r="V412" s="8">
        <f>VLOOKUP($B412,floorspace!$B$4:$O$12,'shell factors calc'!V$2+1,FALSE)</f>
        <v>787.38818400000002</v>
      </c>
      <c r="W412" s="8">
        <f>VLOOKUP($B412,floorspace!$B$4:$O$12,'shell factors calc'!W$2+1,FALSE)</f>
        <v>1768.7573239999999</v>
      </c>
      <c r="X412" s="8">
        <f>VLOOKUP($B412,floorspace!$B$4:$O$12,'shell factors calc'!X$2+1,FALSE)</f>
        <v>1364.572754</v>
      </c>
      <c r="Y412" s="8">
        <f>VLOOKUP($B412,floorspace!$B$4:$O$12,'shell factors calc'!Y$2+1,FALSE)</f>
        <v>479.19305400000002</v>
      </c>
      <c r="Z412">
        <f t="shared" si="6"/>
        <v>0.35690494128446792</v>
      </c>
    </row>
    <row r="413" spans="1:26" x14ac:dyDescent="0.2">
      <c r="A413" s="5" t="s">
        <v>46</v>
      </c>
      <c r="B413" s="5" t="s">
        <v>39</v>
      </c>
      <c r="C413" s="6" t="s">
        <v>31</v>
      </c>
      <c r="D413" s="7">
        <v>0.303817</v>
      </c>
      <c r="E413">
        <v>0.29850300000000002</v>
      </c>
      <c r="F413">
        <v>0.69816400000000001</v>
      </c>
      <c r="G413">
        <v>0.63980300000000001</v>
      </c>
      <c r="H413">
        <v>0.44895499999999999</v>
      </c>
      <c r="I413">
        <v>0.37632399999999999</v>
      </c>
      <c r="J413">
        <v>0.42230699999999999</v>
      </c>
      <c r="K413">
        <v>0.36459799999999998</v>
      </c>
      <c r="L413">
        <v>0.28745599999999999</v>
      </c>
      <c r="M413">
        <v>0.38234499999999999</v>
      </c>
      <c r="N413">
        <v>0.37346299999999999</v>
      </c>
      <c r="O413" s="8">
        <f>VLOOKUP($B413,floorspace!$B$4:$O$12,'shell factors calc'!O$2+1,FALSE)</f>
        <v>976.43579099999999</v>
      </c>
      <c r="P413" s="8">
        <f>VLOOKUP($B413,floorspace!$B$4:$O$12,'shell factors calc'!P$2+1,FALSE)</f>
        <v>1383.6553960000001</v>
      </c>
      <c r="Q413" s="8">
        <f>VLOOKUP($B413,floorspace!$B$4:$O$12,'shell factors calc'!Q$2+1,FALSE)</f>
        <v>120.231117</v>
      </c>
      <c r="R413" s="8">
        <f>VLOOKUP($B413,floorspace!$B$4:$O$12,'shell factors calc'!R$2+1,FALSE)</f>
        <v>62.268970000000003</v>
      </c>
      <c r="S413" s="8">
        <f>VLOOKUP($B413,floorspace!$B$4:$O$12,'shell factors calc'!S$2+1,FALSE)</f>
        <v>136.81397999999999</v>
      </c>
      <c r="T413" s="8">
        <f>VLOOKUP($B413,floorspace!$B$4:$O$12,'shell factors calc'!T$2+1,FALSE)</f>
        <v>578.51654099999996</v>
      </c>
      <c r="U413" s="8">
        <f>VLOOKUP($B413,floorspace!$B$4:$O$12,'shell factors calc'!U$2+1,FALSE)</f>
        <v>696.50329599999998</v>
      </c>
      <c r="V413" s="8">
        <f>VLOOKUP($B413,floorspace!$B$4:$O$12,'shell factors calc'!V$2+1,FALSE)</f>
        <v>787.38818400000002</v>
      </c>
      <c r="W413" s="8">
        <f>VLOOKUP($B413,floorspace!$B$4:$O$12,'shell factors calc'!W$2+1,FALSE)</f>
        <v>1768.7573239999999</v>
      </c>
      <c r="X413" s="8">
        <f>VLOOKUP($B413,floorspace!$B$4:$O$12,'shell factors calc'!X$2+1,FALSE)</f>
        <v>1364.572754</v>
      </c>
      <c r="Y413" s="8">
        <f>VLOOKUP($B413,floorspace!$B$4:$O$12,'shell factors calc'!Y$2+1,FALSE)</f>
        <v>479.19305400000002</v>
      </c>
      <c r="Z413">
        <f t="shared" si="6"/>
        <v>0.34747866898418722</v>
      </c>
    </row>
    <row r="414" spans="1:26" x14ac:dyDescent="0.2">
      <c r="A414" s="5" t="s">
        <v>46</v>
      </c>
      <c r="B414" s="5" t="s">
        <v>39</v>
      </c>
      <c r="C414" s="6" t="s">
        <v>32</v>
      </c>
      <c r="D414" s="7">
        <v>0.29436299999999999</v>
      </c>
      <c r="E414">
        <v>0.28894399999999998</v>
      </c>
      <c r="F414">
        <v>0.69353900000000002</v>
      </c>
      <c r="G414">
        <v>0.63498200000000005</v>
      </c>
      <c r="H414">
        <v>0.440469</v>
      </c>
      <c r="I414">
        <v>0.366566</v>
      </c>
      <c r="J414">
        <v>0.41371200000000002</v>
      </c>
      <c r="K414">
        <v>0.356126</v>
      </c>
      <c r="L414">
        <v>0.27749200000000002</v>
      </c>
      <c r="M414">
        <v>0.37371300000000002</v>
      </c>
      <c r="N414">
        <v>0.36436600000000002</v>
      </c>
      <c r="O414" s="8">
        <f>VLOOKUP($B414,floorspace!$B$4:$O$12,'shell factors calc'!O$2+1,FALSE)</f>
        <v>976.43579099999999</v>
      </c>
      <c r="P414" s="8">
        <f>VLOOKUP($B414,floorspace!$B$4:$O$12,'shell factors calc'!P$2+1,FALSE)</f>
        <v>1383.6553960000001</v>
      </c>
      <c r="Q414" s="8">
        <f>VLOOKUP($B414,floorspace!$B$4:$O$12,'shell factors calc'!Q$2+1,FALSE)</f>
        <v>120.231117</v>
      </c>
      <c r="R414" s="8">
        <f>VLOOKUP($B414,floorspace!$B$4:$O$12,'shell factors calc'!R$2+1,FALSE)</f>
        <v>62.268970000000003</v>
      </c>
      <c r="S414" s="8">
        <f>VLOOKUP($B414,floorspace!$B$4:$O$12,'shell factors calc'!S$2+1,FALSE)</f>
        <v>136.81397999999999</v>
      </c>
      <c r="T414" s="8">
        <f>VLOOKUP($B414,floorspace!$B$4:$O$12,'shell factors calc'!T$2+1,FALSE)</f>
        <v>578.51654099999996</v>
      </c>
      <c r="U414" s="8">
        <f>VLOOKUP($B414,floorspace!$B$4:$O$12,'shell factors calc'!U$2+1,FALSE)</f>
        <v>696.50329599999998</v>
      </c>
      <c r="V414" s="8">
        <f>VLOOKUP($B414,floorspace!$B$4:$O$12,'shell factors calc'!V$2+1,FALSE)</f>
        <v>787.38818400000002</v>
      </c>
      <c r="W414" s="8">
        <f>VLOOKUP($B414,floorspace!$B$4:$O$12,'shell factors calc'!W$2+1,FALSE)</f>
        <v>1768.7573239999999</v>
      </c>
      <c r="X414" s="8">
        <f>VLOOKUP($B414,floorspace!$B$4:$O$12,'shell factors calc'!X$2+1,FALSE)</f>
        <v>1364.572754</v>
      </c>
      <c r="Y414" s="8">
        <f>VLOOKUP($B414,floorspace!$B$4:$O$12,'shell factors calc'!Y$2+1,FALSE)</f>
        <v>479.19305400000002</v>
      </c>
      <c r="Z414">
        <f t="shared" si="6"/>
        <v>0.33831704017770664</v>
      </c>
    </row>
    <row r="415" spans="1:26" x14ac:dyDescent="0.2">
      <c r="A415" s="5" t="s">
        <v>46</v>
      </c>
      <c r="B415" s="5" t="s">
        <v>39</v>
      </c>
      <c r="C415" s="6" t="s">
        <v>33</v>
      </c>
      <c r="D415" s="7">
        <v>0.28520400000000001</v>
      </c>
      <c r="E415">
        <v>0.27968999999999999</v>
      </c>
      <c r="F415">
        <v>0.68894299999999997</v>
      </c>
      <c r="G415">
        <v>0.63019800000000004</v>
      </c>
      <c r="H415">
        <v>0.43214399999999997</v>
      </c>
      <c r="I415">
        <v>0.35706100000000002</v>
      </c>
      <c r="J415">
        <v>0.40529300000000001</v>
      </c>
      <c r="K415">
        <v>0.34784999999999999</v>
      </c>
      <c r="L415">
        <v>0.267872</v>
      </c>
      <c r="M415">
        <v>0.36527599999999999</v>
      </c>
      <c r="N415">
        <v>0.35548999999999997</v>
      </c>
      <c r="O415" s="8">
        <f>VLOOKUP($B415,floorspace!$B$4:$O$12,'shell factors calc'!O$2+1,FALSE)</f>
        <v>976.43579099999999</v>
      </c>
      <c r="P415" s="8">
        <f>VLOOKUP($B415,floorspace!$B$4:$O$12,'shell factors calc'!P$2+1,FALSE)</f>
        <v>1383.6553960000001</v>
      </c>
      <c r="Q415" s="8">
        <f>VLOOKUP($B415,floorspace!$B$4:$O$12,'shell factors calc'!Q$2+1,FALSE)</f>
        <v>120.231117</v>
      </c>
      <c r="R415" s="8">
        <f>VLOOKUP($B415,floorspace!$B$4:$O$12,'shell factors calc'!R$2+1,FALSE)</f>
        <v>62.268970000000003</v>
      </c>
      <c r="S415" s="8">
        <f>VLOOKUP($B415,floorspace!$B$4:$O$12,'shell factors calc'!S$2+1,FALSE)</f>
        <v>136.81397999999999</v>
      </c>
      <c r="T415" s="8">
        <f>VLOOKUP($B415,floorspace!$B$4:$O$12,'shell factors calc'!T$2+1,FALSE)</f>
        <v>578.51654099999996</v>
      </c>
      <c r="U415" s="8">
        <f>VLOOKUP($B415,floorspace!$B$4:$O$12,'shell factors calc'!U$2+1,FALSE)</f>
        <v>696.50329599999998</v>
      </c>
      <c r="V415" s="8">
        <f>VLOOKUP($B415,floorspace!$B$4:$O$12,'shell factors calc'!V$2+1,FALSE)</f>
        <v>787.38818400000002</v>
      </c>
      <c r="W415" s="8">
        <f>VLOOKUP($B415,floorspace!$B$4:$O$12,'shell factors calc'!W$2+1,FALSE)</f>
        <v>1768.7573239999999</v>
      </c>
      <c r="X415" s="8">
        <f>VLOOKUP($B415,floorspace!$B$4:$O$12,'shell factors calc'!X$2+1,FALSE)</f>
        <v>1364.572754</v>
      </c>
      <c r="Y415" s="8">
        <f>VLOOKUP($B415,floorspace!$B$4:$O$12,'shell factors calc'!Y$2+1,FALSE)</f>
        <v>479.19305400000002</v>
      </c>
      <c r="Z415">
        <f t="shared" si="6"/>
        <v>0.32941175780920839</v>
      </c>
    </row>
    <row r="416" spans="1:26" x14ac:dyDescent="0.2">
      <c r="A416" s="5" t="s">
        <v>46</v>
      </c>
      <c r="B416" s="5" t="s">
        <v>39</v>
      </c>
      <c r="C416" s="6" t="s">
        <v>34</v>
      </c>
      <c r="D416" s="7">
        <v>0.27632899999999999</v>
      </c>
      <c r="E416">
        <v>0.270733</v>
      </c>
      <c r="F416">
        <v>0.68437899999999996</v>
      </c>
      <c r="G416">
        <v>0.62544900000000003</v>
      </c>
      <c r="H416">
        <v>0.42397600000000002</v>
      </c>
      <c r="I416">
        <v>0.34780299999999997</v>
      </c>
      <c r="J416">
        <v>0.39704499999999998</v>
      </c>
      <c r="K416">
        <v>0.33976699999999999</v>
      </c>
      <c r="L416">
        <v>0.25858700000000001</v>
      </c>
      <c r="M416">
        <v>0.35702899999999999</v>
      </c>
      <c r="N416">
        <v>0.346831</v>
      </c>
      <c r="O416" s="8">
        <f>VLOOKUP($B416,floorspace!$B$4:$O$12,'shell factors calc'!O$2+1,FALSE)</f>
        <v>976.43579099999999</v>
      </c>
      <c r="P416" s="8">
        <f>VLOOKUP($B416,floorspace!$B$4:$O$12,'shell factors calc'!P$2+1,FALSE)</f>
        <v>1383.6553960000001</v>
      </c>
      <c r="Q416" s="8">
        <f>VLOOKUP($B416,floorspace!$B$4:$O$12,'shell factors calc'!Q$2+1,FALSE)</f>
        <v>120.231117</v>
      </c>
      <c r="R416" s="8">
        <f>VLOOKUP($B416,floorspace!$B$4:$O$12,'shell factors calc'!R$2+1,FALSE)</f>
        <v>62.268970000000003</v>
      </c>
      <c r="S416" s="8">
        <f>VLOOKUP($B416,floorspace!$B$4:$O$12,'shell factors calc'!S$2+1,FALSE)</f>
        <v>136.81397999999999</v>
      </c>
      <c r="T416" s="8">
        <f>VLOOKUP($B416,floorspace!$B$4:$O$12,'shell factors calc'!T$2+1,FALSE)</f>
        <v>578.51654099999996</v>
      </c>
      <c r="U416" s="8">
        <f>VLOOKUP($B416,floorspace!$B$4:$O$12,'shell factors calc'!U$2+1,FALSE)</f>
        <v>696.50329599999998</v>
      </c>
      <c r="V416" s="8">
        <f>VLOOKUP($B416,floorspace!$B$4:$O$12,'shell factors calc'!V$2+1,FALSE)</f>
        <v>787.38818400000002</v>
      </c>
      <c r="W416" s="8">
        <f>VLOOKUP($B416,floorspace!$B$4:$O$12,'shell factors calc'!W$2+1,FALSE)</f>
        <v>1768.7573239999999</v>
      </c>
      <c r="X416" s="8">
        <f>VLOOKUP($B416,floorspace!$B$4:$O$12,'shell factors calc'!X$2+1,FALSE)</f>
        <v>1364.572754</v>
      </c>
      <c r="Y416" s="8">
        <f>VLOOKUP($B416,floorspace!$B$4:$O$12,'shell factors calc'!Y$2+1,FALSE)</f>
        <v>479.19305400000002</v>
      </c>
      <c r="Z416">
        <f t="shared" si="6"/>
        <v>0.32075610735741578</v>
      </c>
    </row>
    <row r="417" spans="1:26" x14ac:dyDescent="0.2">
      <c r="A417" s="5" t="s">
        <v>46</v>
      </c>
      <c r="B417" s="5" t="s">
        <v>39</v>
      </c>
      <c r="C417" s="6" t="s">
        <v>35</v>
      </c>
      <c r="D417" s="7">
        <v>0.267731</v>
      </c>
      <c r="E417">
        <v>0.26206299999999999</v>
      </c>
      <c r="F417">
        <v>0.679844</v>
      </c>
      <c r="G417">
        <v>0.62073699999999998</v>
      </c>
      <c r="H417">
        <v>0.415962</v>
      </c>
      <c r="I417">
        <v>0.33878399999999997</v>
      </c>
      <c r="J417">
        <v>0.38896599999999998</v>
      </c>
      <c r="K417">
        <v>0.331872</v>
      </c>
      <c r="L417">
        <v>0.24962300000000001</v>
      </c>
      <c r="M417">
        <v>0.34896899999999997</v>
      </c>
      <c r="N417">
        <v>0.33838299999999999</v>
      </c>
      <c r="O417" s="8">
        <f>VLOOKUP($B417,floorspace!$B$4:$O$12,'shell factors calc'!O$2+1,FALSE)</f>
        <v>976.43579099999999</v>
      </c>
      <c r="P417" s="8">
        <f>VLOOKUP($B417,floorspace!$B$4:$O$12,'shell factors calc'!P$2+1,FALSE)</f>
        <v>1383.6553960000001</v>
      </c>
      <c r="Q417" s="8">
        <f>VLOOKUP($B417,floorspace!$B$4:$O$12,'shell factors calc'!Q$2+1,FALSE)</f>
        <v>120.231117</v>
      </c>
      <c r="R417" s="8">
        <f>VLOOKUP($B417,floorspace!$B$4:$O$12,'shell factors calc'!R$2+1,FALSE)</f>
        <v>62.268970000000003</v>
      </c>
      <c r="S417" s="8">
        <f>VLOOKUP($B417,floorspace!$B$4:$O$12,'shell factors calc'!S$2+1,FALSE)</f>
        <v>136.81397999999999</v>
      </c>
      <c r="T417" s="8">
        <f>VLOOKUP($B417,floorspace!$B$4:$O$12,'shell factors calc'!T$2+1,FALSE)</f>
        <v>578.51654099999996</v>
      </c>
      <c r="U417" s="8">
        <f>VLOOKUP($B417,floorspace!$B$4:$O$12,'shell factors calc'!U$2+1,FALSE)</f>
        <v>696.50329599999998</v>
      </c>
      <c r="V417" s="8">
        <f>VLOOKUP($B417,floorspace!$B$4:$O$12,'shell factors calc'!V$2+1,FALSE)</f>
        <v>787.38818400000002</v>
      </c>
      <c r="W417" s="8">
        <f>VLOOKUP($B417,floorspace!$B$4:$O$12,'shell factors calc'!W$2+1,FALSE)</f>
        <v>1768.7573239999999</v>
      </c>
      <c r="X417" s="8">
        <f>VLOOKUP($B417,floorspace!$B$4:$O$12,'shell factors calc'!X$2+1,FALSE)</f>
        <v>1364.572754</v>
      </c>
      <c r="Y417" s="8">
        <f>VLOOKUP($B417,floorspace!$B$4:$O$12,'shell factors calc'!Y$2+1,FALSE)</f>
        <v>479.19305400000002</v>
      </c>
      <c r="Z417">
        <f t="shared" si="6"/>
        <v>0.31234254689945901</v>
      </c>
    </row>
    <row r="418" spans="1:26" x14ac:dyDescent="0.2">
      <c r="A418" s="5" t="s">
        <v>46</v>
      </c>
      <c r="B418" s="1" t="s">
        <v>39</v>
      </c>
      <c r="C418" s="2" t="s">
        <v>36</v>
      </c>
      <c r="D418" s="4">
        <v>0.25940000000000002</v>
      </c>
      <c r="E418">
        <v>0.25367000000000001</v>
      </c>
      <c r="F418">
        <v>0.67534000000000005</v>
      </c>
      <c r="G418">
        <v>0.61606000000000005</v>
      </c>
      <c r="H418">
        <v>0.40810000000000002</v>
      </c>
      <c r="I418">
        <v>0.33</v>
      </c>
      <c r="J418">
        <v>0.38105</v>
      </c>
      <c r="K418">
        <v>0.32416</v>
      </c>
      <c r="L418">
        <v>0.24096999999999999</v>
      </c>
      <c r="M418">
        <v>0.34109</v>
      </c>
      <c r="N418">
        <v>0.33013999999999999</v>
      </c>
      <c r="O418" s="8">
        <f>VLOOKUP($B418,floorspace!$B$4:$O$12,'shell factors calc'!O$2+1,FALSE)</f>
        <v>976.43579099999999</v>
      </c>
      <c r="P418" s="8">
        <f>VLOOKUP($B418,floorspace!$B$4:$O$12,'shell factors calc'!P$2+1,FALSE)</f>
        <v>1383.6553960000001</v>
      </c>
      <c r="Q418" s="8">
        <f>VLOOKUP($B418,floorspace!$B$4:$O$12,'shell factors calc'!Q$2+1,FALSE)</f>
        <v>120.231117</v>
      </c>
      <c r="R418" s="8">
        <f>VLOOKUP($B418,floorspace!$B$4:$O$12,'shell factors calc'!R$2+1,FALSE)</f>
        <v>62.268970000000003</v>
      </c>
      <c r="S418" s="8">
        <f>VLOOKUP($B418,floorspace!$B$4:$O$12,'shell factors calc'!S$2+1,FALSE)</f>
        <v>136.81397999999999</v>
      </c>
      <c r="T418" s="8">
        <f>VLOOKUP($B418,floorspace!$B$4:$O$12,'shell factors calc'!T$2+1,FALSE)</f>
        <v>578.51654099999996</v>
      </c>
      <c r="U418" s="8">
        <f>VLOOKUP($B418,floorspace!$B$4:$O$12,'shell factors calc'!U$2+1,FALSE)</f>
        <v>696.50329599999998</v>
      </c>
      <c r="V418" s="8">
        <f>VLOOKUP($B418,floorspace!$B$4:$O$12,'shell factors calc'!V$2+1,FALSE)</f>
        <v>787.38818400000002</v>
      </c>
      <c r="W418" s="8">
        <f>VLOOKUP($B418,floorspace!$B$4:$O$12,'shell factors calc'!W$2+1,FALSE)</f>
        <v>1768.7573239999999</v>
      </c>
      <c r="X418" s="8">
        <f>VLOOKUP($B418,floorspace!$B$4:$O$12,'shell factors calc'!X$2+1,FALSE)</f>
        <v>1364.572754</v>
      </c>
      <c r="Y418" s="8">
        <f>VLOOKUP($B418,floorspace!$B$4:$O$12,'shell factors calc'!Y$2+1,FALSE)</f>
        <v>479.19305400000002</v>
      </c>
      <c r="Z418">
        <f t="shared" si="6"/>
        <v>0.30416354276570617</v>
      </c>
    </row>
    <row r="419" spans="1:26" x14ac:dyDescent="0.2">
      <c r="A419" s="5" t="s">
        <v>46</v>
      </c>
      <c r="B419" s="5" t="s">
        <v>40</v>
      </c>
      <c r="C419" s="6" t="s">
        <v>5</v>
      </c>
      <c r="D419" s="7">
        <v>0.63125699999999996</v>
      </c>
      <c r="E419">
        <v>0.65401900000000002</v>
      </c>
      <c r="F419">
        <v>0.88136899999999996</v>
      </c>
      <c r="G419">
        <v>0.744031</v>
      </c>
      <c r="H419">
        <v>0.73326000000000002</v>
      </c>
      <c r="I419">
        <v>0.65120299999999998</v>
      </c>
      <c r="J419">
        <v>0.69037000000000004</v>
      </c>
      <c r="K419">
        <v>0.65492899999999998</v>
      </c>
      <c r="L419">
        <v>0.591858</v>
      </c>
      <c r="M419">
        <v>0.84591400000000005</v>
      </c>
      <c r="N419">
        <v>0.683249</v>
      </c>
      <c r="O419" s="8">
        <f>VLOOKUP($B419,floorspace!$B$4:$O$12,'shell factors calc'!O$2+1,FALSE)</f>
        <v>2861.713135</v>
      </c>
      <c r="P419" s="8">
        <f>VLOOKUP($B419,floorspace!$B$4:$O$12,'shell factors calc'!P$2+1,FALSE)</f>
        <v>2312.7941890000002</v>
      </c>
      <c r="Q419" s="8">
        <f>VLOOKUP($B419,floorspace!$B$4:$O$12,'shell factors calc'!Q$2+1,FALSE)</f>
        <v>83.223968999999997</v>
      </c>
      <c r="R419" s="8">
        <f>VLOOKUP($B419,floorspace!$B$4:$O$12,'shell factors calc'!R$2+1,FALSE)</f>
        <v>256.68893400000002</v>
      </c>
      <c r="S419" s="8">
        <f>VLOOKUP($B419,floorspace!$B$4:$O$12,'shell factors calc'!S$2+1,FALSE)</f>
        <v>374.32568400000002</v>
      </c>
      <c r="T419" s="8">
        <f>VLOOKUP($B419,floorspace!$B$4:$O$12,'shell factors calc'!T$2+1,FALSE)</f>
        <v>1280.028564</v>
      </c>
      <c r="U419" s="8">
        <f>VLOOKUP($B419,floorspace!$B$4:$O$12,'shell factors calc'!U$2+1,FALSE)</f>
        <v>2275.966797</v>
      </c>
      <c r="V419" s="8">
        <f>VLOOKUP($B419,floorspace!$B$4:$O$12,'shell factors calc'!V$2+1,FALSE)</f>
        <v>1147.5775149999999</v>
      </c>
      <c r="W419" s="8">
        <f>VLOOKUP($B419,floorspace!$B$4:$O$12,'shell factors calc'!W$2+1,FALSE)</f>
        <v>2893.2617190000001</v>
      </c>
      <c r="X419" s="8">
        <f>VLOOKUP($B419,floorspace!$B$4:$O$12,'shell factors calc'!X$2+1,FALSE)</f>
        <v>3003.1875</v>
      </c>
      <c r="Y419" s="8">
        <f>VLOOKUP($B419,floorspace!$B$4:$O$12,'shell factors calc'!Y$2+1,FALSE)</f>
        <v>1165.4536129999999</v>
      </c>
      <c r="Z419">
        <f t="shared" si="6"/>
        <v>0.68331725674758559</v>
      </c>
    </row>
    <row r="420" spans="1:26" x14ac:dyDescent="0.2">
      <c r="A420" s="5" t="s">
        <v>46</v>
      </c>
      <c r="B420" s="5" t="s">
        <v>40</v>
      </c>
      <c r="C420" s="6" t="s">
        <v>6</v>
      </c>
      <c r="D420" s="7">
        <v>0.62312000000000001</v>
      </c>
      <c r="E420">
        <v>0.64634000000000003</v>
      </c>
      <c r="F420">
        <v>0.87148000000000003</v>
      </c>
      <c r="G420">
        <v>0.73867000000000005</v>
      </c>
      <c r="H420">
        <v>0.72614999999999996</v>
      </c>
      <c r="I420">
        <v>0.64156999999999997</v>
      </c>
      <c r="J420">
        <v>0.68257000000000001</v>
      </c>
      <c r="K420">
        <v>0.64761999999999997</v>
      </c>
      <c r="L420">
        <v>0.58238999999999996</v>
      </c>
      <c r="M420">
        <v>0.84155999999999997</v>
      </c>
      <c r="N420">
        <v>0.67537999999999998</v>
      </c>
      <c r="O420" s="8">
        <f>VLOOKUP($B420,floorspace!$B$4:$O$12,'shell factors calc'!O$2+1,FALSE)</f>
        <v>2861.713135</v>
      </c>
      <c r="P420" s="8">
        <f>VLOOKUP($B420,floorspace!$B$4:$O$12,'shell factors calc'!P$2+1,FALSE)</f>
        <v>2312.7941890000002</v>
      </c>
      <c r="Q420" s="8">
        <f>VLOOKUP($B420,floorspace!$B$4:$O$12,'shell factors calc'!Q$2+1,FALSE)</f>
        <v>83.223968999999997</v>
      </c>
      <c r="R420" s="8">
        <f>VLOOKUP($B420,floorspace!$B$4:$O$12,'shell factors calc'!R$2+1,FALSE)</f>
        <v>256.68893400000002</v>
      </c>
      <c r="S420" s="8">
        <f>VLOOKUP($B420,floorspace!$B$4:$O$12,'shell factors calc'!S$2+1,FALSE)</f>
        <v>374.32568400000002</v>
      </c>
      <c r="T420" s="8">
        <f>VLOOKUP($B420,floorspace!$B$4:$O$12,'shell factors calc'!T$2+1,FALSE)</f>
        <v>1280.028564</v>
      </c>
      <c r="U420" s="8">
        <f>VLOOKUP($B420,floorspace!$B$4:$O$12,'shell factors calc'!U$2+1,FALSE)</f>
        <v>2275.966797</v>
      </c>
      <c r="V420" s="8">
        <f>VLOOKUP($B420,floorspace!$B$4:$O$12,'shell factors calc'!V$2+1,FALSE)</f>
        <v>1147.5775149999999</v>
      </c>
      <c r="W420" s="8">
        <f>VLOOKUP($B420,floorspace!$B$4:$O$12,'shell factors calc'!W$2+1,FALSE)</f>
        <v>2893.2617190000001</v>
      </c>
      <c r="X420" s="8">
        <f>VLOOKUP($B420,floorspace!$B$4:$O$12,'shell factors calc'!X$2+1,FALSE)</f>
        <v>3003.1875</v>
      </c>
      <c r="Y420" s="8">
        <f>VLOOKUP($B420,floorspace!$B$4:$O$12,'shell factors calc'!Y$2+1,FALSE)</f>
        <v>1165.4536129999999</v>
      </c>
      <c r="Z420">
        <f t="shared" si="6"/>
        <v>0.67572602949843941</v>
      </c>
    </row>
    <row r="421" spans="1:26" x14ac:dyDescent="0.2">
      <c r="A421" s="5" t="s">
        <v>46</v>
      </c>
      <c r="B421" s="5" t="s">
        <v>40</v>
      </c>
      <c r="C421" s="6" t="s">
        <v>7</v>
      </c>
      <c r="D421" s="7">
        <v>0.614429</v>
      </c>
      <c r="E421">
        <v>0.63818900000000001</v>
      </c>
      <c r="F421">
        <v>0.86333899999999997</v>
      </c>
      <c r="G421">
        <v>0.73311999999999999</v>
      </c>
      <c r="H421">
        <v>0.71869499999999997</v>
      </c>
      <c r="I421">
        <v>0.631166</v>
      </c>
      <c r="J421">
        <v>0.67431399999999997</v>
      </c>
      <c r="K421">
        <v>0.63989200000000002</v>
      </c>
      <c r="L421">
        <v>0.57208999999999999</v>
      </c>
      <c r="M421">
        <v>0.83710399999999996</v>
      </c>
      <c r="N421">
        <v>0.66704399999999997</v>
      </c>
      <c r="O421" s="8">
        <f>VLOOKUP($B421,floorspace!$B$4:$O$12,'shell factors calc'!O$2+1,FALSE)</f>
        <v>2861.713135</v>
      </c>
      <c r="P421" s="8">
        <f>VLOOKUP($B421,floorspace!$B$4:$O$12,'shell factors calc'!P$2+1,FALSE)</f>
        <v>2312.7941890000002</v>
      </c>
      <c r="Q421" s="8">
        <f>VLOOKUP($B421,floorspace!$B$4:$O$12,'shell factors calc'!Q$2+1,FALSE)</f>
        <v>83.223968999999997</v>
      </c>
      <c r="R421" s="8">
        <f>VLOOKUP($B421,floorspace!$B$4:$O$12,'shell factors calc'!R$2+1,FALSE)</f>
        <v>256.68893400000002</v>
      </c>
      <c r="S421" s="8">
        <f>VLOOKUP($B421,floorspace!$B$4:$O$12,'shell factors calc'!S$2+1,FALSE)</f>
        <v>374.32568400000002</v>
      </c>
      <c r="T421" s="8">
        <f>VLOOKUP($B421,floorspace!$B$4:$O$12,'shell factors calc'!T$2+1,FALSE)</f>
        <v>1280.028564</v>
      </c>
      <c r="U421" s="8">
        <f>VLOOKUP($B421,floorspace!$B$4:$O$12,'shell factors calc'!U$2+1,FALSE)</f>
        <v>2275.966797</v>
      </c>
      <c r="V421" s="8">
        <f>VLOOKUP($B421,floorspace!$B$4:$O$12,'shell factors calc'!V$2+1,FALSE)</f>
        <v>1147.5775149999999</v>
      </c>
      <c r="W421" s="8">
        <f>VLOOKUP($B421,floorspace!$B$4:$O$12,'shell factors calc'!W$2+1,FALSE)</f>
        <v>2893.2617190000001</v>
      </c>
      <c r="X421" s="8">
        <f>VLOOKUP($B421,floorspace!$B$4:$O$12,'shell factors calc'!X$2+1,FALSE)</f>
        <v>3003.1875</v>
      </c>
      <c r="Y421" s="8">
        <f>VLOOKUP($B421,floorspace!$B$4:$O$12,'shell factors calc'!Y$2+1,FALSE)</f>
        <v>1165.4536129999999</v>
      </c>
      <c r="Z421">
        <f t="shared" si="6"/>
        <v>0.66765488459774902</v>
      </c>
    </row>
    <row r="422" spans="1:26" x14ac:dyDescent="0.2">
      <c r="A422" s="5" t="s">
        <v>46</v>
      </c>
      <c r="B422" s="5" t="s">
        <v>40</v>
      </c>
      <c r="C422" s="6" t="s">
        <v>8</v>
      </c>
      <c r="D422" s="7">
        <v>0.60585999999999995</v>
      </c>
      <c r="E422">
        <v>0.63014000000000003</v>
      </c>
      <c r="F422">
        <v>0.85527399999999998</v>
      </c>
      <c r="G422">
        <v>0.72761200000000004</v>
      </c>
      <c r="H422">
        <v>0.71131599999999995</v>
      </c>
      <c r="I422">
        <v>0.62092999999999998</v>
      </c>
      <c r="J422">
        <v>0.666157</v>
      </c>
      <c r="K422">
        <v>0.63225600000000004</v>
      </c>
      <c r="L422">
        <v>0.56197200000000003</v>
      </c>
      <c r="M422">
        <v>0.83267199999999997</v>
      </c>
      <c r="N422">
        <v>0.65881100000000004</v>
      </c>
      <c r="O422" s="8">
        <f>VLOOKUP($B422,floorspace!$B$4:$O$12,'shell factors calc'!O$2+1,FALSE)</f>
        <v>2861.713135</v>
      </c>
      <c r="P422" s="8">
        <f>VLOOKUP($B422,floorspace!$B$4:$O$12,'shell factors calc'!P$2+1,FALSE)</f>
        <v>2312.7941890000002</v>
      </c>
      <c r="Q422" s="8">
        <f>VLOOKUP($B422,floorspace!$B$4:$O$12,'shell factors calc'!Q$2+1,FALSE)</f>
        <v>83.223968999999997</v>
      </c>
      <c r="R422" s="8">
        <f>VLOOKUP($B422,floorspace!$B$4:$O$12,'shell factors calc'!R$2+1,FALSE)</f>
        <v>256.68893400000002</v>
      </c>
      <c r="S422" s="8">
        <f>VLOOKUP($B422,floorspace!$B$4:$O$12,'shell factors calc'!S$2+1,FALSE)</f>
        <v>374.32568400000002</v>
      </c>
      <c r="T422" s="8">
        <f>VLOOKUP($B422,floorspace!$B$4:$O$12,'shell factors calc'!T$2+1,FALSE)</f>
        <v>1280.028564</v>
      </c>
      <c r="U422" s="8">
        <f>VLOOKUP($B422,floorspace!$B$4:$O$12,'shell factors calc'!U$2+1,FALSE)</f>
        <v>2275.966797</v>
      </c>
      <c r="V422" s="8">
        <f>VLOOKUP($B422,floorspace!$B$4:$O$12,'shell factors calc'!V$2+1,FALSE)</f>
        <v>1147.5775149999999</v>
      </c>
      <c r="W422" s="8">
        <f>VLOOKUP($B422,floorspace!$B$4:$O$12,'shell factors calc'!W$2+1,FALSE)</f>
        <v>2893.2617190000001</v>
      </c>
      <c r="X422" s="8">
        <f>VLOOKUP($B422,floorspace!$B$4:$O$12,'shell factors calc'!X$2+1,FALSE)</f>
        <v>3003.1875</v>
      </c>
      <c r="Y422" s="8">
        <f>VLOOKUP($B422,floorspace!$B$4:$O$12,'shell factors calc'!Y$2+1,FALSE)</f>
        <v>1165.4536129999999</v>
      </c>
      <c r="Z422">
        <f t="shared" si="6"/>
        <v>0.6596910921058784</v>
      </c>
    </row>
    <row r="423" spans="1:26" x14ac:dyDescent="0.2">
      <c r="A423" s="5" t="s">
        <v>46</v>
      </c>
      <c r="B423" s="5" t="s">
        <v>40</v>
      </c>
      <c r="C423" s="6" t="s">
        <v>9</v>
      </c>
      <c r="D423" s="7">
        <v>0.59741</v>
      </c>
      <c r="E423">
        <v>0.622193</v>
      </c>
      <c r="F423">
        <v>0.84728499999999995</v>
      </c>
      <c r="G423">
        <v>0.72214500000000004</v>
      </c>
      <c r="H423">
        <v>0.704013</v>
      </c>
      <c r="I423">
        <v>0.61085999999999996</v>
      </c>
      <c r="J423">
        <v>0.65810000000000002</v>
      </c>
      <c r="K423">
        <v>0.62471100000000002</v>
      </c>
      <c r="L423">
        <v>0.55203199999999997</v>
      </c>
      <c r="M423">
        <v>0.828264</v>
      </c>
      <c r="N423">
        <v>0.65067900000000001</v>
      </c>
      <c r="O423" s="8">
        <f>VLOOKUP($B423,floorspace!$B$4:$O$12,'shell factors calc'!O$2+1,FALSE)</f>
        <v>2861.713135</v>
      </c>
      <c r="P423" s="8">
        <f>VLOOKUP($B423,floorspace!$B$4:$O$12,'shell factors calc'!P$2+1,FALSE)</f>
        <v>2312.7941890000002</v>
      </c>
      <c r="Q423" s="8">
        <f>VLOOKUP($B423,floorspace!$B$4:$O$12,'shell factors calc'!Q$2+1,FALSE)</f>
        <v>83.223968999999997</v>
      </c>
      <c r="R423" s="8">
        <f>VLOOKUP($B423,floorspace!$B$4:$O$12,'shell factors calc'!R$2+1,FALSE)</f>
        <v>256.68893400000002</v>
      </c>
      <c r="S423" s="8">
        <f>VLOOKUP($B423,floorspace!$B$4:$O$12,'shell factors calc'!S$2+1,FALSE)</f>
        <v>374.32568400000002</v>
      </c>
      <c r="T423" s="8">
        <f>VLOOKUP($B423,floorspace!$B$4:$O$12,'shell factors calc'!T$2+1,FALSE)</f>
        <v>1280.028564</v>
      </c>
      <c r="U423" s="8">
        <f>VLOOKUP($B423,floorspace!$B$4:$O$12,'shell factors calc'!U$2+1,FALSE)</f>
        <v>2275.966797</v>
      </c>
      <c r="V423" s="8">
        <f>VLOOKUP($B423,floorspace!$B$4:$O$12,'shell factors calc'!V$2+1,FALSE)</f>
        <v>1147.5775149999999</v>
      </c>
      <c r="W423" s="8">
        <f>VLOOKUP($B423,floorspace!$B$4:$O$12,'shell factors calc'!W$2+1,FALSE)</f>
        <v>2893.2617190000001</v>
      </c>
      <c r="X423" s="8">
        <f>VLOOKUP($B423,floorspace!$B$4:$O$12,'shell factors calc'!X$2+1,FALSE)</f>
        <v>3003.1875</v>
      </c>
      <c r="Y423" s="8">
        <f>VLOOKUP($B423,floorspace!$B$4:$O$12,'shell factors calc'!Y$2+1,FALSE)</f>
        <v>1165.4536129999999</v>
      </c>
      <c r="Z423">
        <f t="shared" si="6"/>
        <v>0.65183328252317974</v>
      </c>
    </row>
    <row r="424" spans="1:26" x14ac:dyDescent="0.2">
      <c r="A424" s="5" t="s">
        <v>46</v>
      </c>
      <c r="B424" s="5" t="s">
        <v>40</v>
      </c>
      <c r="C424" s="6" t="s">
        <v>10</v>
      </c>
      <c r="D424" s="7">
        <v>0.58907799999999999</v>
      </c>
      <c r="E424">
        <v>0.61434599999999995</v>
      </c>
      <c r="F424">
        <v>0.83936999999999995</v>
      </c>
      <c r="G424">
        <v>0.71671899999999999</v>
      </c>
      <c r="H424">
        <v>0.69678499999999999</v>
      </c>
      <c r="I424">
        <v>0.60095399999999999</v>
      </c>
      <c r="J424">
        <v>0.65014000000000005</v>
      </c>
      <c r="K424">
        <v>0.61725699999999994</v>
      </c>
      <c r="L424">
        <v>0.542269</v>
      </c>
      <c r="M424">
        <v>0.823878</v>
      </c>
      <c r="N424">
        <v>0.642648</v>
      </c>
      <c r="O424" s="8">
        <f>VLOOKUP($B424,floorspace!$B$4:$O$12,'shell factors calc'!O$2+1,FALSE)</f>
        <v>2861.713135</v>
      </c>
      <c r="P424" s="8">
        <f>VLOOKUP($B424,floorspace!$B$4:$O$12,'shell factors calc'!P$2+1,FALSE)</f>
        <v>2312.7941890000002</v>
      </c>
      <c r="Q424" s="8">
        <f>VLOOKUP($B424,floorspace!$B$4:$O$12,'shell factors calc'!Q$2+1,FALSE)</f>
        <v>83.223968999999997</v>
      </c>
      <c r="R424" s="8">
        <f>VLOOKUP($B424,floorspace!$B$4:$O$12,'shell factors calc'!R$2+1,FALSE)</f>
        <v>256.68893400000002</v>
      </c>
      <c r="S424" s="8">
        <f>VLOOKUP($B424,floorspace!$B$4:$O$12,'shell factors calc'!S$2+1,FALSE)</f>
        <v>374.32568400000002</v>
      </c>
      <c r="T424" s="8">
        <f>VLOOKUP($B424,floorspace!$B$4:$O$12,'shell factors calc'!T$2+1,FALSE)</f>
        <v>1280.028564</v>
      </c>
      <c r="U424" s="8">
        <f>VLOOKUP($B424,floorspace!$B$4:$O$12,'shell factors calc'!U$2+1,FALSE)</f>
        <v>2275.966797</v>
      </c>
      <c r="V424" s="8">
        <f>VLOOKUP($B424,floorspace!$B$4:$O$12,'shell factors calc'!V$2+1,FALSE)</f>
        <v>1147.5775149999999</v>
      </c>
      <c r="W424" s="8">
        <f>VLOOKUP($B424,floorspace!$B$4:$O$12,'shell factors calc'!W$2+1,FALSE)</f>
        <v>2893.2617190000001</v>
      </c>
      <c r="X424" s="8">
        <f>VLOOKUP($B424,floorspace!$B$4:$O$12,'shell factors calc'!X$2+1,FALSE)</f>
        <v>3003.1875</v>
      </c>
      <c r="Y424" s="8">
        <f>VLOOKUP($B424,floorspace!$B$4:$O$12,'shell factors calc'!Y$2+1,FALSE)</f>
        <v>1165.4536129999999</v>
      </c>
      <c r="Z424">
        <f t="shared" si="6"/>
        <v>0.64407996523341737</v>
      </c>
    </row>
    <row r="425" spans="1:26" x14ac:dyDescent="0.2">
      <c r="A425" s="5" t="s">
        <v>46</v>
      </c>
      <c r="B425" s="5" t="s">
        <v>40</v>
      </c>
      <c r="C425" s="6" t="s">
        <v>11</v>
      </c>
      <c r="D425" s="7">
        <v>0.58086199999999999</v>
      </c>
      <c r="E425">
        <v>0.60659799999999997</v>
      </c>
      <c r="F425">
        <v>0.83152899999999996</v>
      </c>
      <c r="G425">
        <v>0.71133400000000002</v>
      </c>
      <c r="H425">
        <v>0.68963200000000002</v>
      </c>
      <c r="I425">
        <v>0.59120799999999996</v>
      </c>
      <c r="J425">
        <v>0.64227599999999996</v>
      </c>
      <c r="K425">
        <v>0.60989099999999996</v>
      </c>
      <c r="L425">
        <v>0.53267799999999998</v>
      </c>
      <c r="M425">
        <v>0.81951600000000002</v>
      </c>
      <c r="N425">
        <v>0.63471599999999995</v>
      </c>
      <c r="O425" s="8">
        <f>VLOOKUP($B425,floorspace!$B$4:$O$12,'shell factors calc'!O$2+1,FALSE)</f>
        <v>2861.713135</v>
      </c>
      <c r="P425" s="8">
        <f>VLOOKUP($B425,floorspace!$B$4:$O$12,'shell factors calc'!P$2+1,FALSE)</f>
        <v>2312.7941890000002</v>
      </c>
      <c r="Q425" s="8">
        <f>VLOOKUP($B425,floorspace!$B$4:$O$12,'shell factors calc'!Q$2+1,FALSE)</f>
        <v>83.223968999999997</v>
      </c>
      <c r="R425" s="8">
        <f>VLOOKUP($B425,floorspace!$B$4:$O$12,'shell factors calc'!R$2+1,FALSE)</f>
        <v>256.68893400000002</v>
      </c>
      <c r="S425" s="8">
        <f>VLOOKUP($B425,floorspace!$B$4:$O$12,'shell factors calc'!S$2+1,FALSE)</f>
        <v>374.32568400000002</v>
      </c>
      <c r="T425" s="8">
        <f>VLOOKUP($B425,floorspace!$B$4:$O$12,'shell factors calc'!T$2+1,FALSE)</f>
        <v>1280.028564</v>
      </c>
      <c r="U425" s="8">
        <f>VLOOKUP($B425,floorspace!$B$4:$O$12,'shell factors calc'!U$2+1,FALSE)</f>
        <v>2275.966797</v>
      </c>
      <c r="V425" s="8">
        <f>VLOOKUP($B425,floorspace!$B$4:$O$12,'shell factors calc'!V$2+1,FALSE)</f>
        <v>1147.5775149999999</v>
      </c>
      <c r="W425" s="8">
        <f>VLOOKUP($B425,floorspace!$B$4:$O$12,'shell factors calc'!W$2+1,FALSE)</f>
        <v>2893.2617190000001</v>
      </c>
      <c r="X425" s="8">
        <f>VLOOKUP($B425,floorspace!$B$4:$O$12,'shell factors calc'!X$2+1,FALSE)</f>
        <v>3003.1875</v>
      </c>
      <c r="Y425" s="8">
        <f>VLOOKUP($B425,floorspace!$B$4:$O$12,'shell factors calc'!Y$2+1,FALSE)</f>
        <v>1165.4536129999999</v>
      </c>
      <c r="Z425">
        <f t="shared" si="6"/>
        <v>0.63642945985240229</v>
      </c>
    </row>
    <row r="426" spans="1:26" x14ac:dyDescent="0.2">
      <c r="A426" s="5" t="s">
        <v>46</v>
      </c>
      <c r="B426" s="5" t="s">
        <v>40</v>
      </c>
      <c r="C426" s="6" t="s">
        <v>12</v>
      </c>
      <c r="D426" s="7">
        <v>0.57276099999999996</v>
      </c>
      <c r="E426">
        <v>0.59894800000000004</v>
      </c>
      <c r="F426">
        <v>0.82376199999999999</v>
      </c>
      <c r="G426">
        <v>0.70599000000000001</v>
      </c>
      <c r="H426">
        <v>0.68255100000000002</v>
      </c>
      <c r="I426">
        <v>0.58162100000000005</v>
      </c>
      <c r="J426">
        <v>0.63450700000000004</v>
      </c>
      <c r="K426">
        <v>0.60261299999999995</v>
      </c>
      <c r="L426">
        <v>0.52325699999999997</v>
      </c>
      <c r="M426">
        <v>0.81517700000000004</v>
      </c>
      <c r="N426">
        <v>0.62688200000000005</v>
      </c>
      <c r="O426" s="8">
        <f>VLOOKUP($B426,floorspace!$B$4:$O$12,'shell factors calc'!O$2+1,FALSE)</f>
        <v>2861.713135</v>
      </c>
      <c r="P426" s="8">
        <f>VLOOKUP($B426,floorspace!$B$4:$O$12,'shell factors calc'!P$2+1,FALSE)</f>
        <v>2312.7941890000002</v>
      </c>
      <c r="Q426" s="8">
        <f>VLOOKUP($B426,floorspace!$B$4:$O$12,'shell factors calc'!Q$2+1,FALSE)</f>
        <v>83.223968999999997</v>
      </c>
      <c r="R426" s="8">
        <f>VLOOKUP($B426,floorspace!$B$4:$O$12,'shell factors calc'!R$2+1,FALSE)</f>
        <v>256.68893400000002</v>
      </c>
      <c r="S426" s="8">
        <f>VLOOKUP($B426,floorspace!$B$4:$O$12,'shell factors calc'!S$2+1,FALSE)</f>
        <v>374.32568400000002</v>
      </c>
      <c r="T426" s="8">
        <f>VLOOKUP($B426,floorspace!$B$4:$O$12,'shell factors calc'!T$2+1,FALSE)</f>
        <v>1280.028564</v>
      </c>
      <c r="U426" s="8">
        <f>VLOOKUP($B426,floorspace!$B$4:$O$12,'shell factors calc'!U$2+1,FALSE)</f>
        <v>2275.966797</v>
      </c>
      <c r="V426" s="8">
        <f>VLOOKUP($B426,floorspace!$B$4:$O$12,'shell factors calc'!V$2+1,FALSE)</f>
        <v>1147.5775149999999</v>
      </c>
      <c r="W426" s="8">
        <f>VLOOKUP($B426,floorspace!$B$4:$O$12,'shell factors calc'!W$2+1,FALSE)</f>
        <v>2893.2617190000001</v>
      </c>
      <c r="X426" s="8">
        <f>VLOOKUP($B426,floorspace!$B$4:$O$12,'shell factors calc'!X$2+1,FALSE)</f>
        <v>3003.1875</v>
      </c>
      <c r="Y426" s="8">
        <f>VLOOKUP($B426,floorspace!$B$4:$O$12,'shell factors calc'!Y$2+1,FALSE)</f>
        <v>1165.4536129999999</v>
      </c>
      <c r="Z426">
        <f t="shared" si="6"/>
        <v>0.62888064434571633</v>
      </c>
    </row>
    <row r="427" spans="1:26" x14ac:dyDescent="0.2">
      <c r="A427" s="5" t="s">
        <v>46</v>
      </c>
      <c r="B427" s="5" t="s">
        <v>40</v>
      </c>
      <c r="C427" s="6" t="s">
        <v>13</v>
      </c>
      <c r="D427" s="7">
        <v>0.56477299999999997</v>
      </c>
      <c r="E427">
        <v>0.59139399999999998</v>
      </c>
      <c r="F427">
        <v>0.81606699999999999</v>
      </c>
      <c r="G427">
        <v>0.700685</v>
      </c>
      <c r="H427">
        <v>0.67554400000000003</v>
      </c>
      <c r="I427">
        <v>0.57218899999999995</v>
      </c>
      <c r="J427">
        <v>0.62683199999999994</v>
      </c>
      <c r="K427">
        <v>0.59542200000000001</v>
      </c>
      <c r="L427">
        <v>0.51400299999999999</v>
      </c>
      <c r="M427">
        <v>0.81086100000000005</v>
      </c>
      <c r="N427">
        <v>0.61914400000000003</v>
      </c>
      <c r="O427" s="8">
        <f>VLOOKUP($B427,floorspace!$B$4:$O$12,'shell factors calc'!O$2+1,FALSE)</f>
        <v>2861.713135</v>
      </c>
      <c r="P427" s="8">
        <f>VLOOKUP($B427,floorspace!$B$4:$O$12,'shell factors calc'!P$2+1,FALSE)</f>
        <v>2312.7941890000002</v>
      </c>
      <c r="Q427" s="8">
        <f>VLOOKUP($B427,floorspace!$B$4:$O$12,'shell factors calc'!Q$2+1,FALSE)</f>
        <v>83.223968999999997</v>
      </c>
      <c r="R427" s="8">
        <f>VLOOKUP($B427,floorspace!$B$4:$O$12,'shell factors calc'!R$2+1,FALSE)</f>
        <v>256.68893400000002</v>
      </c>
      <c r="S427" s="8">
        <f>VLOOKUP($B427,floorspace!$B$4:$O$12,'shell factors calc'!S$2+1,FALSE)</f>
        <v>374.32568400000002</v>
      </c>
      <c r="T427" s="8">
        <f>VLOOKUP($B427,floorspace!$B$4:$O$12,'shell factors calc'!T$2+1,FALSE)</f>
        <v>1280.028564</v>
      </c>
      <c r="U427" s="8">
        <f>VLOOKUP($B427,floorspace!$B$4:$O$12,'shell factors calc'!U$2+1,FALSE)</f>
        <v>2275.966797</v>
      </c>
      <c r="V427" s="8">
        <f>VLOOKUP($B427,floorspace!$B$4:$O$12,'shell factors calc'!V$2+1,FALSE)</f>
        <v>1147.5775149999999</v>
      </c>
      <c r="W427" s="8">
        <f>VLOOKUP($B427,floorspace!$B$4:$O$12,'shell factors calc'!W$2+1,FALSE)</f>
        <v>2893.2617190000001</v>
      </c>
      <c r="X427" s="8">
        <f>VLOOKUP($B427,floorspace!$B$4:$O$12,'shell factors calc'!X$2+1,FALSE)</f>
        <v>3003.1875</v>
      </c>
      <c r="Y427" s="8">
        <f>VLOOKUP($B427,floorspace!$B$4:$O$12,'shell factors calc'!Y$2+1,FALSE)</f>
        <v>1165.4536129999999</v>
      </c>
      <c r="Z427">
        <f t="shared" si="6"/>
        <v>0.62143182877535552</v>
      </c>
    </row>
    <row r="428" spans="1:26" x14ac:dyDescent="0.2">
      <c r="A428" s="5" t="s">
        <v>46</v>
      </c>
      <c r="B428" s="5" t="s">
        <v>40</v>
      </c>
      <c r="C428" s="6" t="s">
        <v>14</v>
      </c>
      <c r="D428" s="7">
        <v>0.55689599999999995</v>
      </c>
      <c r="E428">
        <v>0.58393600000000001</v>
      </c>
      <c r="F428">
        <v>0.80844300000000002</v>
      </c>
      <c r="G428">
        <v>0.69542099999999996</v>
      </c>
      <c r="H428">
        <v>0.66860799999999998</v>
      </c>
      <c r="I428">
        <v>0.56290899999999999</v>
      </c>
      <c r="J428">
        <v>0.61924999999999997</v>
      </c>
      <c r="K428">
        <v>0.58831699999999998</v>
      </c>
      <c r="L428">
        <v>0.50491200000000003</v>
      </c>
      <c r="M428">
        <v>0.80656799999999995</v>
      </c>
      <c r="N428">
        <v>0.61150199999999999</v>
      </c>
      <c r="O428" s="8">
        <f>VLOOKUP($B428,floorspace!$B$4:$O$12,'shell factors calc'!O$2+1,FALSE)</f>
        <v>2861.713135</v>
      </c>
      <c r="P428" s="8">
        <f>VLOOKUP($B428,floorspace!$B$4:$O$12,'shell factors calc'!P$2+1,FALSE)</f>
        <v>2312.7941890000002</v>
      </c>
      <c r="Q428" s="8">
        <f>VLOOKUP($B428,floorspace!$B$4:$O$12,'shell factors calc'!Q$2+1,FALSE)</f>
        <v>83.223968999999997</v>
      </c>
      <c r="R428" s="8">
        <f>VLOOKUP($B428,floorspace!$B$4:$O$12,'shell factors calc'!R$2+1,FALSE)</f>
        <v>256.68893400000002</v>
      </c>
      <c r="S428" s="8">
        <f>VLOOKUP($B428,floorspace!$B$4:$O$12,'shell factors calc'!S$2+1,FALSE)</f>
        <v>374.32568400000002</v>
      </c>
      <c r="T428" s="8">
        <f>VLOOKUP($B428,floorspace!$B$4:$O$12,'shell factors calc'!T$2+1,FALSE)</f>
        <v>1280.028564</v>
      </c>
      <c r="U428" s="8">
        <f>VLOOKUP($B428,floorspace!$B$4:$O$12,'shell factors calc'!U$2+1,FALSE)</f>
        <v>2275.966797</v>
      </c>
      <c r="V428" s="8">
        <f>VLOOKUP($B428,floorspace!$B$4:$O$12,'shell factors calc'!V$2+1,FALSE)</f>
        <v>1147.5775149999999</v>
      </c>
      <c r="W428" s="8">
        <f>VLOOKUP($B428,floorspace!$B$4:$O$12,'shell factors calc'!W$2+1,FALSE)</f>
        <v>2893.2617190000001</v>
      </c>
      <c r="X428" s="8">
        <f>VLOOKUP($B428,floorspace!$B$4:$O$12,'shell factors calc'!X$2+1,FALSE)</f>
        <v>3003.1875</v>
      </c>
      <c r="Y428" s="8">
        <f>VLOOKUP($B428,floorspace!$B$4:$O$12,'shell factors calc'!Y$2+1,FALSE)</f>
        <v>1165.4536129999999</v>
      </c>
      <c r="Z428">
        <f t="shared" si="6"/>
        <v>0.61408158272275792</v>
      </c>
    </row>
    <row r="429" spans="1:26" x14ac:dyDescent="0.2">
      <c r="A429" s="5" t="s">
        <v>46</v>
      </c>
      <c r="B429" s="5" t="s">
        <v>40</v>
      </c>
      <c r="C429" s="6" t="s">
        <v>15</v>
      </c>
      <c r="D429" s="7">
        <v>0.54912899999999998</v>
      </c>
      <c r="E429">
        <v>0.57657099999999994</v>
      </c>
      <c r="F429">
        <v>0.80089200000000005</v>
      </c>
      <c r="G429">
        <v>0.69019600000000003</v>
      </c>
      <c r="H429">
        <v>0.661744</v>
      </c>
      <c r="I429">
        <v>0.55378099999999997</v>
      </c>
      <c r="J429">
        <v>0.61175999999999997</v>
      </c>
      <c r="K429">
        <v>0.58129699999999995</v>
      </c>
      <c r="L429">
        <v>0.49598199999999998</v>
      </c>
      <c r="M429">
        <v>0.80229799999999996</v>
      </c>
      <c r="N429">
        <v>0.60395500000000002</v>
      </c>
      <c r="O429" s="8">
        <f>VLOOKUP($B429,floorspace!$B$4:$O$12,'shell factors calc'!O$2+1,FALSE)</f>
        <v>2861.713135</v>
      </c>
      <c r="P429" s="8">
        <f>VLOOKUP($B429,floorspace!$B$4:$O$12,'shell factors calc'!P$2+1,FALSE)</f>
        <v>2312.7941890000002</v>
      </c>
      <c r="Q429" s="8">
        <f>VLOOKUP($B429,floorspace!$B$4:$O$12,'shell factors calc'!Q$2+1,FALSE)</f>
        <v>83.223968999999997</v>
      </c>
      <c r="R429" s="8">
        <f>VLOOKUP($B429,floorspace!$B$4:$O$12,'shell factors calc'!R$2+1,FALSE)</f>
        <v>256.68893400000002</v>
      </c>
      <c r="S429" s="8">
        <f>VLOOKUP($B429,floorspace!$B$4:$O$12,'shell factors calc'!S$2+1,FALSE)</f>
        <v>374.32568400000002</v>
      </c>
      <c r="T429" s="8">
        <f>VLOOKUP($B429,floorspace!$B$4:$O$12,'shell factors calc'!T$2+1,FALSE)</f>
        <v>1280.028564</v>
      </c>
      <c r="U429" s="8">
        <f>VLOOKUP($B429,floorspace!$B$4:$O$12,'shell factors calc'!U$2+1,FALSE)</f>
        <v>2275.966797</v>
      </c>
      <c r="V429" s="8">
        <f>VLOOKUP($B429,floorspace!$B$4:$O$12,'shell factors calc'!V$2+1,FALSE)</f>
        <v>1147.5775149999999</v>
      </c>
      <c r="W429" s="8">
        <f>VLOOKUP($B429,floorspace!$B$4:$O$12,'shell factors calc'!W$2+1,FALSE)</f>
        <v>2893.2617190000001</v>
      </c>
      <c r="X429" s="8">
        <f>VLOOKUP($B429,floorspace!$B$4:$O$12,'shell factors calc'!X$2+1,FALSE)</f>
        <v>3003.1875</v>
      </c>
      <c r="Y429" s="8">
        <f>VLOOKUP($B429,floorspace!$B$4:$O$12,'shell factors calc'!Y$2+1,FALSE)</f>
        <v>1165.4536129999999</v>
      </c>
      <c r="Z429">
        <f t="shared" si="6"/>
        <v>0.60682876491861459</v>
      </c>
    </row>
    <row r="430" spans="1:26" x14ac:dyDescent="0.2">
      <c r="A430" s="5" t="s">
        <v>46</v>
      </c>
      <c r="B430" s="5" t="s">
        <v>40</v>
      </c>
      <c r="C430" s="6" t="s">
        <v>16</v>
      </c>
      <c r="D430" s="7">
        <v>0.54147000000000001</v>
      </c>
      <c r="E430">
        <v>0.56930000000000003</v>
      </c>
      <c r="F430">
        <v>0.79340999999999995</v>
      </c>
      <c r="G430">
        <v>0.68501000000000001</v>
      </c>
      <c r="H430">
        <v>0.65495000000000003</v>
      </c>
      <c r="I430">
        <v>0.54479999999999995</v>
      </c>
      <c r="J430">
        <v>0.60436000000000001</v>
      </c>
      <c r="K430">
        <v>0.57435999999999998</v>
      </c>
      <c r="L430">
        <v>0.48720999999999998</v>
      </c>
      <c r="M430">
        <v>0.79805000000000004</v>
      </c>
      <c r="N430">
        <v>0.59650000000000003</v>
      </c>
      <c r="O430" s="8">
        <f>VLOOKUP($B430,floorspace!$B$4:$O$12,'shell factors calc'!O$2+1,FALSE)</f>
        <v>2861.713135</v>
      </c>
      <c r="P430" s="8">
        <f>VLOOKUP($B430,floorspace!$B$4:$O$12,'shell factors calc'!P$2+1,FALSE)</f>
        <v>2312.7941890000002</v>
      </c>
      <c r="Q430" s="8">
        <f>VLOOKUP($B430,floorspace!$B$4:$O$12,'shell factors calc'!Q$2+1,FALSE)</f>
        <v>83.223968999999997</v>
      </c>
      <c r="R430" s="8">
        <f>VLOOKUP($B430,floorspace!$B$4:$O$12,'shell factors calc'!R$2+1,FALSE)</f>
        <v>256.68893400000002</v>
      </c>
      <c r="S430" s="8">
        <f>VLOOKUP($B430,floorspace!$B$4:$O$12,'shell factors calc'!S$2+1,FALSE)</f>
        <v>374.32568400000002</v>
      </c>
      <c r="T430" s="8">
        <f>VLOOKUP($B430,floorspace!$B$4:$O$12,'shell factors calc'!T$2+1,FALSE)</f>
        <v>1280.028564</v>
      </c>
      <c r="U430" s="8">
        <f>VLOOKUP($B430,floorspace!$B$4:$O$12,'shell factors calc'!U$2+1,FALSE)</f>
        <v>2275.966797</v>
      </c>
      <c r="V430" s="8">
        <f>VLOOKUP($B430,floorspace!$B$4:$O$12,'shell factors calc'!V$2+1,FALSE)</f>
        <v>1147.5775149999999</v>
      </c>
      <c r="W430" s="8">
        <f>VLOOKUP($B430,floorspace!$B$4:$O$12,'shell factors calc'!W$2+1,FALSE)</f>
        <v>2893.2617190000001</v>
      </c>
      <c r="X430" s="8">
        <f>VLOOKUP($B430,floorspace!$B$4:$O$12,'shell factors calc'!X$2+1,FALSE)</f>
        <v>3003.1875</v>
      </c>
      <c r="Y430" s="8">
        <f>VLOOKUP($B430,floorspace!$B$4:$O$12,'shell factors calc'!Y$2+1,FALSE)</f>
        <v>1165.4536129999999</v>
      </c>
      <c r="Z430">
        <f t="shared" si="6"/>
        <v>0.59967151072425839</v>
      </c>
    </row>
    <row r="431" spans="1:26" x14ac:dyDescent="0.2">
      <c r="A431" s="5" t="s">
        <v>46</v>
      </c>
      <c r="B431" s="5" t="s">
        <v>40</v>
      </c>
      <c r="C431" s="6" t="s">
        <v>17</v>
      </c>
      <c r="D431" s="7">
        <v>0.532748</v>
      </c>
      <c r="E431">
        <v>0.56112399999999996</v>
      </c>
      <c r="F431">
        <v>0.78885499999999997</v>
      </c>
      <c r="G431">
        <v>0.67947299999999999</v>
      </c>
      <c r="H431">
        <v>0.64749299999999999</v>
      </c>
      <c r="I431">
        <v>0.53430699999999998</v>
      </c>
      <c r="J431">
        <v>0.59608499999999998</v>
      </c>
      <c r="K431">
        <v>0.56661600000000001</v>
      </c>
      <c r="L431">
        <v>0.47683999999999999</v>
      </c>
      <c r="M431">
        <v>0.79361199999999998</v>
      </c>
      <c r="N431">
        <v>0.588144</v>
      </c>
      <c r="O431" s="8">
        <f>VLOOKUP($B431,floorspace!$B$4:$O$12,'shell factors calc'!O$2+1,FALSE)</f>
        <v>2861.713135</v>
      </c>
      <c r="P431" s="8">
        <f>VLOOKUP($B431,floorspace!$B$4:$O$12,'shell factors calc'!P$2+1,FALSE)</f>
        <v>2312.7941890000002</v>
      </c>
      <c r="Q431" s="8">
        <f>VLOOKUP($B431,floorspace!$B$4:$O$12,'shell factors calc'!Q$2+1,FALSE)</f>
        <v>83.223968999999997</v>
      </c>
      <c r="R431" s="8">
        <f>VLOOKUP($B431,floorspace!$B$4:$O$12,'shell factors calc'!R$2+1,FALSE)</f>
        <v>256.68893400000002</v>
      </c>
      <c r="S431" s="8">
        <f>VLOOKUP($B431,floorspace!$B$4:$O$12,'shell factors calc'!S$2+1,FALSE)</f>
        <v>374.32568400000002</v>
      </c>
      <c r="T431" s="8">
        <f>VLOOKUP($B431,floorspace!$B$4:$O$12,'shell factors calc'!T$2+1,FALSE)</f>
        <v>1280.028564</v>
      </c>
      <c r="U431" s="8">
        <f>VLOOKUP($B431,floorspace!$B$4:$O$12,'shell factors calc'!U$2+1,FALSE)</f>
        <v>2275.966797</v>
      </c>
      <c r="V431" s="8">
        <f>VLOOKUP($B431,floorspace!$B$4:$O$12,'shell factors calc'!V$2+1,FALSE)</f>
        <v>1147.5775149999999</v>
      </c>
      <c r="W431" s="8">
        <f>VLOOKUP($B431,floorspace!$B$4:$O$12,'shell factors calc'!W$2+1,FALSE)</f>
        <v>2893.2617190000001</v>
      </c>
      <c r="X431" s="8">
        <f>VLOOKUP($B431,floorspace!$B$4:$O$12,'shell factors calc'!X$2+1,FALSE)</f>
        <v>3003.1875</v>
      </c>
      <c r="Y431" s="8">
        <f>VLOOKUP($B431,floorspace!$B$4:$O$12,'shell factors calc'!Y$2+1,FALSE)</f>
        <v>1165.4536129999999</v>
      </c>
      <c r="Z431">
        <f t="shared" si="6"/>
        <v>0.59158944431835336</v>
      </c>
    </row>
    <row r="432" spans="1:26" x14ac:dyDescent="0.2">
      <c r="A432" s="5" t="s">
        <v>46</v>
      </c>
      <c r="B432" s="5" t="s">
        <v>40</v>
      </c>
      <c r="C432" s="6" t="s">
        <v>18</v>
      </c>
      <c r="D432" s="7">
        <v>0.52416700000000005</v>
      </c>
      <c r="E432">
        <v>0.55306599999999995</v>
      </c>
      <c r="F432">
        <v>0.78432599999999997</v>
      </c>
      <c r="G432">
        <v>0.67398100000000005</v>
      </c>
      <c r="H432">
        <v>0.64012199999999997</v>
      </c>
      <c r="I432">
        <v>0.52401500000000001</v>
      </c>
      <c r="J432">
        <v>0.587924</v>
      </c>
      <c r="K432">
        <v>0.55897600000000003</v>
      </c>
      <c r="L432">
        <v>0.46669100000000002</v>
      </c>
      <c r="M432">
        <v>0.78919799999999996</v>
      </c>
      <c r="N432">
        <v>0.57990600000000003</v>
      </c>
      <c r="O432" s="8">
        <f>VLOOKUP($B432,floorspace!$B$4:$O$12,'shell factors calc'!O$2+1,FALSE)</f>
        <v>2861.713135</v>
      </c>
      <c r="P432" s="8">
        <f>VLOOKUP($B432,floorspace!$B$4:$O$12,'shell factors calc'!P$2+1,FALSE)</f>
        <v>2312.7941890000002</v>
      </c>
      <c r="Q432" s="8">
        <f>VLOOKUP($B432,floorspace!$B$4:$O$12,'shell factors calc'!Q$2+1,FALSE)</f>
        <v>83.223968999999997</v>
      </c>
      <c r="R432" s="8">
        <f>VLOOKUP($B432,floorspace!$B$4:$O$12,'shell factors calc'!R$2+1,FALSE)</f>
        <v>256.68893400000002</v>
      </c>
      <c r="S432" s="8">
        <f>VLOOKUP($B432,floorspace!$B$4:$O$12,'shell factors calc'!S$2+1,FALSE)</f>
        <v>374.32568400000002</v>
      </c>
      <c r="T432" s="8">
        <f>VLOOKUP($B432,floorspace!$B$4:$O$12,'shell factors calc'!T$2+1,FALSE)</f>
        <v>1280.028564</v>
      </c>
      <c r="U432" s="8">
        <f>VLOOKUP($B432,floorspace!$B$4:$O$12,'shell factors calc'!U$2+1,FALSE)</f>
        <v>2275.966797</v>
      </c>
      <c r="V432" s="8">
        <f>VLOOKUP($B432,floorspace!$B$4:$O$12,'shell factors calc'!V$2+1,FALSE)</f>
        <v>1147.5775149999999</v>
      </c>
      <c r="W432" s="8">
        <f>VLOOKUP($B432,floorspace!$B$4:$O$12,'shell factors calc'!W$2+1,FALSE)</f>
        <v>2893.2617190000001</v>
      </c>
      <c r="X432" s="8">
        <f>VLOOKUP($B432,floorspace!$B$4:$O$12,'shell factors calc'!X$2+1,FALSE)</f>
        <v>3003.1875</v>
      </c>
      <c r="Y432" s="8">
        <f>VLOOKUP($B432,floorspace!$B$4:$O$12,'shell factors calc'!Y$2+1,FALSE)</f>
        <v>1165.4536129999999</v>
      </c>
      <c r="Z432">
        <f t="shared" si="6"/>
        <v>0.58363241446359415</v>
      </c>
    </row>
    <row r="433" spans="1:26" x14ac:dyDescent="0.2">
      <c r="A433" s="5" t="s">
        <v>46</v>
      </c>
      <c r="B433" s="5" t="s">
        <v>40</v>
      </c>
      <c r="C433" s="6" t="s">
        <v>19</v>
      </c>
      <c r="D433" s="7">
        <v>0.51572399999999996</v>
      </c>
      <c r="E433">
        <v>0.54512400000000005</v>
      </c>
      <c r="F433">
        <v>0.77982399999999996</v>
      </c>
      <c r="G433">
        <v>0.66853300000000004</v>
      </c>
      <c r="H433">
        <v>0.63283400000000001</v>
      </c>
      <c r="I433">
        <v>0.51392199999999999</v>
      </c>
      <c r="J433">
        <v>0.579874</v>
      </c>
      <c r="K433">
        <v>0.55143900000000001</v>
      </c>
      <c r="L433">
        <v>0.456758</v>
      </c>
      <c r="M433">
        <v>0.78480899999999998</v>
      </c>
      <c r="N433">
        <v>0.57178300000000004</v>
      </c>
      <c r="O433" s="8">
        <f>VLOOKUP($B433,floorspace!$B$4:$O$12,'shell factors calc'!O$2+1,FALSE)</f>
        <v>2861.713135</v>
      </c>
      <c r="P433" s="8">
        <f>VLOOKUP($B433,floorspace!$B$4:$O$12,'shell factors calc'!P$2+1,FALSE)</f>
        <v>2312.7941890000002</v>
      </c>
      <c r="Q433" s="8">
        <f>VLOOKUP($B433,floorspace!$B$4:$O$12,'shell factors calc'!Q$2+1,FALSE)</f>
        <v>83.223968999999997</v>
      </c>
      <c r="R433" s="8">
        <f>VLOOKUP($B433,floorspace!$B$4:$O$12,'shell factors calc'!R$2+1,FALSE)</f>
        <v>256.68893400000002</v>
      </c>
      <c r="S433" s="8">
        <f>VLOOKUP($B433,floorspace!$B$4:$O$12,'shell factors calc'!S$2+1,FALSE)</f>
        <v>374.32568400000002</v>
      </c>
      <c r="T433" s="8">
        <f>VLOOKUP($B433,floorspace!$B$4:$O$12,'shell factors calc'!T$2+1,FALSE)</f>
        <v>1280.028564</v>
      </c>
      <c r="U433" s="8">
        <f>VLOOKUP($B433,floorspace!$B$4:$O$12,'shell factors calc'!U$2+1,FALSE)</f>
        <v>2275.966797</v>
      </c>
      <c r="V433" s="8">
        <f>VLOOKUP($B433,floorspace!$B$4:$O$12,'shell factors calc'!V$2+1,FALSE)</f>
        <v>1147.5775149999999</v>
      </c>
      <c r="W433" s="8">
        <f>VLOOKUP($B433,floorspace!$B$4:$O$12,'shell factors calc'!W$2+1,FALSE)</f>
        <v>2893.2617190000001</v>
      </c>
      <c r="X433" s="8">
        <f>VLOOKUP($B433,floorspace!$B$4:$O$12,'shell factors calc'!X$2+1,FALSE)</f>
        <v>3003.1875</v>
      </c>
      <c r="Y433" s="8">
        <f>VLOOKUP($B433,floorspace!$B$4:$O$12,'shell factors calc'!Y$2+1,FALSE)</f>
        <v>1165.4536129999999</v>
      </c>
      <c r="Z433">
        <f t="shared" si="6"/>
        <v>0.57579815528909517</v>
      </c>
    </row>
    <row r="434" spans="1:26" x14ac:dyDescent="0.2">
      <c r="A434" s="5" t="s">
        <v>46</v>
      </c>
      <c r="B434" s="5" t="s">
        <v>40</v>
      </c>
      <c r="C434" s="6" t="s">
        <v>20</v>
      </c>
      <c r="D434" s="7">
        <v>0.50741700000000001</v>
      </c>
      <c r="E434">
        <v>0.53729499999999997</v>
      </c>
      <c r="F434">
        <v>0.77534700000000001</v>
      </c>
      <c r="G434">
        <v>0.66312899999999997</v>
      </c>
      <c r="H434">
        <v>0.62562899999999999</v>
      </c>
      <c r="I434">
        <v>0.50402400000000003</v>
      </c>
      <c r="J434">
        <v>0.57193499999999997</v>
      </c>
      <c r="K434">
        <v>0.54400300000000001</v>
      </c>
      <c r="L434">
        <v>0.44703599999999999</v>
      </c>
      <c r="M434">
        <v>0.78044400000000003</v>
      </c>
      <c r="N434">
        <v>0.563774</v>
      </c>
      <c r="O434" s="8">
        <f>VLOOKUP($B434,floorspace!$B$4:$O$12,'shell factors calc'!O$2+1,FALSE)</f>
        <v>2861.713135</v>
      </c>
      <c r="P434" s="8">
        <f>VLOOKUP($B434,floorspace!$B$4:$O$12,'shell factors calc'!P$2+1,FALSE)</f>
        <v>2312.7941890000002</v>
      </c>
      <c r="Q434" s="8">
        <f>VLOOKUP($B434,floorspace!$B$4:$O$12,'shell factors calc'!Q$2+1,FALSE)</f>
        <v>83.223968999999997</v>
      </c>
      <c r="R434" s="8">
        <f>VLOOKUP($B434,floorspace!$B$4:$O$12,'shell factors calc'!R$2+1,FALSE)</f>
        <v>256.68893400000002</v>
      </c>
      <c r="S434" s="8">
        <f>VLOOKUP($B434,floorspace!$B$4:$O$12,'shell factors calc'!S$2+1,FALSE)</f>
        <v>374.32568400000002</v>
      </c>
      <c r="T434" s="8">
        <f>VLOOKUP($B434,floorspace!$B$4:$O$12,'shell factors calc'!T$2+1,FALSE)</f>
        <v>1280.028564</v>
      </c>
      <c r="U434" s="8">
        <f>VLOOKUP($B434,floorspace!$B$4:$O$12,'shell factors calc'!U$2+1,FALSE)</f>
        <v>2275.966797</v>
      </c>
      <c r="V434" s="8">
        <f>VLOOKUP($B434,floorspace!$B$4:$O$12,'shell factors calc'!V$2+1,FALSE)</f>
        <v>1147.5775149999999</v>
      </c>
      <c r="W434" s="8">
        <f>VLOOKUP($B434,floorspace!$B$4:$O$12,'shell factors calc'!W$2+1,FALSE)</f>
        <v>2893.2617190000001</v>
      </c>
      <c r="X434" s="8">
        <f>VLOOKUP($B434,floorspace!$B$4:$O$12,'shell factors calc'!X$2+1,FALSE)</f>
        <v>3003.1875</v>
      </c>
      <c r="Y434" s="8">
        <f>VLOOKUP($B434,floorspace!$B$4:$O$12,'shell factors calc'!Y$2+1,FALSE)</f>
        <v>1165.4536129999999</v>
      </c>
      <c r="Z434">
        <f t="shared" si="6"/>
        <v>0.56808446457509243</v>
      </c>
    </row>
    <row r="435" spans="1:26" x14ac:dyDescent="0.2">
      <c r="A435" s="5" t="s">
        <v>46</v>
      </c>
      <c r="B435" s="5" t="s">
        <v>40</v>
      </c>
      <c r="C435" s="6" t="s">
        <v>21</v>
      </c>
      <c r="D435" s="7">
        <v>0.49924299999999999</v>
      </c>
      <c r="E435">
        <v>0.52957900000000002</v>
      </c>
      <c r="F435">
        <v>0.77089600000000003</v>
      </c>
      <c r="G435">
        <v>0.65776800000000002</v>
      </c>
      <c r="H435">
        <v>0.618506</v>
      </c>
      <c r="I435">
        <v>0.49431599999999998</v>
      </c>
      <c r="J435">
        <v>0.56410400000000005</v>
      </c>
      <c r="K435">
        <v>0.53666800000000003</v>
      </c>
      <c r="L435">
        <v>0.43752099999999999</v>
      </c>
      <c r="M435">
        <v>0.77610299999999999</v>
      </c>
      <c r="N435">
        <v>0.55587699999999995</v>
      </c>
      <c r="O435" s="8">
        <f>VLOOKUP($B435,floorspace!$B$4:$O$12,'shell factors calc'!O$2+1,FALSE)</f>
        <v>2861.713135</v>
      </c>
      <c r="P435" s="8">
        <f>VLOOKUP($B435,floorspace!$B$4:$O$12,'shell factors calc'!P$2+1,FALSE)</f>
        <v>2312.7941890000002</v>
      </c>
      <c r="Q435" s="8">
        <f>VLOOKUP($B435,floorspace!$B$4:$O$12,'shell factors calc'!Q$2+1,FALSE)</f>
        <v>83.223968999999997</v>
      </c>
      <c r="R435" s="8">
        <f>VLOOKUP($B435,floorspace!$B$4:$O$12,'shell factors calc'!R$2+1,FALSE)</f>
        <v>256.68893400000002</v>
      </c>
      <c r="S435" s="8">
        <f>VLOOKUP($B435,floorspace!$B$4:$O$12,'shell factors calc'!S$2+1,FALSE)</f>
        <v>374.32568400000002</v>
      </c>
      <c r="T435" s="8">
        <f>VLOOKUP($B435,floorspace!$B$4:$O$12,'shell factors calc'!T$2+1,FALSE)</f>
        <v>1280.028564</v>
      </c>
      <c r="U435" s="8">
        <f>VLOOKUP($B435,floorspace!$B$4:$O$12,'shell factors calc'!U$2+1,FALSE)</f>
        <v>2275.966797</v>
      </c>
      <c r="V435" s="8">
        <f>VLOOKUP($B435,floorspace!$B$4:$O$12,'shell factors calc'!V$2+1,FALSE)</f>
        <v>1147.5775149999999</v>
      </c>
      <c r="W435" s="8">
        <f>VLOOKUP($B435,floorspace!$B$4:$O$12,'shell factors calc'!W$2+1,FALSE)</f>
        <v>2893.2617190000001</v>
      </c>
      <c r="X435" s="8">
        <f>VLOOKUP($B435,floorspace!$B$4:$O$12,'shell factors calc'!X$2+1,FALSE)</f>
        <v>3003.1875</v>
      </c>
      <c r="Y435" s="8">
        <f>VLOOKUP($B435,floorspace!$B$4:$O$12,'shell factors calc'!Y$2+1,FALSE)</f>
        <v>1165.4536129999999</v>
      </c>
      <c r="Z435">
        <f t="shared" si="6"/>
        <v>0.56048928814280952</v>
      </c>
    </row>
    <row r="436" spans="1:26" x14ac:dyDescent="0.2">
      <c r="A436" s="5" t="s">
        <v>46</v>
      </c>
      <c r="B436" s="5" t="s">
        <v>40</v>
      </c>
      <c r="C436" s="6" t="s">
        <v>22</v>
      </c>
      <c r="D436" s="7">
        <v>0.49120200000000003</v>
      </c>
      <c r="E436">
        <v>0.52197400000000005</v>
      </c>
      <c r="F436">
        <v>0.76646999999999998</v>
      </c>
      <c r="G436">
        <v>0.652451</v>
      </c>
      <c r="H436">
        <v>0.61146400000000001</v>
      </c>
      <c r="I436">
        <v>0.48479499999999998</v>
      </c>
      <c r="J436">
        <v>0.55638100000000001</v>
      </c>
      <c r="K436">
        <v>0.52943200000000001</v>
      </c>
      <c r="L436">
        <v>0.42820900000000001</v>
      </c>
      <c r="M436">
        <v>0.771787</v>
      </c>
      <c r="N436">
        <v>0.54808999999999997</v>
      </c>
      <c r="O436" s="8">
        <f>VLOOKUP($B436,floorspace!$B$4:$O$12,'shell factors calc'!O$2+1,FALSE)</f>
        <v>2861.713135</v>
      </c>
      <c r="P436" s="8">
        <f>VLOOKUP($B436,floorspace!$B$4:$O$12,'shell factors calc'!P$2+1,FALSE)</f>
        <v>2312.7941890000002</v>
      </c>
      <c r="Q436" s="8">
        <f>VLOOKUP($B436,floorspace!$B$4:$O$12,'shell factors calc'!Q$2+1,FALSE)</f>
        <v>83.223968999999997</v>
      </c>
      <c r="R436" s="8">
        <f>VLOOKUP($B436,floorspace!$B$4:$O$12,'shell factors calc'!R$2+1,FALSE)</f>
        <v>256.68893400000002</v>
      </c>
      <c r="S436" s="8">
        <f>VLOOKUP($B436,floorspace!$B$4:$O$12,'shell factors calc'!S$2+1,FALSE)</f>
        <v>374.32568400000002</v>
      </c>
      <c r="T436" s="8">
        <f>VLOOKUP($B436,floorspace!$B$4:$O$12,'shell factors calc'!T$2+1,FALSE)</f>
        <v>1280.028564</v>
      </c>
      <c r="U436" s="8">
        <f>VLOOKUP($B436,floorspace!$B$4:$O$12,'shell factors calc'!U$2+1,FALSE)</f>
        <v>2275.966797</v>
      </c>
      <c r="V436" s="8">
        <f>VLOOKUP($B436,floorspace!$B$4:$O$12,'shell factors calc'!V$2+1,FALSE)</f>
        <v>1147.5775149999999</v>
      </c>
      <c r="W436" s="8">
        <f>VLOOKUP($B436,floorspace!$B$4:$O$12,'shell factors calc'!W$2+1,FALSE)</f>
        <v>2893.2617190000001</v>
      </c>
      <c r="X436" s="8">
        <f>VLOOKUP($B436,floorspace!$B$4:$O$12,'shell factors calc'!X$2+1,FALSE)</f>
        <v>3003.1875</v>
      </c>
      <c r="Y436" s="8">
        <f>VLOOKUP($B436,floorspace!$B$4:$O$12,'shell factors calc'!Y$2+1,FALSE)</f>
        <v>1165.4536129999999</v>
      </c>
      <c r="Z436">
        <f t="shared" si="6"/>
        <v>0.5530113876223598</v>
      </c>
    </row>
    <row r="437" spans="1:26" x14ac:dyDescent="0.2">
      <c r="A437" s="5" t="s">
        <v>46</v>
      </c>
      <c r="B437" s="5" t="s">
        <v>40</v>
      </c>
      <c r="C437" s="6" t="s">
        <v>23</v>
      </c>
      <c r="D437" s="7">
        <v>0.48329</v>
      </c>
      <c r="E437">
        <v>0.51447799999999999</v>
      </c>
      <c r="F437">
        <v>0.76207000000000003</v>
      </c>
      <c r="G437">
        <v>0.647177</v>
      </c>
      <c r="H437">
        <v>0.60450300000000001</v>
      </c>
      <c r="I437">
        <v>0.47545700000000002</v>
      </c>
      <c r="J437">
        <v>0.548763</v>
      </c>
      <c r="K437">
        <v>0.52229300000000001</v>
      </c>
      <c r="L437">
        <v>0.419095</v>
      </c>
      <c r="M437">
        <v>0.76749500000000004</v>
      </c>
      <c r="N437">
        <v>0.54041300000000003</v>
      </c>
      <c r="O437" s="8">
        <f>VLOOKUP($B437,floorspace!$B$4:$O$12,'shell factors calc'!O$2+1,FALSE)</f>
        <v>2861.713135</v>
      </c>
      <c r="P437" s="8">
        <f>VLOOKUP($B437,floorspace!$B$4:$O$12,'shell factors calc'!P$2+1,FALSE)</f>
        <v>2312.7941890000002</v>
      </c>
      <c r="Q437" s="8">
        <f>VLOOKUP($B437,floorspace!$B$4:$O$12,'shell factors calc'!Q$2+1,FALSE)</f>
        <v>83.223968999999997</v>
      </c>
      <c r="R437" s="8">
        <f>VLOOKUP($B437,floorspace!$B$4:$O$12,'shell factors calc'!R$2+1,FALSE)</f>
        <v>256.68893400000002</v>
      </c>
      <c r="S437" s="8">
        <f>VLOOKUP($B437,floorspace!$B$4:$O$12,'shell factors calc'!S$2+1,FALSE)</f>
        <v>374.32568400000002</v>
      </c>
      <c r="T437" s="8">
        <f>VLOOKUP($B437,floorspace!$B$4:$O$12,'shell factors calc'!T$2+1,FALSE)</f>
        <v>1280.028564</v>
      </c>
      <c r="U437" s="8">
        <f>VLOOKUP($B437,floorspace!$B$4:$O$12,'shell factors calc'!U$2+1,FALSE)</f>
        <v>2275.966797</v>
      </c>
      <c r="V437" s="8">
        <f>VLOOKUP($B437,floorspace!$B$4:$O$12,'shell factors calc'!V$2+1,FALSE)</f>
        <v>1147.5775149999999</v>
      </c>
      <c r="W437" s="8">
        <f>VLOOKUP($B437,floorspace!$B$4:$O$12,'shell factors calc'!W$2+1,FALSE)</f>
        <v>2893.2617190000001</v>
      </c>
      <c r="X437" s="8">
        <f>VLOOKUP($B437,floorspace!$B$4:$O$12,'shell factors calc'!X$2+1,FALSE)</f>
        <v>3003.1875</v>
      </c>
      <c r="Y437" s="8">
        <f>VLOOKUP($B437,floorspace!$B$4:$O$12,'shell factors calc'!Y$2+1,FALSE)</f>
        <v>1165.4536129999999</v>
      </c>
      <c r="Z437">
        <f t="shared" si="6"/>
        <v>0.5456480464639748</v>
      </c>
    </row>
    <row r="438" spans="1:26" x14ac:dyDescent="0.2">
      <c r="A438" s="5" t="s">
        <v>46</v>
      </c>
      <c r="B438" s="5" t="s">
        <v>40</v>
      </c>
      <c r="C438" s="6" t="s">
        <v>24</v>
      </c>
      <c r="D438" s="7">
        <v>0.47550500000000001</v>
      </c>
      <c r="E438">
        <v>0.50709000000000004</v>
      </c>
      <c r="F438">
        <v>0.75769500000000001</v>
      </c>
      <c r="G438">
        <v>0.64194600000000002</v>
      </c>
      <c r="H438">
        <v>0.59762000000000004</v>
      </c>
      <c r="I438">
        <v>0.46629999999999999</v>
      </c>
      <c r="J438">
        <v>0.54125000000000001</v>
      </c>
      <c r="K438">
        <v>0.51525100000000001</v>
      </c>
      <c r="L438">
        <v>0.41017500000000001</v>
      </c>
      <c r="M438">
        <v>0.76322599999999996</v>
      </c>
      <c r="N438">
        <v>0.53284299999999996</v>
      </c>
      <c r="O438" s="8">
        <f>VLOOKUP($B438,floorspace!$B$4:$O$12,'shell factors calc'!O$2+1,FALSE)</f>
        <v>2861.713135</v>
      </c>
      <c r="P438" s="8">
        <f>VLOOKUP($B438,floorspace!$B$4:$O$12,'shell factors calc'!P$2+1,FALSE)</f>
        <v>2312.7941890000002</v>
      </c>
      <c r="Q438" s="8">
        <f>VLOOKUP($B438,floorspace!$B$4:$O$12,'shell factors calc'!Q$2+1,FALSE)</f>
        <v>83.223968999999997</v>
      </c>
      <c r="R438" s="8">
        <f>VLOOKUP($B438,floorspace!$B$4:$O$12,'shell factors calc'!R$2+1,FALSE)</f>
        <v>256.68893400000002</v>
      </c>
      <c r="S438" s="8">
        <f>VLOOKUP($B438,floorspace!$B$4:$O$12,'shell factors calc'!S$2+1,FALSE)</f>
        <v>374.32568400000002</v>
      </c>
      <c r="T438" s="8">
        <f>VLOOKUP($B438,floorspace!$B$4:$O$12,'shell factors calc'!T$2+1,FALSE)</f>
        <v>1280.028564</v>
      </c>
      <c r="U438" s="8">
        <f>VLOOKUP($B438,floorspace!$B$4:$O$12,'shell factors calc'!U$2+1,FALSE)</f>
        <v>2275.966797</v>
      </c>
      <c r="V438" s="8">
        <f>VLOOKUP($B438,floorspace!$B$4:$O$12,'shell factors calc'!V$2+1,FALSE)</f>
        <v>1147.5775149999999</v>
      </c>
      <c r="W438" s="8">
        <f>VLOOKUP($B438,floorspace!$B$4:$O$12,'shell factors calc'!W$2+1,FALSE)</f>
        <v>2893.2617190000001</v>
      </c>
      <c r="X438" s="8">
        <f>VLOOKUP($B438,floorspace!$B$4:$O$12,'shell factors calc'!X$2+1,FALSE)</f>
        <v>3003.1875</v>
      </c>
      <c r="Y438" s="8">
        <f>VLOOKUP($B438,floorspace!$B$4:$O$12,'shell factors calc'!Y$2+1,FALSE)</f>
        <v>1165.4536129999999</v>
      </c>
      <c r="Z438">
        <f t="shared" ref="Z438:Z499" si="7">SUMPRODUCT(D438:N438,O438:Y438)/SUM(O438:Y438)</f>
        <v>0.53839757243366826</v>
      </c>
    </row>
    <row r="439" spans="1:26" x14ac:dyDescent="0.2">
      <c r="A439" s="5" t="s">
        <v>46</v>
      </c>
      <c r="B439" s="5" t="s">
        <v>40</v>
      </c>
      <c r="C439" s="6" t="s">
        <v>25</v>
      </c>
      <c r="D439" s="7">
        <v>0.46784599999999998</v>
      </c>
      <c r="E439">
        <v>0.49980799999999997</v>
      </c>
      <c r="F439">
        <v>0.75334500000000004</v>
      </c>
      <c r="G439">
        <v>0.63675700000000002</v>
      </c>
      <c r="H439">
        <v>0.59081600000000001</v>
      </c>
      <c r="I439">
        <v>0.457318</v>
      </c>
      <c r="J439">
        <v>0.53383899999999995</v>
      </c>
      <c r="K439">
        <v>0.50830399999999998</v>
      </c>
      <c r="L439">
        <v>0.40144400000000002</v>
      </c>
      <c r="M439">
        <v>0.75898100000000002</v>
      </c>
      <c r="N439">
        <v>0.52537900000000004</v>
      </c>
      <c r="O439" s="8">
        <f>VLOOKUP($B439,floorspace!$B$4:$O$12,'shell factors calc'!O$2+1,FALSE)</f>
        <v>2861.713135</v>
      </c>
      <c r="P439" s="8">
        <f>VLOOKUP($B439,floorspace!$B$4:$O$12,'shell factors calc'!P$2+1,FALSE)</f>
        <v>2312.7941890000002</v>
      </c>
      <c r="Q439" s="8">
        <f>VLOOKUP($B439,floorspace!$B$4:$O$12,'shell factors calc'!Q$2+1,FALSE)</f>
        <v>83.223968999999997</v>
      </c>
      <c r="R439" s="8">
        <f>VLOOKUP($B439,floorspace!$B$4:$O$12,'shell factors calc'!R$2+1,FALSE)</f>
        <v>256.68893400000002</v>
      </c>
      <c r="S439" s="8">
        <f>VLOOKUP($B439,floorspace!$B$4:$O$12,'shell factors calc'!S$2+1,FALSE)</f>
        <v>374.32568400000002</v>
      </c>
      <c r="T439" s="8">
        <f>VLOOKUP($B439,floorspace!$B$4:$O$12,'shell factors calc'!T$2+1,FALSE)</f>
        <v>1280.028564</v>
      </c>
      <c r="U439" s="8">
        <f>VLOOKUP($B439,floorspace!$B$4:$O$12,'shell factors calc'!U$2+1,FALSE)</f>
        <v>2275.966797</v>
      </c>
      <c r="V439" s="8">
        <f>VLOOKUP($B439,floorspace!$B$4:$O$12,'shell factors calc'!V$2+1,FALSE)</f>
        <v>1147.5775149999999</v>
      </c>
      <c r="W439" s="8">
        <f>VLOOKUP($B439,floorspace!$B$4:$O$12,'shell factors calc'!W$2+1,FALSE)</f>
        <v>2893.2617190000001</v>
      </c>
      <c r="X439" s="8">
        <f>VLOOKUP($B439,floorspace!$B$4:$O$12,'shell factors calc'!X$2+1,FALSE)</f>
        <v>3003.1875</v>
      </c>
      <c r="Y439" s="8">
        <f>VLOOKUP($B439,floorspace!$B$4:$O$12,'shell factors calc'!Y$2+1,FALSE)</f>
        <v>1165.4536129999999</v>
      </c>
      <c r="Z439">
        <f t="shared" si="7"/>
        <v>0.53125788096112747</v>
      </c>
    </row>
    <row r="440" spans="1:26" x14ac:dyDescent="0.2">
      <c r="A440" s="5" t="s">
        <v>46</v>
      </c>
      <c r="B440" s="5" t="s">
        <v>40</v>
      </c>
      <c r="C440" s="6" t="s">
        <v>26</v>
      </c>
      <c r="D440" s="7">
        <v>0.46031</v>
      </c>
      <c r="E440">
        <v>0.49263000000000001</v>
      </c>
      <c r="F440">
        <v>0.74902000000000002</v>
      </c>
      <c r="G440">
        <v>0.63161</v>
      </c>
      <c r="H440">
        <v>0.58409</v>
      </c>
      <c r="I440">
        <v>0.44851000000000002</v>
      </c>
      <c r="J440">
        <v>0.52653000000000005</v>
      </c>
      <c r="K440">
        <v>0.50144999999999995</v>
      </c>
      <c r="L440">
        <v>0.39290000000000003</v>
      </c>
      <c r="M440">
        <v>0.75475999999999999</v>
      </c>
      <c r="N440">
        <v>0.51802000000000004</v>
      </c>
      <c r="O440" s="8">
        <f>VLOOKUP($B440,floorspace!$B$4:$O$12,'shell factors calc'!O$2+1,FALSE)</f>
        <v>2861.713135</v>
      </c>
      <c r="P440" s="8">
        <f>VLOOKUP($B440,floorspace!$B$4:$O$12,'shell factors calc'!P$2+1,FALSE)</f>
        <v>2312.7941890000002</v>
      </c>
      <c r="Q440" s="8">
        <f>VLOOKUP($B440,floorspace!$B$4:$O$12,'shell factors calc'!Q$2+1,FALSE)</f>
        <v>83.223968999999997</v>
      </c>
      <c r="R440" s="8">
        <f>VLOOKUP($B440,floorspace!$B$4:$O$12,'shell factors calc'!R$2+1,FALSE)</f>
        <v>256.68893400000002</v>
      </c>
      <c r="S440" s="8">
        <f>VLOOKUP($B440,floorspace!$B$4:$O$12,'shell factors calc'!S$2+1,FALSE)</f>
        <v>374.32568400000002</v>
      </c>
      <c r="T440" s="8">
        <f>VLOOKUP($B440,floorspace!$B$4:$O$12,'shell factors calc'!T$2+1,FALSE)</f>
        <v>1280.028564</v>
      </c>
      <c r="U440" s="8">
        <f>VLOOKUP($B440,floorspace!$B$4:$O$12,'shell factors calc'!U$2+1,FALSE)</f>
        <v>2275.966797</v>
      </c>
      <c r="V440" s="8">
        <f>VLOOKUP($B440,floorspace!$B$4:$O$12,'shell factors calc'!V$2+1,FALSE)</f>
        <v>1147.5775149999999</v>
      </c>
      <c r="W440" s="8">
        <f>VLOOKUP($B440,floorspace!$B$4:$O$12,'shell factors calc'!W$2+1,FALSE)</f>
        <v>2893.2617190000001</v>
      </c>
      <c r="X440" s="8">
        <f>VLOOKUP($B440,floorspace!$B$4:$O$12,'shell factors calc'!X$2+1,FALSE)</f>
        <v>3003.1875</v>
      </c>
      <c r="Y440" s="8">
        <f>VLOOKUP($B440,floorspace!$B$4:$O$12,'shell factors calc'!Y$2+1,FALSE)</f>
        <v>1165.4536129999999</v>
      </c>
      <c r="Z440">
        <f t="shared" si="7"/>
        <v>0.52422760624192211</v>
      </c>
    </row>
    <row r="441" spans="1:26" x14ac:dyDescent="0.2">
      <c r="A441" s="5" t="s">
        <v>46</v>
      </c>
      <c r="B441" s="5" t="s">
        <v>40</v>
      </c>
      <c r="C441" s="6" t="s">
        <v>27</v>
      </c>
      <c r="D441" s="7">
        <v>0.45161400000000002</v>
      </c>
      <c r="E441">
        <v>0.48441200000000001</v>
      </c>
      <c r="F441">
        <v>0.74472000000000005</v>
      </c>
      <c r="G441">
        <v>0.62608299999999995</v>
      </c>
      <c r="H441">
        <v>0.57662400000000003</v>
      </c>
      <c r="I441">
        <v>0.437859</v>
      </c>
      <c r="J441">
        <v>0.51822000000000001</v>
      </c>
      <c r="K441">
        <v>0.49367499999999997</v>
      </c>
      <c r="L441">
        <v>0.38277800000000001</v>
      </c>
      <c r="M441">
        <v>0.750336</v>
      </c>
      <c r="N441">
        <v>0.50963899999999995</v>
      </c>
      <c r="O441" s="8">
        <f>VLOOKUP($B441,floorspace!$B$4:$O$12,'shell factors calc'!O$2+1,FALSE)</f>
        <v>2861.713135</v>
      </c>
      <c r="P441" s="8">
        <f>VLOOKUP($B441,floorspace!$B$4:$O$12,'shell factors calc'!P$2+1,FALSE)</f>
        <v>2312.7941890000002</v>
      </c>
      <c r="Q441" s="8">
        <f>VLOOKUP($B441,floorspace!$B$4:$O$12,'shell factors calc'!Q$2+1,FALSE)</f>
        <v>83.223968999999997</v>
      </c>
      <c r="R441" s="8">
        <f>VLOOKUP($B441,floorspace!$B$4:$O$12,'shell factors calc'!R$2+1,FALSE)</f>
        <v>256.68893400000002</v>
      </c>
      <c r="S441" s="8">
        <f>VLOOKUP($B441,floorspace!$B$4:$O$12,'shell factors calc'!S$2+1,FALSE)</f>
        <v>374.32568400000002</v>
      </c>
      <c r="T441" s="8">
        <f>VLOOKUP($B441,floorspace!$B$4:$O$12,'shell factors calc'!T$2+1,FALSE)</f>
        <v>1280.028564</v>
      </c>
      <c r="U441" s="8">
        <f>VLOOKUP($B441,floorspace!$B$4:$O$12,'shell factors calc'!U$2+1,FALSE)</f>
        <v>2275.966797</v>
      </c>
      <c r="V441" s="8">
        <f>VLOOKUP($B441,floorspace!$B$4:$O$12,'shell factors calc'!V$2+1,FALSE)</f>
        <v>1147.5775149999999</v>
      </c>
      <c r="W441" s="8">
        <f>VLOOKUP($B441,floorspace!$B$4:$O$12,'shell factors calc'!W$2+1,FALSE)</f>
        <v>2893.2617190000001</v>
      </c>
      <c r="X441" s="8">
        <f>VLOOKUP($B441,floorspace!$B$4:$O$12,'shell factors calc'!X$2+1,FALSE)</f>
        <v>3003.1875</v>
      </c>
      <c r="Y441" s="8">
        <f>VLOOKUP($B441,floorspace!$B$4:$O$12,'shell factors calc'!Y$2+1,FALSE)</f>
        <v>1165.4536129999999</v>
      </c>
      <c r="Z441">
        <f t="shared" si="7"/>
        <v>0.51616880034569745</v>
      </c>
    </row>
    <row r="442" spans="1:26" x14ac:dyDescent="0.2">
      <c r="A442" s="5" t="s">
        <v>46</v>
      </c>
      <c r="B442" s="5" t="s">
        <v>40</v>
      </c>
      <c r="C442" s="6" t="s">
        <v>28</v>
      </c>
      <c r="D442" s="7">
        <v>0.44308199999999998</v>
      </c>
      <c r="E442">
        <v>0.47632999999999998</v>
      </c>
      <c r="F442">
        <v>0.74044399999999999</v>
      </c>
      <c r="G442">
        <v>0.62060499999999996</v>
      </c>
      <c r="H442">
        <v>0.56925300000000001</v>
      </c>
      <c r="I442">
        <v>0.42746099999999998</v>
      </c>
      <c r="J442">
        <v>0.51004099999999997</v>
      </c>
      <c r="K442">
        <v>0.48602099999999998</v>
      </c>
      <c r="L442">
        <v>0.37291600000000003</v>
      </c>
      <c r="M442">
        <v>0.74593799999999999</v>
      </c>
      <c r="N442">
        <v>0.50139500000000004</v>
      </c>
      <c r="O442" s="8">
        <f>VLOOKUP($B442,floorspace!$B$4:$O$12,'shell factors calc'!O$2+1,FALSE)</f>
        <v>2861.713135</v>
      </c>
      <c r="P442" s="8">
        <f>VLOOKUP($B442,floorspace!$B$4:$O$12,'shell factors calc'!P$2+1,FALSE)</f>
        <v>2312.7941890000002</v>
      </c>
      <c r="Q442" s="8">
        <f>VLOOKUP($B442,floorspace!$B$4:$O$12,'shell factors calc'!Q$2+1,FALSE)</f>
        <v>83.223968999999997</v>
      </c>
      <c r="R442" s="8">
        <f>VLOOKUP($B442,floorspace!$B$4:$O$12,'shell factors calc'!R$2+1,FALSE)</f>
        <v>256.68893400000002</v>
      </c>
      <c r="S442" s="8">
        <f>VLOOKUP($B442,floorspace!$B$4:$O$12,'shell factors calc'!S$2+1,FALSE)</f>
        <v>374.32568400000002</v>
      </c>
      <c r="T442" s="8">
        <f>VLOOKUP($B442,floorspace!$B$4:$O$12,'shell factors calc'!T$2+1,FALSE)</f>
        <v>1280.028564</v>
      </c>
      <c r="U442" s="8">
        <f>VLOOKUP($B442,floorspace!$B$4:$O$12,'shell factors calc'!U$2+1,FALSE)</f>
        <v>2275.966797</v>
      </c>
      <c r="V442" s="8">
        <f>VLOOKUP($B442,floorspace!$B$4:$O$12,'shell factors calc'!V$2+1,FALSE)</f>
        <v>1147.5775149999999</v>
      </c>
      <c r="W442" s="8">
        <f>VLOOKUP($B442,floorspace!$B$4:$O$12,'shell factors calc'!W$2+1,FALSE)</f>
        <v>2893.2617190000001</v>
      </c>
      <c r="X442" s="8">
        <f>VLOOKUP($B442,floorspace!$B$4:$O$12,'shell factors calc'!X$2+1,FALSE)</f>
        <v>3003.1875</v>
      </c>
      <c r="Y442" s="8">
        <f>VLOOKUP($B442,floorspace!$B$4:$O$12,'shell factors calc'!Y$2+1,FALSE)</f>
        <v>1165.4536129999999</v>
      </c>
      <c r="Z442">
        <f t="shared" si="7"/>
        <v>0.50825640990272614</v>
      </c>
    </row>
    <row r="443" spans="1:26" x14ac:dyDescent="0.2">
      <c r="A443" s="5" t="s">
        <v>46</v>
      </c>
      <c r="B443" s="5" t="s">
        <v>40</v>
      </c>
      <c r="C443" s="6" t="s">
        <v>29</v>
      </c>
      <c r="D443" s="7">
        <v>0.43471100000000001</v>
      </c>
      <c r="E443">
        <v>0.46838400000000002</v>
      </c>
      <c r="F443">
        <v>0.73619299999999999</v>
      </c>
      <c r="G443">
        <v>0.61517500000000003</v>
      </c>
      <c r="H443">
        <v>0.56197699999999995</v>
      </c>
      <c r="I443">
        <v>0.41731000000000001</v>
      </c>
      <c r="J443">
        <v>0.50199099999999997</v>
      </c>
      <c r="K443">
        <v>0.47848600000000002</v>
      </c>
      <c r="L443">
        <v>0.36330800000000002</v>
      </c>
      <c r="M443">
        <v>0.74156599999999995</v>
      </c>
      <c r="N443">
        <v>0.49328300000000003</v>
      </c>
      <c r="O443" s="8">
        <f>VLOOKUP($B443,floorspace!$B$4:$O$12,'shell factors calc'!O$2+1,FALSE)</f>
        <v>2861.713135</v>
      </c>
      <c r="P443" s="8">
        <f>VLOOKUP($B443,floorspace!$B$4:$O$12,'shell factors calc'!P$2+1,FALSE)</f>
        <v>2312.7941890000002</v>
      </c>
      <c r="Q443" s="8">
        <f>VLOOKUP($B443,floorspace!$B$4:$O$12,'shell factors calc'!Q$2+1,FALSE)</f>
        <v>83.223968999999997</v>
      </c>
      <c r="R443" s="8">
        <f>VLOOKUP($B443,floorspace!$B$4:$O$12,'shell factors calc'!R$2+1,FALSE)</f>
        <v>256.68893400000002</v>
      </c>
      <c r="S443" s="8">
        <f>VLOOKUP($B443,floorspace!$B$4:$O$12,'shell factors calc'!S$2+1,FALSE)</f>
        <v>374.32568400000002</v>
      </c>
      <c r="T443" s="8">
        <f>VLOOKUP($B443,floorspace!$B$4:$O$12,'shell factors calc'!T$2+1,FALSE)</f>
        <v>1280.028564</v>
      </c>
      <c r="U443" s="8">
        <f>VLOOKUP($B443,floorspace!$B$4:$O$12,'shell factors calc'!U$2+1,FALSE)</f>
        <v>2275.966797</v>
      </c>
      <c r="V443" s="8">
        <f>VLOOKUP($B443,floorspace!$B$4:$O$12,'shell factors calc'!V$2+1,FALSE)</f>
        <v>1147.5775149999999</v>
      </c>
      <c r="W443" s="8">
        <f>VLOOKUP($B443,floorspace!$B$4:$O$12,'shell factors calc'!W$2+1,FALSE)</f>
        <v>2893.2617190000001</v>
      </c>
      <c r="X443" s="8">
        <f>VLOOKUP($B443,floorspace!$B$4:$O$12,'shell factors calc'!X$2+1,FALSE)</f>
        <v>3003.1875</v>
      </c>
      <c r="Y443" s="8">
        <f>VLOOKUP($B443,floorspace!$B$4:$O$12,'shell factors calc'!Y$2+1,FALSE)</f>
        <v>1165.4536129999999</v>
      </c>
      <c r="Z443">
        <f t="shared" si="7"/>
        <v>0.50048780252831515</v>
      </c>
    </row>
    <row r="444" spans="1:26" x14ac:dyDescent="0.2">
      <c r="A444" s="5" t="s">
        <v>46</v>
      </c>
      <c r="B444" s="5" t="s">
        <v>40</v>
      </c>
      <c r="C444" s="6" t="s">
        <v>30</v>
      </c>
      <c r="D444" s="7">
        <v>0.42649799999999999</v>
      </c>
      <c r="E444">
        <v>0.46056999999999998</v>
      </c>
      <c r="F444">
        <v>0.73196600000000001</v>
      </c>
      <c r="G444">
        <v>0.609792</v>
      </c>
      <c r="H444">
        <v>0.55479299999999998</v>
      </c>
      <c r="I444">
        <v>0.40739999999999998</v>
      </c>
      <c r="J444">
        <v>0.49406899999999998</v>
      </c>
      <c r="K444">
        <v>0.47106700000000001</v>
      </c>
      <c r="L444">
        <v>0.35394799999999998</v>
      </c>
      <c r="M444">
        <v>0.73721999999999999</v>
      </c>
      <c r="N444">
        <v>0.48530299999999998</v>
      </c>
      <c r="O444" s="8">
        <f>VLOOKUP($B444,floorspace!$B$4:$O$12,'shell factors calc'!O$2+1,FALSE)</f>
        <v>2861.713135</v>
      </c>
      <c r="P444" s="8">
        <f>VLOOKUP($B444,floorspace!$B$4:$O$12,'shell factors calc'!P$2+1,FALSE)</f>
        <v>2312.7941890000002</v>
      </c>
      <c r="Q444" s="8">
        <f>VLOOKUP($B444,floorspace!$B$4:$O$12,'shell factors calc'!Q$2+1,FALSE)</f>
        <v>83.223968999999997</v>
      </c>
      <c r="R444" s="8">
        <f>VLOOKUP($B444,floorspace!$B$4:$O$12,'shell factors calc'!R$2+1,FALSE)</f>
        <v>256.68893400000002</v>
      </c>
      <c r="S444" s="8">
        <f>VLOOKUP($B444,floorspace!$B$4:$O$12,'shell factors calc'!S$2+1,FALSE)</f>
        <v>374.32568400000002</v>
      </c>
      <c r="T444" s="8">
        <f>VLOOKUP($B444,floorspace!$B$4:$O$12,'shell factors calc'!T$2+1,FALSE)</f>
        <v>1280.028564</v>
      </c>
      <c r="U444" s="8">
        <f>VLOOKUP($B444,floorspace!$B$4:$O$12,'shell factors calc'!U$2+1,FALSE)</f>
        <v>2275.966797</v>
      </c>
      <c r="V444" s="8">
        <f>VLOOKUP($B444,floorspace!$B$4:$O$12,'shell factors calc'!V$2+1,FALSE)</f>
        <v>1147.5775149999999</v>
      </c>
      <c r="W444" s="8">
        <f>VLOOKUP($B444,floorspace!$B$4:$O$12,'shell factors calc'!W$2+1,FALSE)</f>
        <v>2893.2617190000001</v>
      </c>
      <c r="X444" s="8">
        <f>VLOOKUP($B444,floorspace!$B$4:$O$12,'shell factors calc'!X$2+1,FALSE)</f>
        <v>3003.1875</v>
      </c>
      <c r="Y444" s="8">
        <f>VLOOKUP($B444,floorspace!$B$4:$O$12,'shell factors calc'!Y$2+1,FALSE)</f>
        <v>1165.4536129999999</v>
      </c>
      <c r="Z444">
        <f t="shared" si="7"/>
        <v>0.49286014277334439</v>
      </c>
    </row>
    <row r="445" spans="1:26" x14ac:dyDescent="0.2">
      <c r="A445" s="5" t="s">
        <v>46</v>
      </c>
      <c r="B445" s="5" t="s">
        <v>40</v>
      </c>
      <c r="C445" s="6" t="s">
        <v>31</v>
      </c>
      <c r="D445" s="7">
        <v>0.41844100000000001</v>
      </c>
      <c r="E445">
        <v>0.45288699999999998</v>
      </c>
      <c r="F445">
        <v>0.72776300000000005</v>
      </c>
      <c r="G445">
        <v>0.60445599999999999</v>
      </c>
      <c r="H445">
        <v>0.54770200000000002</v>
      </c>
      <c r="I445">
        <v>0.397725</v>
      </c>
      <c r="J445">
        <v>0.48627100000000001</v>
      </c>
      <c r="K445">
        <v>0.46376400000000001</v>
      </c>
      <c r="L445">
        <v>0.344829</v>
      </c>
      <c r="M445">
        <v>0.73289800000000005</v>
      </c>
      <c r="N445">
        <v>0.47745100000000001</v>
      </c>
      <c r="O445" s="8">
        <f>VLOOKUP($B445,floorspace!$B$4:$O$12,'shell factors calc'!O$2+1,FALSE)</f>
        <v>2861.713135</v>
      </c>
      <c r="P445" s="8">
        <f>VLOOKUP($B445,floorspace!$B$4:$O$12,'shell factors calc'!P$2+1,FALSE)</f>
        <v>2312.7941890000002</v>
      </c>
      <c r="Q445" s="8">
        <f>VLOOKUP($B445,floorspace!$B$4:$O$12,'shell factors calc'!Q$2+1,FALSE)</f>
        <v>83.223968999999997</v>
      </c>
      <c r="R445" s="8">
        <f>VLOOKUP($B445,floorspace!$B$4:$O$12,'shell factors calc'!R$2+1,FALSE)</f>
        <v>256.68893400000002</v>
      </c>
      <c r="S445" s="8">
        <f>VLOOKUP($B445,floorspace!$B$4:$O$12,'shell factors calc'!S$2+1,FALSE)</f>
        <v>374.32568400000002</v>
      </c>
      <c r="T445" s="8">
        <f>VLOOKUP($B445,floorspace!$B$4:$O$12,'shell factors calc'!T$2+1,FALSE)</f>
        <v>1280.028564</v>
      </c>
      <c r="U445" s="8">
        <f>VLOOKUP($B445,floorspace!$B$4:$O$12,'shell factors calc'!U$2+1,FALSE)</f>
        <v>2275.966797</v>
      </c>
      <c r="V445" s="8">
        <f>VLOOKUP($B445,floorspace!$B$4:$O$12,'shell factors calc'!V$2+1,FALSE)</f>
        <v>1147.5775149999999</v>
      </c>
      <c r="W445" s="8">
        <f>VLOOKUP($B445,floorspace!$B$4:$O$12,'shell factors calc'!W$2+1,FALSE)</f>
        <v>2893.2617190000001</v>
      </c>
      <c r="X445" s="8">
        <f>VLOOKUP($B445,floorspace!$B$4:$O$12,'shell factors calc'!X$2+1,FALSE)</f>
        <v>3003.1875</v>
      </c>
      <c r="Y445" s="8">
        <f>VLOOKUP($B445,floorspace!$B$4:$O$12,'shell factors calc'!Y$2+1,FALSE)</f>
        <v>1165.4536129999999</v>
      </c>
      <c r="Z445">
        <f t="shared" si="7"/>
        <v>0.4853702944499928</v>
      </c>
    </row>
    <row r="446" spans="1:26" x14ac:dyDescent="0.2">
      <c r="A446" s="5" t="s">
        <v>46</v>
      </c>
      <c r="B446" s="5" t="s">
        <v>40</v>
      </c>
      <c r="C446" s="6" t="s">
        <v>32</v>
      </c>
      <c r="D446" s="7">
        <v>0.41053499999999998</v>
      </c>
      <c r="E446">
        <v>0.44533200000000001</v>
      </c>
      <c r="F446">
        <v>0.72358500000000003</v>
      </c>
      <c r="G446">
        <v>0.59916700000000001</v>
      </c>
      <c r="H446">
        <v>0.54070099999999999</v>
      </c>
      <c r="I446">
        <v>0.38828000000000001</v>
      </c>
      <c r="J446">
        <v>0.47859600000000002</v>
      </c>
      <c r="K446">
        <v>0.45657399999999998</v>
      </c>
      <c r="L446">
        <v>0.33594499999999999</v>
      </c>
      <c r="M446">
        <v>0.728603</v>
      </c>
      <c r="N446">
        <v>0.46972700000000001</v>
      </c>
      <c r="O446" s="8">
        <f>VLOOKUP($B446,floorspace!$B$4:$O$12,'shell factors calc'!O$2+1,FALSE)</f>
        <v>2861.713135</v>
      </c>
      <c r="P446" s="8">
        <f>VLOOKUP($B446,floorspace!$B$4:$O$12,'shell factors calc'!P$2+1,FALSE)</f>
        <v>2312.7941890000002</v>
      </c>
      <c r="Q446" s="8">
        <f>VLOOKUP($B446,floorspace!$B$4:$O$12,'shell factors calc'!Q$2+1,FALSE)</f>
        <v>83.223968999999997</v>
      </c>
      <c r="R446" s="8">
        <f>VLOOKUP($B446,floorspace!$B$4:$O$12,'shell factors calc'!R$2+1,FALSE)</f>
        <v>256.68893400000002</v>
      </c>
      <c r="S446" s="8">
        <f>VLOOKUP($B446,floorspace!$B$4:$O$12,'shell factors calc'!S$2+1,FALSE)</f>
        <v>374.32568400000002</v>
      </c>
      <c r="T446" s="8">
        <f>VLOOKUP($B446,floorspace!$B$4:$O$12,'shell factors calc'!T$2+1,FALSE)</f>
        <v>1280.028564</v>
      </c>
      <c r="U446" s="8">
        <f>VLOOKUP($B446,floorspace!$B$4:$O$12,'shell factors calc'!U$2+1,FALSE)</f>
        <v>2275.966797</v>
      </c>
      <c r="V446" s="8">
        <f>VLOOKUP($B446,floorspace!$B$4:$O$12,'shell factors calc'!V$2+1,FALSE)</f>
        <v>1147.5775149999999</v>
      </c>
      <c r="W446" s="8">
        <f>VLOOKUP($B446,floorspace!$B$4:$O$12,'shell factors calc'!W$2+1,FALSE)</f>
        <v>2893.2617190000001</v>
      </c>
      <c r="X446" s="8">
        <f>VLOOKUP($B446,floorspace!$B$4:$O$12,'shell factors calc'!X$2+1,FALSE)</f>
        <v>3003.1875</v>
      </c>
      <c r="Y446" s="8">
        <f>VLOOKUP($B446,floorspace!$B$4:$O$12,'shell factors calc'!Y$2+1,FALSE)</f>
        <v>1165.4536129999999</v>
      </c>
      <c r="Z446">
        <f t="shared" si="7"/>
        <v>0.47801583572668804</v>
      </c>
    </row>
    <row r="447" spans="1:26" x14ac:dyDescent="0.2">
      <c r="A447" s="5" t="s">
        <v>46</v>
      </c>
      <c r="B447" s="5" t="s">
        <v>40</v>
      </c>
      <c r="C447" s="6" t="s">
        <v>33</v>
      </c>
      <c r="D447" s="7">
        <v>0.40278000000000003</v>
      </c>
      <c r="E447">
        <v>0.43790200000000001</v>
      </c>
      <c r="F447">
        <v>0.71943100000000004</v>
      </c>
      <c r="G447">
        <v>0.59392500000000004</v>
      </c>
      <c r="H447">
        <v>0.53378899999999996</v>
      </c>
      <c r="I447">
        <v>0.37905899999999998</v>
      </c>
      <c r="J447">
        <v>0.47104299999999999</v>
      </c>
      <c r="K447">
        <v>0.44949499999999998</v>
      </c>
      <c r="L447">
        <v>0.32729000000000003</v>
      </c>
      <c r="M447">
        <v>0.72433199999999998</v>
      </c>
      <c r="N447">
        <v>0.46212799999999998</v>
      </c>
      <c r="O447" s="8">
        <f>VLOOKUP($B447,floorspace!$B$4:$O$12,'shell factors calc'!O$2+1,FALSE)</f>
        <v>2861.713135</v>
      </c>
      <c r="P447" s="8">
        <f>VLOOKUP($B447,floorspace!$B$4:$O$12,'shell factors calc'!P$2+1,FALSE)</f>
        <v>2312.7941890000002</v>
      </c>
      <c r="Q447" s="8">
        <f>VLOOKUP($B447,floorspace!$B$4:$O$12,'shell factors calc'!Q$2+1,FALSE)</f>
        <v>83.223968999999997</v>
      </c>
      <c r="R447" s="8">
        <f>VLOOKUP($B447,floorspace!$B$4:$O$12,'shell factors calc'!R$2+1,FALSE)</f>
        <v>256.68893400000002</v>
      </c>
      <c r="S447" s="8">
        <f>VLOOKUP($B447,floorspace!$B$4:$O$12,'shell factors calc'!S$2+1,FALSE)</f>
        <v>374.32568400000002</v>
      </c>
      <c r="T447" s="8">
        <f>VLOOKUP($B447,floorspace!$B$4:$O$12,'shell factors calc'!T$2+1,FALSE)</f>
        <v>1280.028564</v>
      </c>
      <c r="U447" s="8">
        <f>VLOOKUP($B447,floorspace!$B$4:$O$12,'shell factors calc'!U$2+1,FALSE)</f>
        <v>2275.966797</v>
      </c>
      <c r="V447" s="8">
        <f>VLOOKUP($B447,floorspace!$B$4:$O$12,'shell factors calc'!V$2+1,FALSE)</f>
        <v>1147.5775149999999</v>
      </c>
      <c r="W447" s="8">
        <f>VLOOKUP($B447,floorspace!$B$4:$O$12,'shell factors calc'!W$2+1,FALSE)</f>
        <v>2893.2617190000001</v>
      </c>
      <c r="X447" s="8">
        <f>VLOOKUP($B447,floorspace!$B$4:$O$12,'shell factors calc'!X$2+1,FALSE)</f>
        <v>3003.1875</v>
      </c>
      <c r="Y447" s="8">
        <f>VLOOKUP($B447,floorspace!$B$4:$O$12,'shell factors calc'!Y$2+1,FALSE)</f>
        <v>1165.4536129999999</v>
      </c>
      <c r="Z447">
        <f t="shared" si="7"/>
        <v>0.47079396202103879</v>
      </c>
    </row>
    <row r="448" spans="1:26" x14ac:dyDescent="0.2">
      <c r="A448" s="5" t="s">
        <v>46</v>
      </c>
      <c r="B448" s="5" t="s">
        <v>40</v>
      </c>
      <c r="C448" s="6" t="s">
        <v>34</v>
      </c>
      <c r="D448" s="7">
        <v>0.39517000000000002</v>
      </c>
      <c r="E448">
        <v>0.43059700000000001</v>
      </c>
      <c r="F448">
        <v>0.71530000000000005</v>
      </c>
      <c r="G448">
        <v>0.58872800000000003</v>
      </c>
      <c r="H448">
        <v>0.52696600000000005</v>
      </c>
      <c r="I448">
        <v>0.37005700000000002</v>
      </c>
      <c r="J448">
        <v>0.46360800000000002</v>
      </c>
      <c r="K448">
        <v>0.44252599999999997</v>
      </c>
      <c r="L448">
        <v>0.31885799999999997</v>
      </c>
      <c r="M448">
        <v>0.72008700000000003</v>
      </c>
      <c r="N448">
        <v>0.454652</v>
      </c>
      <c r="O448" s="8">
        <f>VLOOKUP($B448,floorspace!$B$4:$O$12,'shell factors calc'!O$2+1,FALSE)</f>
        <v>2861.713135</v>
      </c>
      <c r="P448" s="8">
        <f>VLOOKUP($B448,floorspace!$B$4:$O$12,'shell factors calc'!P$2+1,FALSE)</f>
        <v>2312.7941890000002</v>
      </c>
      <c r="Q448" s="8">
        <f>VLOOKUP($B448,floorspace!$B$4:$O$12,'shell factors calc'!Q$2+1,FALSE)</f>
        <v>83.223968999999997</v>
      </c>
      <c r="R448" s="8">
        <f>VLOOKUP($B448,floorspace!$B$4:$O$12,'shell factors calc'!R$2+1,FALSE)</f>
        <v>256.68893400000002</v>
      </c>
      <c r="S448" s="8">
        <f>VLOOKUP($B448,floorspace!$B$4:$O$12,'shell factors calc'!S$2+1,FALSE)</f>
        <v>374.32568400000002</v>
      </c>
      <c r="T448" s="8">
        <f>VLOOKUP($B448,floorspace!$B$4:$O$12,'shell factors calc'!T$2+1,FALSE)</f>
        <v>1280.028564</v>
      </c>
      <c r="U448" s="8">
        <f>VLOOKUP($B448,floorspace!$B$4:$O$12,'shell factors calc'!U$2+1,FALSE)</f>
        <v>2275.966797</v>
      </c>
      <c r="V448" s="8">
        <f>VLOOKUP($B448,floorspace!$B$4:$O$12,'shell factors calc'!V$2+1,FALSE)</f>
        <v>1147.5775149999999</v>
      </c>
      <c r="W448" s="8">
        <f>VLOOKUP($B448,floorspace!$B$4:$O$12,'shell factors calc'!W$2+1,FALSE)</f>
        <v>2893.2617190000001</v>
      </c>
      <c r="X448" s="8">
        <f>VLOOKUP($B448,floorspace!$B$4:$O$12,'shell factors calc'!X$2+1,FALSE)</f>
        <v>3003.1875</v>
      </c>
      <c r="Y448" s="8">
        <f>VLOOKUP($B448,floorspace!$B$4:$O$12,'shell factors calc'!Y$2+1,FALSE)</f>
        <v>1165.4536129999999</v>
      </c>
      <c r="Z448">
        <f t="shared" si="7"/>
        <v>0.46370194862664094</v>
      </c>
    </row>
    <row r="449" spans="1:26" x14ac:dyDescent="0.2">
      <c r="A449" s="5" t="s">
        <v>46</v>
      </c>
      <c r="B449" s="5" t="s">
        <v>40</v>
      </c>
      <c r="C449" s="6" t="s">
        <v>35</v>
      </c>
      <c r="D449" s="7">
        <v>0.38770500000000002</v>
      </c>
      <c r="E449">
        <v>0.42341400000000001</v>
      </c>
      <c r="F449">
        <v>0.71119299999999996</v>
      </c>
      <c r="G449">
        <v>0.58357599999999998</v>
      </c>
      <c r="H449">
        <v>0.52022999999999997</v>
      </c>
      <c r="I449">
        <v>0.36126900000000001</v>
      </c>
      <c r="J449">
        <v>0.456291</v>
      </c>
      <c r="K449">
        <v>0.43566500000000002</v>
      </c>
      <c r="L449">
        <v>0.310643</v>
      </c>
      <c r="M449">
        <v>0.715866</v>
      </c>
      <c r="N449">
        <v>0.44729600000000003</v>
      </c>
      <c r="O449" s="8">
        <f>VLOOKUP($B449,floorspace!$B$4:$O$12,'shell factors calc'!O$2+1,FALSE)</f>
        <v>2861.713135</v>
      </c>
      <c r="P449" s="8">
        <f>VLOOKUP($B449,floorspace!$B$4:$O$12,'shell factors calc'!P$2+1,FALSE)</f>
        <v>2312.7941890000002</v>
      </c>
      <c r="Q449" s="8">
        <f>VLOOKUP($B449,floorspace!$B$4:$O$12,'shell factors calc'!Q$2+1,FALSE)</f>
        <v>83.223968999999997</v>
      </c>
      <c r="R449" s="8">
        <f>VLOOKUP($B449,floorspace!$B$4:$O$12,'shell factors calc'!R$2+1,FALSE)</f>
        <v>256.68893400000002</v>
      </c>
      <c r="S449" s="8">
        <f>VLOOKUP($B449,floorspace!$B$4:$O$12,'shell factors calc'!S$2+1,FALSE)</f>
        <v>374.32568400000002</v>
      </c>
      <c r="T449" s="8">
        <f>VLOOKUP($B449,floorspace!$B$4:$O$12,'shell factors calc'!T$2+1,FALSE)</f>
        <v>1280.028564</v>
      </c>
      <c r="U449" s="8">
        <f>VLOOKUP($B449,floorspace!$B$4:$O$12,'shell factors calc'!U$2+1,FALSE)</f>
        <v>2275.966797</v>
      </c>
      <c r="V449" s="8">
        <f>VLOOKUP($B449,floorspace!$B$4:$O$12,'shell factors calc'!V$2+1,FALSE)</f>
        <v>1147.5775149999999</v>
      </c>
      <c r="W449" s="8">
        <f>VLOOKUP($B449,floorspace!$B$4:$O$12,'shell factors calc'!W$2+1,FALSE)</f>
        <v>2893.2617190000001</v>
      </c>
      <c r="X449" s="8">
        <f>VLOOKUP($B449,floorspace!$B$4:$O$12,'shell factors calc'!X$2+1,FALSE)</f>
        <v>3003.1875</v>
      </c>
      <c r="Y449" s="8">
        <f>VLOOKUP($B449,floorspace!$B$4:$O$12,'shell factors calc'!Y$2+1,FALSE)</f>
        <v>1165.4536129999999</v>
      </c>
      <c r="Z449">
        <f t="shared" si="7"/>
        <v>0.4567373507223686</v>
      </c>
    </row>
    <row r="450" spans="1:26" x14ac:dyDescent="0.2">
      <c r="A450" s="5" t="s">
        <v>46</v>
      </c>
      <c r="B450" s="1" t="s">
        <v>40</v>
      </c>
      <c r="C450" s="2" t="s">
        <v>36</v>
      </c>
      <c r="D450" s="4">
        <v>0.38038</v>
      </c>
      <c r="E450">
        <v>0.41635</v>
      </c>
      <c r="F450">
        <v>0.70711000000000002</v>
      </c>
      <c r="G450">
        <v>0.57847000000000004</v>
      </c>
      <c r="H450">
        <v>0.51358000000000004</v>
      </c>
      <c r="I450">
        <v>0.35269</v>
      </c>
      <c r="J450">
        <v>0.44908999999999999</v>
      </c>
      <c r="K450">
        <v>0.42891000000000001</v>
      </c>
      <c r="L450">
        <v>0.30264000000000002</v>
      </c>
      <c r="M450">
        <v>0.71167000000000002</v>
      </c>
      <c r="N450">
        <v>0.44006000000000001</v>
      </c>
      <c r="O450" s="8">
        <f>VLOOKUP($B450,floorspace!$B$4:$O$12,'shell factors calc'!O$2+1,FALSE)</f>
        <v>2861.713135</v>
      </c>
      <c r="P450" s="8">
        <f>VLOOKUP($B450,floorspace!$B$4:$O$12,'shell factors calc'!P$2+1,FALSE)</f>
        <v>2312.7941890000002</v>
      </c>
      <c r="Q450" s="8">
        <f>VLOOKUP($B450,floorspace!$B$4:$O$12,'shell factors calc'!Q$2+1,FALSE)</f>
        <v>83.223968999999997</v>
      </c>
      <c r="R450" s="8">
        <f>VLOOKUP($B450,floorspace!$B$4:$O$12,'shell factors calc'!R$2+1,FALSE)</f>
        <v>256.68893400000002</v>
      </c>
      <c r="S450" s="8">
        <f>VLOOKUP($B450,floorspace!$B$4:$O$12,'shell factors calc'!S$2+1,FALSE)</f>
        <v>374.32568400000002</v>
      </c>
      <c r="T450" s="8">
        <f>VLOOKUP($B450,floorspace!$B$4:$O$12,'shell factors calc'!T$2+1,FALSE)</f>
        <v>1280.028564</v>
      </c>
      <c r="U450" s="8">
        <f>VLOOKUP($B450,floorspace!$B$4:$O$12,'shell factors calc'!U$2+1,FALSE)</f>
        <v>2275.966797</v>
      </c>
      <c r="V450" s="8">
        <f>VLOOKUP($B450,floorspace!$B$4:$O$12,'shell factors calc'!V$2+1,FALSE)</f>
        <v>1147.5775149999999</v>
      </c>
      <c r="W450" s="8">
        <f>VLOOKUP($B450,floorspace!$B$4:$O$12,'shell factors calc'!W$2+1,FALSE)</f>
        <v>2893.2617190000001</v>
      </c>
      <c r="X450" s="8">
        <f>VLOOKUP($B450,floorspace!$B$4:$O$12,'shell factors calc'!X$2+1,FALSE)</f>
        <v>3003.1875</v>
      </c>
      <c r="Y450" s="8">
        <f>VLOOKUP($B450,floorspace!$B$4:$O$12,'shell factors calc'!Y$2+1,FALSE)</f>
        <v>1165.4536129999999</v>
      </c>
      <c r="Z450">
        <f t="shared" si="7"/>
        <v>0.44989755845441337</v>
      </c>
    </row>
    <row r="451" spans="1:26" x14ac:dyDescent="0.2">
      <c r="A451" s="5" t="s">
        <v>46</v>
      </c>
      <c r="B451" s="5" t="s">
        <v>41</v>
      </c>
      <c r="C451" s="6" t="s">
        <v>5</v>
      </c>
      <c r="D451" s="7">
        <v>0.64168999999999998</v>
      </c>
      <c r="E451">
        <v>0.67169000000000001</v>
      </c>
      <c r="F451">
        <v>0.87612699999999999</v>
      </c>
      <c r="G451">
        <v>0.80511999999999995</v>
      </c>
      <c r="H451">
        <v>0.73017900000000002</v>
      </c>
      <c r="I451">
        <v>0.673539</v>
      </c>
      <c r="J451">
        <v>0.71986000000000006</v>
      </c>
      <c r="K451">
        <v>0.67745</v>
      </c>
      <c r="L451">
        <v>0.57888099999999998</v>
      </c>
      <c r="M451">
        <v>0.83692699999999998</v>
      </c>
      <c r="N451">
        <v>0.702376</v>
      </c>
      <c r="O451" s="8">
        <f>VLOOKUP($B451,floorspace!$B$4:$O$12,'shell factors calc'!O$2+1,FALSE)</f>
        <v>781.29705799999999</v>
      </c>
      <c r="P451" s="8">
        <f>VLOOKUP($B451,floorspace!$B$4:$O$12,'shell factors calc'!P$2+1,FALSE)</f>
        <v>810.63122599999997</v>
      </c>
      <c r="Q451" s="8">
        <f>VLOOKUP($B451,floorspace!$B$4:$O$12,'shell factors calc'!Q$2+1,FALSE)</f>
        <v>37.654308</v>
      </c>
      <c r="R451" s="8">
        <f>VLOOKUP($B451,floorspace!$B$4:$O$12,'shell factors calc'!R$2+1,FALSE)</f>
        <v>106.849113</v>
      </c>
      <c r="S451" s="8">
        <f>VLOOKUP($B451,floorspace!$B$4:$O$12,'shell factors calc'!S$2+1,FALSE)</f>
        <v>112.30965399999999</v>
      </c>
      <c r="T451" s="8">
        <f>VLOOKUP($B451,floorspace!$B$4:$O$12,'shell factors calc'!T$2+1,FALSE)</f>
        <v>321.35845899999998</v>
      </c>
      <c r="U451" s="8">
        <f>VLOOKUP($B451,floorspace!$B$4:$O$12,'shell factors calc'!U$2+1,FALSE)</f>
        <v>292.84985399999999</v>
      </c>
      <c r="V451" s="8">
        <f>VLOOKUP($B451,floorspace!$B$4:$O$12,'shell factors calc'!V$2+1,FALSE)</f>
        <v>365.47903400000001</v>
      </c>
      <c r="W451" s="8">
        <f>VLOOKUP($B451,floorspace!$B$4:$O$12,'shell factors calc'!W$2+1,FALSE)</f>
        <v>999.54614300000003</v>
      </c>
      <c r="X451" s="8">
        <f>VLOOKUP($B451,floorspace!$B$4:$O$12,'shell factors calc'!X$2+1,FALSE)</f>
        <v>1249.8131100000001</v>
      </c>
      <c r="Y451" s="8">
        <f>VLOOKUP($B451,floorspace!$B$4:$O$12,'shell factors calc'!Y$2+1,FALSE)</f>
        <v>265.97723400000001</v>
      </c>
      <c r="Z451">
        <f t="shared" si="7"/>
        <v>0.69860004752248117</v>
      </c>
    </row>
    <row r="452" spans="1:26" x14ac:dyDescent="0.2">
      <c r="A452" s="5" t="s">
        <v>46</v>
      </c>
      <c r="B452" s="5" t="s">
        <v>41</v>
      </c>
      <c r="C452" s="6" t="s">
        <v>6</v>
      </c>
      <c r="D452" s="7">
        <v>0.63376999999999994</v>
      </c>
      <c r="E452">
        <v>0.66439999999999999</v>
      </c>
      <c r="F452">
        <v>0.86528000000000005</v>
      </c>
      <c r="G452">
        <v>0.80103000000000002</v>
      </c>
      <c r="H452">
        <v>0.72299000000000002</v>
      </c>
      <c r="I452">
        <v>0.66451000000000005</v>
      </c>
      <c r="J452">
        <v>0.71279999999999999</v>
      </c>
      <c r="K452">
        <v>0.67061999999999999</v>
      </c>
      <c r="L452">
        <v>0.56911999999999996</v>
      </c>
      <c r="M452">
        <v>0.83231999999999995</v>
      </c>
      <c r="N452">
        <v>0.69498000000000004</v>
      </c>
      <c r="O452" s="8">
        <f>VLOOKUP($B452,floorspace!$B$4:$O$12,'shell factors calc'!O$2+1,FALSE)</f>
        <v>781.29705799999999</v>
      </c>
      <c r="P452" s="8">
        <f>VLOOKUP($B452,floorspace!$B$4:$O$12,'shell factors calc'!P$2+1,FALSE)</f>
        <v>810.63122599999997</v>
      </c>
      <c r="Q452" s="8">
        <f>VLOOKUP($B452,floorspace!$B$4:$O$12,'shell factors calc'!Q$2+1,FALSE)</f>
        <v>37.654308</v>
      </c>
      <c r="R452" s="8">
        <f>VLOOKUP($B452,floorspace!$B$4:$O$12,'shell factors calc'!R$2+1,FALSE)</f>
        <v>106.849113</v>
      </c>
      <c r="S452" s="8">
        <f>VLOOKUP($B452,floorspace!$B$4:$O$12,'shell factors calc'!S$2+1,FALSE)</f>
        <v>112.30965399999999</v>
      </c>
      <c r="T452" s="8">
        <f>VLOOKUP($B452,floorspace!$B$4:$O$12,'shell factors calc'!T$2+1,FALSE)</f>
        <v>321.35845899999998</v>
      </c>
      <c r="U452" s="8">
        <f>VLOOKUP($B452,floorspace!$B$4:$O$12,'shell factors calc'!U$2+1,FALSE)</f>
        <v>292.84985399999999</v>
      </c>
      <c r="V452" s="8">
        <f>VLOOKUP($B452,floorspace!$B$4:$O$12,'shell factors calc'!V$2+1,FALSE)</f>
        <v>365.47903400000001</v>
      </c>
      <c r="W452" s="8">
        <f>VLOOKUP($B452,floorspace!$B$4:$O$12,'shell factors calc'!W$2+1,FALSE)</f>
        <v>999.54614300000003</v>
      </c>
      <c r="X452" s="8">
        <f>VLOOKUP($B452,floorspace!$B$4:$O$12,'shell factors calc'!X$2+1,FALSE)</f>
        <v>1249.8131100000001</v>
      </c>
      <c r="Y452" s="8">
        <f>VLOOKUP($B452,floorspace!$B$4:$O$12,'shell factors calc'!Y$2+1,FALSE)</f>
        <v>265.97723400000001</v>
      </c>
      <c r="Z452">
        <f t="shared" si="7"/>
        <v>0.69135849966007301</v>
      </c>
    </row>
    <row r="453" spans="1:26" x14ac:dyDescent="0.2">
      <c r="A453" s="5" t="s">
        <v>46</v>
      </c>
      <c r="B453" s="5" t="s">
        <v>41</v>
      </c>
      <c r="C453" s="6" t="s">
        <v>7</v>
      </c>
      <c r="D453" s="7">
        <v>0.62533300000000003</v>
      </c>
      <c r="E453">
        <v>0.65670099999999998</v>
      </c>
      <c r="F453">
        <v>0.85622299999999996</v>
      </c>
      <c r="G453">
        <v>0.79684699999999997</v>
      </c>
      <c r="H453">
        <v>0.71544200000000002</v>
      </c>
      <c r="I453">
        <v>0.65483899999999995</v>
      </c>
      <c r="J453">
        <v>0.70538599999999996</v>
      </c>
      <c r="K453">
        <v>0.66343799999999997</v>
      </c>
      <c r="L453">
        <v>0.55844199999999999</v>
      </c>
      <c r="M453">
        <v>0.827596</v>
      </c>
      <c r="N453">
        <v>0.68718599999999996</v>
      </c>
      <c r="O453" s="8">
        <f>VLOOKUP($B453,floorspace!$B$4:$O$12,'shell factors calc'!O$2+1,FALSE)</f>
        <v>781.29705799999999</v>
      </c>
      <c r="P453" s="8">
        <f>VLOOKUP($B453,floorspace!$B$4:$O$12,'shell factors calc'!P$2+1,FALSE)</f>
        <v>810.63122599999997</v>
      </c>
      <c r="Q453" s="8">
        <f>VLOOKUP($B453,floorspace!$B$4:$O$12,'shell factors calc'!Q$2+1,FALSE)</f>
        <v>37.654308</v>
      </c>
      <c r="R453" s="8">
        <f>VLOOKUP($B453,floorspace!$B$4:$O$12,'shell factors calc'!R$2+1,FALSE)</f>
        <v>106.849113</v>
      </c>
      <c r="S453" s="8">
        <f>VLOOKUP($B453,floorspace!$B$4:$O$12,'shell factors calc'!S$2+1,FALSE)</f>
        <v>112.30965399999999</v>
      </c>
      <c r="T453" s="8">
        <f>VLOOKUP($B453,floorspace!$B$4:$O$12,'shell factors calc'!T$2+1,FALSE)</f>
        <v>321.35845899999998</v>
      </c>
      <c r="U453" s="8">
        <f>VLOOKUP($B453,floorspace!$B$4:$O$12,'shell factors calc'!U$2+1,FALSE)</f>
        <v>292.84985399999999</v>
      </c>
      <c r="V453" s="8">
        <f>VLOOKUP($B453,floorspace!$B$4:$O$12,'shell factors calc'!V$2+1,FALSE)</f>
        <v>365.47903400000001</v>
      </c>
      <c r="W453" s="8">
        <f>VLOOKUP($B453,floorspace!$B$4:$O$12,'shell factors calc'!W$2+1,FALSE)</f>
        <v>999.54614300000003</v>
      </c>
      <c r="X453" s="8">
        <f>VLOOKUP($B453,floorspace!$B$4:$O$12,'shell factors calc'!X$2+1,FALSE)</f>
        <v>1249.8131100000001</v>
      </c>
      <c r="Y453" s="8">
        <f>VLOOKUP($B453,floorspace!$B$4:$O$12,'shell factors calc'!Y$2+1,FALSE)</f>
        <v>265.97723400000001</v>
      </c>
      <c r="Z453">
        <f t="shared" si="7"/>
        <v>0.68368174664296677</v>
      </c>
    </row>
    <row r="454" spans="1:26" x14ac:dyDescent="0.2">
      <c r="A454" s="5" t="s">
        <v>46</v>
      </c>
      <c r="B454" s="5" t="s">
        <v>41</v>
      </c>
      <c r="C454" s="6" t="s">
        <v>8</v>
      </c>
      <c r="D454" s="7">
        <v>0.61700900000000003</v>
      </c>
      <c r="E454">
        <v>0.64909099999999997</v>
      </c>
      <c r="F454">
        <v>0.84726100000000004</v>
      </c>
      <c r="G454">
        <v>0.792686</v>
      </c>
      <c r="H454">
        <v>0.70797299999999996</v>
      </c>
      <c r="I454">
        <v>0.64530799999999999</v>
      </c>
      <c r="J454">
        <v>0.69804999999999995</v>
      </c>
      <c r="K454">
        <v>0.65633200000000003</v>
      </c>
      <c r="L454">
        <v>0.54796500000000004</v>
      </c>
      <c r="M454">
        <v>0.82289900000000005</v>
      </c>
      <c r="N454">
        <v>0.67947999999999997</v>
      </c>
      <c r="O454" s="8">
        <f>VLOOKUP($B454,floorspace!$B$4:$O$12,'shell factors calc'!O$2+1,FALSE)</f>
        <v>781.29705799999999</v>
      </c>
      <c r="P454" s="8">
        <f>VLOOKUP($B454,floorspace!$B$4:$O$12,'shell factors calc'!P$2+1,FALSE)</f>
        <v>810.63122599999997</v>
      </c>
      <c r="Q454" s="8">
        <f>VLOOKUP($B454,floorspace!$B$4:$O$12,'shell factors calc'!Q$2+1,FALSE)</f>
        <v>37.654308</v>
      </c>
      <c r="R454" s="8">
        <f>VLOOKUP($B454,floorspace!$B$4:$O$12,'shell factors calc'!R$2+1,FALSE)</f>
        <v>106.849113</v>
      </c>
      <c r="S454" s="8">
        <f>VLOOKUP($B454,floorspace!$B$4:$O$12,'shell factors calc'!S$2+1,FALSE)</f>
        <v>112.30965399999999</v>
      </c>
      <c r="T454" s="8">
        <f>VLOOKUP($B454,floorspace!$B$4:$O$12,'shell factors calc'!T$2+1,FALSE)</f>
        <v>321.35845899999998</v>
      </c>
      <c r="U454" s="8">
        <f>VLOOKUP($B454,floorspace!$B$4:$O$12,'shell factors calc'!U$2+1,FALSE)</f>
        <v>292.84985399999999</v>
      </c>
      <c r="V454" s="8">
        <f>VLOOKUP($B454,floorspace!$B$4:$O$12,'shell factors calc'!V$2+1,FALSE)</f>
        <v>365.47903400000001</v>
      </c>
      <c r="W454" s="8">
        <f>VLOOKUP($B454,floorspace!$B$4:$O$12,'shell factors calc'!W$2+1,FALSE)</f>
        <v>999.54614300000003</v>
      </c>
      <c r="X454" s="8">
        <f>VLOOKUP($B454,floorspace!$B$4:$O$12,'shell factors calc'!X$2+1,FALSE)</f>
        <v>1249.8131100000001</v>
      </c>
      <c r="Y454" s="8">
        <f>VLOOKUP($B454,floorspace!$B$4:$O$12,'shell factors calc'!Y$2+1,FALSE)</f>
        <v>265.97723400000001</v>
      </c>
      <c r="Z454">
        <f t="shared" si="7"/>
        <v>0.67610396909254711</v>
      </c>
    </row>
    <row r="455" spans="1:26" x14ac:dyDescent="0.2">
      <c r="A455" s="5" t="s">
        <v>46</v>
      </c>
      <c r="B455" s="5" t="s">
        <v>41</v>
      </c>
      <c r="C455" s="6" t="s">
        <v>9</v>
      </c>
      <c r="D455" s="7">
        <v>0.60879499999999998</v>
      </c>
      <c r="E455">
        <v>0.64156899999999994</v>
      </c>
      <c r="F455">
        <v>0.83839300000000005</v>
      </c>
      <c r="G455">
        <v>0.788547</v>
      </c>
      <c r="H455">
        <v>0.70058200000000004</v>
      </c>
      <c r="I455">
        <v>0.63591600000000004</v>
      </c>
      <c r="J455">
        <v>0.69079000000000002</v>
      </c>
      <c r="K455">
        <v>0.64930299999999996</v>
      </c>
      <c r="L455">
        <v>0.53768400000000005</v>
      </c>
      <c r="M455">
        <v>0.81822899999999998</v>
      </c>
      <c r="N455">
        <v>0.67186000000000001</v>
      </c>
      <c r="O455" s="8">
        <f>VLOOKUP($B455,floorspace!$B$4:$O$12,'shell factors calc'!O$2+1,FALSE)</f>
        <v>781.29705799999999</v>
      </c>
      <c r="P455" s="8">
        <f>VLOOKUP($B455,floorspace!$B$4:$O$12,'shell factors calc'!P$2+1,FALSE)</f>
        <v>810.63122599999997</v>
      </c>
      <c r="Q455" s="8">
        <f>VLOOKUP($B455,floorspace!$B$4:$O$12,'shell factors calc'!Q$2+1,FALSE)</f>
        <v>37.654308</v>
      </c>
      <c r="R455" s="8">
        <f>VLOOKUP($B455,floorspace!$B$4:$O$12,'shell factors calc'!R$2+1,FALSE)</f>
        <v>106.849113</v>
      </c>
      <c r="S455" s="8">
        <f>VLOOKUP($B455,floorspace!$B$4:$O$12,'shell factors calc'!S$2+1,FALSE)</f>
        <v>112.30965399999999</v>
      </c>
      <c r="T455" s="8">
        <f>VLOOKUP($B455,floorspace!$B$4:$O$12,'shell factors calc'!T$2+1,FALSE)</f>
        <v>321.35845899999998</v>
      </c>
      <c r="U455" s="8">
        <f>VLOOKUP($B455,floorspace!$B$4:$O$12,'shell factors calc'!U$2+1,FALSE)</f>
        <v>292.84985399999999</v>
      </c>
      <c r="V455" s="8">
        <f>VLOOKUP($B455,floorspace!$B$4:$O$12,'shell factors calc'!V$2+1,FALSE)</f>
        <v>365.47903400000001</v>
      </c>
      <c r="W455" s="8">
        <f>VLOOKUP($B455,floorspace!$B$4:$O$12,'shell factors calc'!W$2+1,FALSE)</f>
        <v>999.54614300000003</v>
      </c>
      <c r="X455" s="8">
        <f>VLOOKUP($B455,floorspace!$B$4:$O$12,'shell factors calc'!X$2+1,FALSE)</f>
        <v>1249.8131100000001</v>
      </c>
      <c r="Y455" s="8">
        <f>VLOOKUP($B455,floorspace!$B$4:$O$12,'shell factors calc'!Y$2+1,FALSE)</f>
        <v>265.97723400000001</v>
      </c>
      <c r="Z455">
        <f t="shared" si="7"/>
        <v>0.6686234124873599</v>
      </c>
    </row>
    <row r="456" spans="1:26" x14ac:dyDescent="0.2">
      <c r="A456" s="5" t="s">
        <v>46</v>
      </c>
      <c r="B456" s="5" t="s">
        <v>41</v>
      </c>
      <c r="C456" s="6" t="s">
        <v>10</v>
      </c>
      <c r="D456" s="7">
        <v>0.60068999999999995</v>
      </c>
      <c r="E456">
        <v>0.63413399999999998</v>
      </c>
      <c r="F456">
        <v>0.82961700000000005</v>
      </c>
      <c r="G456">
        <v>0.78442900000000004</v>
      </c>
      <c r="H456">
        <v>0.693268</v>
      </c>
      <c r="I456">
        <v>0.62666100000000002</v>
      </c>
      <c r="J456">
        <v>0.68360500000000002</v>
      </c>
      <c r="K456">
        <v>0.64234800000000003</v>
      </c>
      <c r="L456">
        <v>0.52759599999999995</v>
      </c>
      <c r="M456">
        <v>0.813585</v>
      </c>
      <c r="N456">
        <v>0.66432500000000005</v>
      </c>
      <c r="O456" s="8">
        <f>VLOOKUP($B456,floorspace!$B$4:$O$12,'shell factors calc'!O$2+1,FALSE)</f>
        <v>781.29705799999999</v>
      </c>
      <c r="P456" s="8">
        <f>VLOOKUP($B456,floorspace!$B$4:$O$12,'shell factors calc'!P$2+1,FALSE)</f>
        <v>810.63122599999997</v>
      </c>
      <c r="Q456" s="8">
        <f>VLOOKUP($B456,floorspace!$B$4:$O$12,'shell factors calc'!Q$2+1,FALSE)</f>
        <v>37.654308</v>
      </c>
      <c r="R456" s="8">
        <f>VLOOKUP($B456,floorspace!$B$4:$O$12,'shell factors calc'!R$2+1,FALSE)</f>
        <v>106.849113</v>
      </c>
      <c r="S456" s="8">
        <f>VLOOKUP($B456,floorspace!$B$4:$O$12,'shell factors calc'!S$2+1,FALSE)</f>
        <v>112.30965399999999</v>
      </c>
      <c r="T456" s="8">
        <f>VLOOKUP($B456,floorspace!$B$4:$O$12,'shell factors calc'!T$2+1,FALSE)</f>
        <v>321.35845899999998</v>
      </c>
      <c r="U456" s="8">
        <f>VLOOKUP($B456,floorspace!$B$4:$O$12,'shell factors calc'!U$2+1,FALSE)</f>
        <v>292.84985399999999</v>
      </c>
      <c r="V456" s="8">
        <f>VLOOKUP($B456,floorspace!$B$4:$O$12,'shell factors calc'!V$2+1,FALSE)</f>
        <v>365.47903400000001</v>
      </c>
      <c r="W456" s="8">
        <f>VLOOKUP($B456,floorspace!$B$4:$O$12,'shell factors calc'!W$2+1,FALSE)</f>
        <v>999.54614300000003</v>
      </c>
      <c r="X456" s="8">
        <f>VLOOKUP($B456,floorspace!$B$4:$O$12,'shell factors calc'!X$2+1,FALSE)</f>
        <v>1249.8131100000001</v>
      </c>
      <c r="Y456" s="8">
        <f>VLOOKUP($B456,floorspace!$B$4:$O$12,'shell factors calc'!Y$2+1,FALSE)</f>
        <v>265.97723400000001</v>
      </c>
      <c r="Z456">
        <f t="shared" si="7"/>
        <v>0.66123849875875684</v>
      </c>
    </row>
    <row r="457" spans="1:26" x14ac:dyDescent="0.2">
      <c r="A457" s="5" t="s">
        <v>46</v>
      </c>
      <c r="B457" s="5" t="s">
        <v>41</v>
      </c>
      <c r="C457" s="6" t="s">
        <v>11</v>
      </c>
      <c r="D457" s="7">
        <v>0.59269400000000005</v>
      </c>
      <c r="E457">
        <v>0.62678500000000004</v>
      </c>
      <c r="F457">
        <v>0.82093300000000002</v>
      </c>
      <c r="G457">
        <v>0.78033300000000005</v>
      </c>
      <c r="H457">
        <v>0.68603000000000003</v>
      </c>
      <c r="I457">
        <v>0.61753999999999998</v>
      </c>
      <c r="J457">
        <v>0.67649499999999996</v>
      </c>
      <c r="K457">
        <v>0.63546899999999995</v>
      </c>
      <c r="L457">
        <v>0.51769699999999996</v>
      </c>
      <c r="M457">
        <v>0.80896699999999999</v>
      </c>
      <c r="N457">
        <v>0.65687499999999999</v>
      </c>
      <c r="O457" s="8">
        <f>VLOOKUP($B457,floorspace!$B$4:$O$12,'shell factors calc'!O$2+1,FALSE)</f>
        <v>781.29705799999999</v>
      </c>
      <c r="P457" s="8">
        <f>VLOOKUP($B457,floorspace!$B$4:$O$12,'shell factors calc'!P$2+1,FALSE)</f>
        <v>810.63122599999997</v>
      </c>
      <c r="Q457" s="8">
        <f>VLOOKUP($B457,floorspace!$B$4:$O$12,'shell factors calc'!Q$2+1,FALSE)</f>
        <v>37.654308</v>
      </c>
      <c r="R457" s="8">
        <f>VLOOKUP($B457,floorspace!$B$4:$O$12,'shell factors calc'!R$2+1,FALSE)</f>
        <v>106.849113</v>
      </c>
      <c r="S457" s="8">
        <f>VLOOKUP($B457,floorspace!$B$4:$O$12,'shell factors calc'!S$2+1,FALSE)</f>
        <v>112.30965399999999</v>
      </c>
      <c r="T457" s="8">
        <f>VLOOKUP($B457,floorspace!$B$4:$O$12,'shell factors calc'!T$2+1,FALSE)</f>
        <v>321.35845899999998</v>
      </c>
      <c r="U457" s="8">
        <f>VLOOKUP($B457,floorspace!$B$4:$O$12,'shell factors calc'!U$2+1,FALSE)</f>
        <v>292.84985399999999</v>
      </c>
      <c r="V457" s="8">
        <f>VLOOKUP($B457,floorspace!$B$4:$O$12,'shell factors calc'!V$2+1,FALSE)</f>
        <v>365.47903400000001</v>
      </c>
      <c r="W457" s="8">
        <f>VLOOKUP($B457,floorspace!$B$4:$O$12,'shell factors calc'!W$2+1,FALSE)</f>
        <v>999.54614300000003</v>
      </c>
      <c r="X457" s="8">
        <f>VLOOKUP($B457,floorspace!$B$4:$O$12,'shell factors calc'!X$2+1,FALSE)</f>
        <v>1249.8131100000001</v>
      </c>
      <c r="Y457" s="8">
        <f>VLOOKUP($B457,floorspace!$B$4:$O$12,'shell factors calc'!Y$2+1,FALSE)</f>
        <v>265.97723400000001</v>
      </c>
      <c r="Z457">
        <f t="shared" si="7"/>
        <v>0.65394828336792199</v>
      </c>
    </row>
    <row r="458" spans="1:26" x14ac:dyDescent="0.2">
      <c r="A458" s="5" t="s">
        <v>46</v>
      </c>
      <c r="B458" s="5" t="s">
        <v>41</v>
      </c>
      <c r="C458" s="6" t="s">
        <v>12</v>
      </c>
      <c r="D458" s="7">
        <v>0.58480399999999999</v>
      </c>
      <c r="E458">
        <v>0.61952200000000002</v>
      </c>
      <c r="F458">
        <v>0.81234099999999998</v>
      </c>
      <c r="G458">
        <v>0.776258</v>
      </c>
      <c r="H458">
        <v>0.67886800000000003</v>
      </c>
      <c r="I458">
        <v>0.60855199999999998</v>
      </c>
      <c r="J458">
        <v>0.66945900000000003</v>
      </c>
      <c r="K458">
        <v>0.62866299999999997</v>
      </c>
      <c r="L458">
        <v>0.50798399999999999</v>
      </c>
      <c r="M458">
        <v>0.80437599999999998</v>
      </c>
      <c r="N458">
        <v>0.649509</v>
      </c>
      <c r="O458" s="8">
        <f>VLOOKUP($B458,floorspace!$B$4:$O$12,'shell factors calc'!O$2+1,FALSE)</f>
        <v>781.29705799999999</v>
      </c>
      <c r="P458" s="8">
        <f>VLOOKUP($B458,floorspace!$B$4:$O$12,'shell factors calc'!P$2+1,FALSE)</f>
        <v>810.63122599999997</v>
      </c>
      <c r="Q458" s="8">
        <f>VLOOKUP($B458,floorspace!$B$4:$O$12,'shell factors calc'!Q$2+1,FALSE)</f>
        <v>37.654308</v>
      </c>
      <c r="R458" s="8">
        <f>VLOOKUP($B458,floorspace!$B$4:$O$12,'shell factors calc'!R$2+1,FALSE)</f>
        <v>106.849113</v>
      </c>
      <c r="S458" s="8">
        <f>VLOOKUP($B458,floorspace!$B$4:$O$12,'shell factors calc'!S$2+1,FALSE)</f>
        <v>112.30965399999999</v>
      </c>
      <c r="T458" s="8">
        <f>VLOOKUP($B458,floorspace!$B$4:$O$12,'shell factors calc'!T$2+1,FALSE)</f>
        <v>321.35845899999998</v>
      </c>
      <c r="U458" s="8">
        <f>VLOOKUP($B458,floorspace!$B$4:$O$12,'shell factors calc'!U$2+1,FALSE)</f>
        <v>292.84985399999999</v>
      </c>
      <c r="V458" s="8">
        <f>VLOOKUP($B458,floorspace!$B$4:$O$12,'shell factors calc'!V$2+1,FALSE)</f>
        <v>365.47903400000001</v>
      </c>
      <c r="W458" s="8">
        <f>VLOOKUP($B458,floorspace!$B$4:$O$12,'shell factors calc'!W$2+1,FALSE)</f>
        <v>999.54614300000003</v>
      </c>
      <c r="X458" s="8">
        <f>VLOOKUP($B458,floorspace!$B$4:$O$12,'shell factors calc'!X$2+1,FALSE)</f>
        <v>1249.8131100000001</v>
      </c>
      <c r="Y458" s="8">
        <f>VLOOKUP($B458,floorspace!$B$4:$O$12,'shell factors calc'!Y$2+1,FALSE)</f>
        <v>265.97723400000001</v>
      </c>
      <c r="Z458">
        <f t="shared" si="7"/>
        <v>0.64675161054022234</v>
      </c>
    </row>
    <row r="459" spans="1:26" x14ac:dyDescent="0.2">
      <c r="A459" s="5" t="s">
        <v>46</v>
      </c>
      <c r="B459" s="5" t="s">
        <v>41</v>
      </c>
      <c r="C459" s="6" t="s">
        <v>13</v>
      </c>
      <c r="D459" s="7">
        <v>0.57701899999999995</v>
      </c>
      <c r="E459">
        <v>0.61234299999999997</v>
      </c>
      <c r="F459">
        <v>0.80383800000000005</v>
      </c>
      <c r="G459">
        <v>0.772204</v>
      </c>
      <c r="H459">
        <v>0.67178099999999996</v>
      </c>
      <c r="I459">
        <v>0.59969499999999998</v>
      </c>
      <c r="J459">
        <v>0.662497</v>
      </c>
      <c r="K459">
        <v>0.62192999999999998</v>
      </c>
      <c r="L459">
        <v>0.49845299999999998</v>
      </c>
      <c r="M459">
        <v>0.79981100000000005</v>
      </c>
      <c r="N459">
        <v>0.64222500000000005</v>
      </c>
      <c r="O459" s="8">
        <f>VLOOKUP($B459,floorspace!$B$4:$O$12,'shell factors calc'!O$2+1,FALSE)</f>
        <v>781.29705799999999</v>
      </c>
      <c r="P459" s="8">
        <f>VLOOKUP($B459,floorspace!$B$4:$O$12,'shell factors calc'!P$2+1,FALSE)</f>
        <v>810.63122599999997</v>
      </c>
      <c r="Q459" s="8">
        <f>VLOOKUP($B459,floorspace!$B$4:$O$12,'shell factors calc'!Q$2+1,FALSE)</f>
        <v>37.654308</v>
      </c>
      <c r="R459" s="8">
        <f>VLOOKUP($B459,floorspace!$B$4:$O$12,'shell factors calc'!R$2+1,FALSE)</f>
        <v>106.849113</v>
      </c>
      <c r="S459" s="8">
        <f>VLOOKUP($B459,floorspace!$B$4:$O$12,'shell factors calc'!S$2+1,FALSE)</f>
        <v>112.30965399999999</v>
      </c>
      <c r="T459" s="8">
        <f>VLOOKUP($B459,floorspace!$B$4:$O$12,'shell factors calc'!T$2+1,FALSE)</f>
        <v>321.35845899999998</v>
      </c>
      <c r="U459" s="8">
        <f>VLOOKUP($B459,floorspace!$B$4:$O$12,'shell factors calc'!U$2+1,FALSE)</f>
        <v>292.84985399999999</v>
      </c>
      <c r="V459" s="8">
        <f>VLOOKUP($B459,floorspace!$B$4:$O$12,'shell factors calc'!V$2+1,FALSE)</f>
        <v>365.47903400000001</v>
      </c>
      <c r="W459" s="8">
        <f>VLOOKUP($B459,floorspace!$B$4:$O$12,'shell factors calc'!W$2+1,FALSE)</f>
        <v>999.54614300000003</v>
      </c>
      <c r="X459" s="8">
        <f>VLOOKUP($B459,floorspace!$B$4:$O$12,'shell factors calc'!X$2+1,FALSE)</f>
        <v>1249.8131100000001</v>
      </c>
      <c r="Y459" s="8">
        <f>VLOOKUP($B459,floorspace!$B$4:$O$12,'shell factors calc'!Y$2+1,FALSE)</f>
        <v>265.97723400000001</v>
      </c>
      <c r="Z459">
        <f t="shared" si="7"/>
        <v>0.63964678661943819</v>
      </c>
    </row>
    <row r="460" spans="1:26" x14ac:dyDescent="0.2">
      <c r="A460" s="5" t="s">
        <v>46</v>
      </c>
      <c r="B460" s="5" t="s">
        <v>41</v>
      </c>
      <c r="C460" s="6" t="s">
        <v>14</v>
      </c>
      <c r="D460" s="7">
        <v>0.56933699999999998</v>
      </c>
      <c r="E460">
        <v>0.60524699999999998</v>
      </c>
      <c r="F460">
        <v>0.79542400000000002</v>
      </c>
      <c r="G460">
        <v>0.76817199999999997</v>
      </c>
      <c r="H460">
        <v>0.66476800000000003</v>
      </c>
      <c r="I460">
        <v>0.59096700000000002</v>
      </c>
      <c r="J460">
        <v>0.65560600000000002</v>
      </c>
      <c r="K460">
        <v>0.61526899999999995</v>
      </c>
      <c r="L460">
        <v>0.48910100000000001</v>
      </c>
      <c r="M460">
        <v>0.79527199999999998</v>
      </c>
      <c r="N460">
        <v>0.635023</v>
      </c>
      <c r="O460" s="8">
        <f>VLOOKUP($B460,floorspace!$B$4:$O$12,'shell factors calc'!O$2+1,FALSE)</f>
        <v>781.29705799999999</v>
      </c>
      <c r="P460" s="8">
        <f>VLOOKUP($B460,floorspace!$B$4:$O$12,'shell factors calc'!P$2+1,FALSE)</f>
        <v>810.63122599999997</v>
      </c>
      <c r="Q460" s="8">
        <f>VLOOKUP($B460,floorspace!$B$4:$O$12,'shell factors calc'!Q$2+1,FALSE)</f>
        <v>37.654308</v>
      </c>
      <c r="R460" s="8">
        <f>VLOOKUP($B460,floorspace!$B$4:$O$12,'shell factors calc'!R$2+1,FALSE)</f>
        <v>106.849113</v>
      </c>
      <c r="S460" s="8">
        <f>VLOOKUP($B460,floorspace!$B$4:$O$12,'shell factors calc'!S$2+1,FALSE)</f>
        <v>112.30965399999999</v>
      </c>
      <c r="T460" s="8">
        <f>VLOOKUP($B460,floorspace!$B$4:$O$12,'shell factors calc'!T$2+1,FALSE)</f>
        <v>321.35845899999998</v>
      </c>
      <c r="U460" s="8">
        <f>VLOOKUP($B460,floorspace!$B$4:$O$12,'shell factors calc'!U$2+1,FALSE)</f>
        <v>292.84985399999999</v>
      </c>
      <c r="V460" s="8">
        <f>VLOOKUP($B460,floorspace!$B$4:$O$12,'shell factors calc'!V$2+1,FALSE)</f>
        <v>365.47903400000001</v>
      </c>
      <c r="W460" s="8">
        <f>VLOOKUP($B460,floorspace!$B$4:$O$12,'shell factors calc'!W$2+1,FALSE)</f>
        <v>999.54614300000003</v>
      </c>
      <c r="X460" s="8">
        <f>VLOOKUP($B460,floorspace!$B$4:$O$12,'shell factors calc'!X$2+1,FALSE)</f>
        <v>1249.8131100000001</v>
      </c>
      <c r="Y460" s="8">
        <f>VLOOKUP($B460,floorspace!$B$4:$O$12,'shell factors calc'!Y$2+1,FALSE)</f>
        <v>265.97723400000001</v>
      </c>
      <c r="Z460">
        <f t="shared" si="7"/>
        <v>0.63263245225133846</v>
      </c>
    </row>
    <row r="461" spans="1:26" x14ac:dyDescent="0.2">
      <c r="A461" s="5" t="s">
        <v>46</v>
      </c>
      <c r="B461" s="5" t="s">
        <v>41</v>
      </c>
      <c r="C461" s="6" t="s">
        <v>15</v>
      </c>
      <c r="D461" s="7">
        <v>0.56175799999999998</v>
      </c>
      <c r="E461">
        <v>0.59823300000000001</v>
      </c>
      <c r="F461">
        <v>0.78709799999999996</v>
      </c>
      <c r="G461">
        <v>0.76415999999999995</v>
      </c>
      <c r="H461">
        <v>0.65782799999999997</v>
      </c>
      <c r="I461">
        <v>0.58236600000000005</v>
      </c>
      <c r="J461">
        <v>0.64878800000000003</v>
      </c>
      <c r="K461">
        <v>0.60867899999999997</v>
      </c>
      <c r="L461">
        <v>0.47992400000000002</v>
      </c>
      <c r="M461">
        <v>0.79075799999999996</v>
      </c>
      <c r="N461">
        <v>0.62790199999999996</v>
      </c>
      <c r="O461" s="8">
        <f>VLOOKUP($B461,floorspace!$B$4:$O$12,'shell factors calc'!O$2+1,FALSE)</f>
        <v>781.29705799999999</v>
      </c>
      <c r="P461" s="8">
        <f>VLOOKUP($B461,floorspace!$B$4:$O$12,'shell factors calc'!P$2+1,FALSE)</f>
        <v>810.63122599999997</v>
      </c>
      <c r="Q461" s="8">
        <f>VLOOKUP($B461,floorspace!$B$4:$O$12,'shell factors calc'!Q$2+1,FALSE)</f>
        <v>37.654308</v>
      </c>
      <c r="R461" s="8">
        <f>VLOOKUP($B461,floorspace!$B$4:$O$12,'shell factors calc'!R$2+1,FALSE)</f>
        <v>106.849113</v>
      </c>
      <c r="S461" s="8">
        <f>VLOOKUP($B461,floorspace!$B$4:$O$12,'shell factors calc'!S$2+1,FALSE)</f>
        <v>112.30965399999999</v>
      </c>
      <c r="T461" s="8">
        <f>VLOOKUP($B461,floorspace!$B$4:$O$12,'shell factors calc'!T$2+1,FALSE)</f>
        <v>321.35845899999998</v>
      </c>
      <c r="U461" s="8">
        <f>VLOOKUP($B461,floorspace!$B$4:$O$12,'shell factors calc'!U$2+1,FALSE)</f>
        <v>292.84985399999999</v>
      </c>
      <c r="V461" s="8">
        <f>VLOOKUP($B461,floorspace!$B$4:$O$12,'shell factors calc'!V$2+1,FALSE)</f>
        <v>365.47903400000001</v>
      </c>
      <c r="W461" s="8">
        <f>VLOOKUP($B461,floorspace!$B$4:$O$12,'shell factors calc'!W$2+1,FALSE)</f>
        <v>999.54614300000003</v>
      </c>
      <c r="X461" s="8">
        <f>VLOOKUP($B461,floorspace!$B$4:$O$12,'shell factors calc'!X$2+1,FALSE)</f>
        <v>1249.8131100000001</v>
      </c>
      <c r="Y461" s="8">
        <f>VLOOKUP($B461,floorspace!$B$4:$O$12,'shell factors calc'!Y$2+1,FALSE)</f>
        <v>265.97723400000001</v>
      </c>
      <c r="Z461">
        <f t="shared" si="7"/>
        <v>0.6257072767703119</v>
      </c>
    </row>
    <row r="462" spans="1:26" x14ac:dyDescent="0.2">
      <c r="A462" s="5" t="s">
        <v>46</v>
      </c>
      <c r="B462" s="5" t="s">
        <v>41</v>
      </c>
      <c r="C462" s="6" t="s">
        <v>16</v>
      </c>
      <c r="D462" s="7">
        <v>0.55427999999999999</v>
      </c>
      <c r="E462">
        <v>0.59130000000000005</v>
      </c>
      <c r="F462">
        <v>0.77886</v>
      </c>
      <c r="G462">
        <v>0.76017000000000001</v>
      </c>
      <c r="H462">
        <v>0.65095999999999998</v>
      </c>
      <c r="I462">
        <v>0.57389000000000001</v>
      </c>
      <c r="J462">
        <v>0.64204000000000006</v>
      </c>
      <c r="K462">
        <v>0.60216000000000003</v>
      </c>
      <c r="L462">
        <v>0.47092000000000001</v>
      </c>
      <c r="M462">
        <v>0.78627000000000002</v>
      </c>
      <c r="N462">
        <v>0.62085999999999997</v>
      </c>
      <c r="O462" s="8">
        <f>VLOOKUP($B462,floorspace!$B$4:$O$12,'shell factors calc'!O$2+1,FALSE)</f>
        <v>781.29705799999999</v>
      </c>
      <c r="P462" s="8">
        <f>VLOOKUP($B462,floorspace!$B$4:$O$12,'shell factors calc'!P$2+1,FALSE)</f>
        <v>810.63122599999997</v>
      </c>
      <c r="Q462" s="8">
        <f>VLOOKUP($B462,floorspace!$B$4:$O$12,'shell factors calc'!Q$2+1,FALSE)</f>
        <v>37.654308</v>
      </c>
      <c r="R462" s="8">
        <f>VLOOKUP($B462,floorspace!$B$4:$O$12,'shell factors calc'!R$2+1,FALSE)</f>
        <v>106.849113</v>
      </c>
      <c r="S462" s="8">
        <f>VLOOKUP($B462,floorspace!$B$4:$O$12,'shell factors calc'!S$2+1,FALSE)</f>
        <v>112.30965399999999</v>
      </c>
      <c r="T462" s="8">
        <f>VLOOKUP($B462,floorspace!$B$4:$O$12,'shell factors calc'!T$2+1,FALSE)</f>
        <v>321.35845899999998</v>
      </c>
      <c r="U462" s="8">
        <f>VLOOKUP($B462,floorspace!$B$4:$O$12,'shell factors calc'!U$2+1,FALSE)</f>
        <v>292.84985399999999</v>
      </c>
      <c r="V462" s="8">
        <f>VLOOKUP($B462,floorspace!$B$4:$O$12,'shell factors calc'!V$2+1,FALSE)</f>
        <v>365.47903400000001</v>
      </c>
      <c r="W462" s="8">
        <f>VLOOKUP($B462,floorspace!$B$4:$O$12,'shell factors calc'!W$2+1,FALSE)</f>
        <v>999.54614300000003</v>
      </c>
      <c r="X462" s="8">
        <f>VLOOKUP($B462,floorspace!$B$4:$O$12,'shell factors calc'!X$2+1,FALSE)</f>
        <v>1249.8131100000001</v>
      </c>
      <c r="Y462" s="8">
        <f>VLOOKUP($B462,floorspace!$B$4:$O$12,'shell factors calc'!Y$2+1,FALSE)</f>
        <v>265.97723400000001</v>
      </c>
      <c r="Z462">
        <f t="shared" si="7"/>
        <v>0.61887031059554654</v>
      </c>
    </row>
    <row r="463" spans="1:26" x14ac:dyDescent="0.2">
      <c r="A463" s="5" t="s">
        <v>46</v>
      </c>
      <c r="B463" s="5" t="s">
        <v>41</v>
      </c>
      <c r="C463" s="6" t="s">
        <v>17</v>
      </c>
      <c r="D463" s="7">
        <v>0.54581100000000005</v>
      </c>
      <c r="E463">
        <v>0.58359000000000005</v>
      </c>
      <c r="F463">
        <v>0.77387099999999998</v>
      </c>
      <c r="G463">
        <v>0.75600400000000001</v>
      </c>
      <c r="H463">
        <v>0.64341099999999996</v>
      </c>
      <c r="I463">
        <v>0.56416299999999997</v>
      </c>
      <c r="J463">
        <v>0.63462499999999999</v>
      </c>
      <c r="K463">
        <v>0.594974</v>
      </c>
      <c r="L463">
        <v>0.46009499999999998</v>
      </c>
      <c r="M463">
        <v>0.78156300000000001</v>
      </c>
      <c r="N463">
        <v>0.61305699999999996</v>
      </c>
      <c r="O463" s="8">
        <f>VLOOKUP($B463,floorspace!$B$4:$O$12,'shell factors calc'!O$2+1,FALSE)</f>
        <v>781.29705799999999</v>
      </c>
      <c r="P463" s="8">
        <f>VLOOKUP($B463,floorspace!$B$4:$O$12,'shell factors calc'!P$2+1,FALSE)</f>
        <v>810.63122599999997</v>
      </c>
      <c r="Q463" s="8">
        <f>VLOOKUP($B463,floorspace!$B$4:$O$12,'shell factors calc'!Q$2+1,FALSE)</f>
        <v>37.654308</v>
      </c>
      <c r="R463" s="8">
        <f>VLOOKUP($B463,floorspace!$B$4:$O$12,'shell factors calc'!R$2+1,FALSE)</f>
        <v>106.849113</v>
      </c>
      <c r="S463" s="8">
        <f>VLOOKUP($B463,floorspace!$B$4:$O$12,'shell factors calc'!S$2+1,FALSE)</f>
        <v>112.30965399999999</v>
      </c>
      <c r="T463" s="8">
        <f>VLOOKUP($B463,floorspace!$B$4:$O$12,'shell factors calc'!T$2+1,FALSE)</f>
        <v>321.35845899999998</v>
      </c>
      <c r="U463" s="8">
        <f>VLOOKUP($B463,floorspace!$B$4:$O$12,'shell factors calc'!U$2+1,FALSE)</f>
        <v>292.84985399999999</v>
      </c>
      <c r="V463" s="8">
        <f>VLOOKUP($B463,floorspace!$B$4:$O$12,'shell factors calc'!V$2+1,FALSE)</f>
        <v>365.47903400000001</v>
      </c>
      <c r="W463" s="8">
        <f>VLOOKUP($B463,floorspace!$B$4:$O$12,'shell factors calc'!W$2+1,FALSE)</f>
        <v>999.54614300000003</v>
      </c>
      <c r="X463" s="8">
        <f>VLOOKUP($B463,floorspace!$B$4:$O$12,'shell factors calc'!X$2+1,FALSE)</f>
        <v>1249.8131100000001</v>
      </c>
      <c r="Y463" s="8">
        <f>VLOOKUP($B463,floorspace!$B$4:$O$12,'shell factors calc'!Y$2+1,FALSE)</f>
        <v>265.97723400000001</v>
      </c>
      <c r="Z463">
        <f t="shared" si="7"/>
        <v>0.61118852972015847</v>
      </c>
    </row>
    <row r="464" spans="1:26" x14ac:dyDescent="0.2">
      <c r="A464" s="5" t="s">
        <v>46</v>
      </c>
      <c r="B464" s="5" t="s">
        <v>41</v>
      </c>
      <c r="C464" s="6" t="s">
        <v>18</v>
      </c>
      <c r="D464" s="7">
        <v>0.53747100000000003</v>
      </c>
      <c r="E464">
        <v>0.57598000000000005</v>
      </c>
      <c r="F464">
        <v>0.76891299999999996</v>
      </c>
      <c r="G464">
        <v>0.75185999999999997</v>
      </c>
      <c r="H464">
        <v>0.63595000000000002</v>
      </c>
      <c r="I464">
        <v>0.55459999999999998</v>
      </c>
      <c r="J464">
        <v>0.62729599999999996</v>
      </c>
      <c r="K464">
        <v>0.58787400000000001</v>
      </c>
      <c r="L464">
        <v>0.449519</v>
      </c>
      <c r="M464">
        <v>0.77688500000000005</v>
      </c>
      <c r="N464">
        <v>0.605352</v>
      </c>
      <c r="O464" s="8">
        <f>VLOOKUP($B464,floorspace!$B$4:$O$12,'shell factors calc'!O$2+1,FALSE)</f>
        <v>781.29705799999999</v>
      </c>
      <c r="P464" s="8">
        <f>VLOOKUP($B464,floorspace!$B$4:$O$12,'shell factors calc'!P$2+1,FALSE)</f>
        <v>810.63122599999997</v>
      </c>
      <c r="Q464" s="8">
        <f>VLOOKUP($B464,floorspace!$B$4:$O$12,'shell factors calc'!Q$2+1,FALSE)</f>
        <v>37.654308</v>
      </c>
      <c r="R464" s="8">
        <f>VLOOKUP($B464,floorspace!$B$4:$O$12,'shell factors calc'!R$2+1,FALSE)</f>
        <v>106.849113</v>
      </c>
      <c r="S464" s="8">
        <f>VLOOKUP($B464,floorspace!$B$4:$O$12,'shell factors calc'!S$2+1,FALSE)</f>
        <v>112.30965399999999</v>
      </c>
      <c r="T464" s="8">
        <f>VLOOKUP($B464,floorspace!$B$4:$O$12,'shell factors calc'!T$2+1,FALSE)</f>
        <v>321.35845899999998</v>
      </c>
      <c r="U464" s="8">
        <f>VLOOKUP($B464,floorspace!$B$4:$O$12,'shell factors calc'!U$2+1,FALSE)</f>
        <v>292.84985399999999</v>
      </c>
      <c r="V464" s="8">
        <f>VLOOKUP($B464,floorspace!$B$4:$O$12,'shell factors calc'!V$2+1,FALSE)</f>
        <v>365.47903400000001</v>
      </c>
      <c r="W464" s="8">
        <f>VLOOKUP($B464,floorspace!$B$4:$O$12,'shell factors calc'!W$2+1,FALSE)</f>
        <v>999.54614300000003</v>
      </c>
      <c r="X464" s="8">
        <f>VLOOKUP($B464,floorspace!$B$4:$O$12,'shell factors calc'!X$2+1,FALSE)</f>
        <v>1249.8131100000001</v>
      </c>
      <c r="Y464" s="8">
        <f>VLOOKUP($B464,floorspace!$B$4:$O$12,'shell factors calc'!Y$2+1,FALSE)</f>
        <v>265.97723400000001</v>
      </c>
      <c r="Z464">
        <f t="shared" si="7"/>
        <v>0.60362197996829481</v>
      </c>
    </row>
    <row r="465" spans="1:26" x14ac:dyDescent="0.2">
      <c r="A465" s="5" t="s">
        <v>46</v>
      </c>
      <c r="B465" s="5" t="s">
        <v>41</v>
      </c>
      <c r="C465" s="6" t="s">
        <v>19</v>
      </c>
      <c r="D465" s="7">
        <v>0.52925800000000001</v>
      </c>
      <c r="E465">
        <v>0.56847000000000003</v>
      </c>
      <c r="F465">
        <v>0.76398699999999997</v>
      </c>
      <c r="G465">
        <v>0.74773999999999996</v>
      </c>
      <c r="H465">
        <v>0.62857499999999999</v>
      </c>
      <c r="I465">
        <v>0.54520000000000002</v>
      </c>
      <c r="J465">
        <v>0.62005200000000005</v>
      </c>
      <c r="K465">
        <v>0.58085900000000001</v>
      </c>
      <c r="L465">
        <v>0.43918600000000002</v>
      </c>
      <c r="M465">
        <v>0.77223399999999998</v>
      </c>
      <c r="N465">
        <v>0.59774499999999997</v>
      </c>
      <c r="O465" s="8">
        <f>VLOOKUP($B465,floorspace!$B$4:$O$12,'shell factors calc'!O$2+1,FALSE)</f>
        <v>781.29705799999999</v>
      </c>
      <c r="P465" s="8">
        <f>VLOOKUP($B465,floorspace!$B$4:$O$12,'shell factors calc'!P$2+1,FALSE)</f>
        <v>810.63122599999997</v>
      </c>
      <c r="Q465" s="8">
        <f>VLOOKUP($B465,floorspace!$B$4:$O$12,'shell factors calc'!Q$2+1,FALSE)</f>
        <v>37.654308</v>
      </c>
      <c r="R465" s="8">
        <f>VLOOKUP($B465,floorspace!$B$4:$O$12,'shell factors calc'!R$2+1,FALSE)</f>
        <v>106.849113</v>
      </c>
      <c r="S465" s="8">
        <f>VLOOKUP($B465,floorspace!$B$4:$O$12,'shell factors calc'!S$2+1,FALSE)</f>
        <v>112.30965399999999</v>
      </c>
      <c r="T465" s="8">
        <f>VLOOKUP($B465,floorspace!$B$4:$O$12,'shell factors calc'!T$2+1,FALSE)</f>
        <v>321.35845899999998</v>
      </c>
      <c r="U465" s="8">
        <f>VLOOKUP($B465,floorspace!$B$4:$O$12,'shell factors calc'!U$2+1,FALSE)</f>
        <v>292.84985399999999</v>
      </c>
      <c r="V465" s="8">
        <f>VLOOKUP($B465,floorspace!$B$4:$O$12,'shell factors calc'!V$2+1,FALSE)</f>
        <v>365.47903400000001</v>
      </c>
      <c r="W465" s="8">
        <f>VLOOKUP($B465,floorspace!$B$4:$O$12,'shell factors calc'!W$2+1,FALSE)</f>
        <v>999.54614300000003</v>
      </c>
      <c r="X465" s="8">
        <f>VLOOKUP($B465,floorspace!$B$4:$O$12,'shell factors calc'!X$2+1,FALSE)</f>
        <v>1249.8131100000001</v>
      </c>
      <c r="Y465" s="8">
        <f>VLOOKUP($B465,floorspace!$B$4:$O$12,'shell factors calc'!Y$2+1,FALSE)</f>
        <v>265.97723400000001</v>
      </c>
      <c r="Z465">
        <f t="shared" si="7"/>
        <v>0.59616860053621223</v>
      </c>
    </row>
    <row r="466" spans="1:26" x14ac:dyDescent="0.2">
      <c r="A466" s="5" t="s">
        <v>46</v>
      </c>
      <c r="B466" s="5" t="s">
        <v>41</v>
      </c>
      <c r="C466" s="6" t="s">
        <v>20</v>
      </c>
      <c r="D466" s="7">
        <v>0.52117199999999997</v>
      </c>
      <c r="E466">
        <v>0.56105799999999995</v>
      </c>
      <c r="F466">
        <v>0.75909300000000002</v>
      </c>
      <c r="G466">
        <v>0.743641</v>
      </c>
      <c r="H466">
        <v>0.62128499999999998</v>
      </c>
      <c r="I466">
        <v>0.53595800000000005</v>
      </c>
      <c r="J466">
        <v>0.61289099999999996</v>
      </c>
      <c r="K466">
        <v>0.57392699999999996</v>
      </c>
      <c r="L466">
        <v>0.429091</v>
      </c>
      <c r="M466">
        <v>0.76761100000000004</v>
      </c>
      <c r="N466">
        <v>0.59023199999999998</v>
      </c>
      <c r="O466" s="8">
        <f>VLOOKUP($B466,floorspace!$B$4:$O$12,'shell factors calc'!O$2+1,FALSE)</f>
        <v>781.29705799999999</v>
      </c>
      <c r="P466" s="8">
        <f>VLOOKUP($B466,floorspace!$B$4:$O$12,'shell factors calc'!P$2+1,FALSE)</f>
        <v>810.63122599999997</v>
      </c>
      <c r="Q466" s="8">
        <f>VLOOKUP($B466,floorspace!$B$4:$O$12,'shell factors calc'!Q$2+1,FALSE)</f>
        <v>37.654308</v>
      </c>
      <c r="R466" s="8">
        <f>VLOOKUP($B466,floorspace!$B$4:$O$12,'shell factors calc'!R$2+1,FALSE)</f>
        <v>106.849113</v>
      </c>
      <c r="S466" s="8">
        <f>VLOOKUP($B466,floorspace!$B$4:$O$12,'shell factors calc'!S$2+1,FALSE)</f>
        <v>112.30965399999999</v>
      </c>
      <c r="T466" s="8">
        <f>VLOOKUP($B466,floorspace!$B$4:$O$12,'shell factors calc'!T$2+1,FALSE)</f>
        <v>321.35845899999998</v>
      </c>
      <c r="U466" s="8">
        <f>VLOOKUP($B466,floorspace!$B$4:$O$12,'shell factors calc'!U$2+1,FALSE)</f>
        <v>292.84985399999999</v>
      </c>
      <c r="V466" s="8">
        <f>VLOOKUP($B466,floorspace!$B$4:$O$12,'shell factors calc'!V$2+1,FALSE)</f>
        <v>365.47903400000001</v>
      </c>
      <c r="W466" s="8">
        <f>VLOOKUP($B466,floorspace!$B$4:$O$12,'shell factors calc'!W$2+1,FALSE)</f>
        <v>999.54614300000003</v>
      </c>
      <c r="X466" s="8">
        <f>VLOOKUP($B466,floorspace!$B$4:$O$12,'shell factors calc'!X$2+1,FALSE)</f>
        <v>1249.8131100000001</v>
      </c>
      <c r="Y466" s="8">
        <f>VLOOKUP($B466,floorspace!$B$4:$O$12,'shell factors calc'!Y$2+1,FALSE)</f>
        <v>265.97723400000001</v>
      </c>
      <c r="Z466">
        <f t="shared" si="7"/>
        <v>0.58882655949535401</v>
      </c>
    </row>
    <row r="467" spans="1:26" x14ac:dyDescent="0.2">
      <c r="A467" s="5" t="s">
        <v>46</v>
      </c>
      <c r="B467" s="5" t="s">
        <v>41</v>
      </c>
      <c r="C467" s="6" t="s">
        <v>21</v>
      </c>
      <c r="D467" s="7">
        <v>0.513208</v>
      </c>
      <c r="E467">
        <v>0.55374199999999996</v>
      </c>
      <c r="F467">
        <v>0.75423099999999998</v>
      </c>
      <c r="G467">
        <v>0.73956599999999995</v>
      </c>
      <c r="H467">
        <v>0.61407999999999996</v>
      </c>
      <c r="I467">
        <v>0.52687399999999995</v>
      </c>
      <c r="J467">
        <v>0.60581300000000005</v>
      </c>
      <c r="K467">
        <v>0.56707799999999997</v>
      </c>
      <c r="L467">
        <v>0.41922799999999999</v>
      </c>
      <c r="M467">
        <v>0.76301600000000003</v>
      </c>
      <c r="N467">
        <v>0.58281400000000005</v>
      </c>
      <c r="O467" s="8">
        <f>VLOOKUP($B467,floorspace!$B$4:$O$12,'shell factors calc'!O$2+1,FALSE)</f>
        <v>781.29705799999999</v>
      </c>
      <c r="P467" s="8">
        <f>VLOOKUP($B467,floorspace!$B$4:$O$12,'shell factors calc'!P$2+1,FALSE)</f>
        <v>810.63122599999997</v>
      </c>
      <c r="Q467" s="8">
        <f>VLOOKUP($B467,floorspace!$B$4:$O$12,'shell factors calc'!Q$2+1,FALSE)</f>
        <v>37.654308</v>
      </c>
      <c r="R467" s="8">
        <f>VLOOKUP($B467,floorspace!$B$4:$O$12,'shell factors calc'!R$2+1,FALSE)</f>
        <v>106.849113</v>
      </c>
      <c r="S467" s="8">
        <f>VLOOKUP($B467,floorspace!$B$4:$O$12,'shell factors calc'!S$2+1,FALSE)</f>
        <v>112.30965399999999</v>
      </c>
      <c r="T467" s="8">
        <f>VLOOKUP($B467,floorspace!$B$4:$O$12,'shell factors calc'!T$2+1,FALSE)</f>
        <v>321.35845899999998</v>
      </c>
      <c r="U467" s="8">
        <f>VLOOKUP($B467,floorspace!$B$4:$O$12,'shell factors calc'!U$2+1,FALSE)</f>
        <v>292.84985399999999</v>
      </c>
      <c r="V467" s="8">
        <f>VLOOKUP($B467,floorspace!$B$4:$O$12,'shell factors calc'!V$2+1,FALSE)</f>
        <v>365.47903400000001</v>
      </c>
      <c r="W467" s="8">
        <f>VLOOKUP($B467,floorspace!$B$4:$O$12,'shell factors calc'!W$2+1,FALSE)</f>
        <v>999.54614300000003</v>
      </c>
      <c r="X467" s="8">
        <f>VLOOKUP($B467,floorspace!$B$4:$O$12,'shell factors calc'!X$2+1,FALSE)</f>
        <v>1249.8131100000001</v>
      </c>
      <c r="Y467" s="8">
        <f>VLOOKUP($B467,floorspace!$B$4:$O$12,'shell factors calc'!Y$2+1,FALSE)</f>
        <v>265.97723400000001</v>
      </c>
      <c r="Z467">
        <f t="shared" si="7"/>
        <v>0.58159380988077447</v>
      </c>
    </row>
    <row r="468" spans="1:26" x14ac:dyDescent="0.2">
      <c r="A468" s="5" t="s">
        <v>46</v>
      </c>
      <c r="B468" s="5" t="s">
        <v>41</v>
      </c>
      <c r="C468" s="6" t="s">
        <v>22</v>
      </c>
      <c r="D468" s="7">
        <v>0.50536700000000001</v>
      </c>
      <c r="E468">
        <v>0.54652199999999995</v>
      </c>
      <c r="F468">
        <v>0.74939900000000004</v>
      </c>
      <c r="G468">
        <v>0.73551200000000005</v>
      </c>
      <c r="H468">
        <v>0.60695900000000003</v>
      </c>
      <c r="I468">
        <v>0.51794399999999996</v>
      </c>
      <c r="J468">
        <v>0.59881700000000004</v>
      </c>
      <c r="K468">
        <v>0.560311</v>
      </c>
      <c r="L468">
        <v>0.40959099999999998</v>
      </c>
      <c r="M468">
        <v>0.75844900000000004</v>
      </c>
      <c r="N468">
        <v>0.57548999999999995</v>
      </c>
      <c r="O468" s="8">
        <f>VLOOKUP($B468,floorspace!$B$4:$O$12,'shell factors calc'!O$2+1,FALSE)</f>
        <v>781.29705799999999</v>
      </c>
      <c r="P468" s="8">
        <f>VLOOKUP($B468,floorspace!$B$4:$O$12,'shell factors calc'!P$2+1,FALSE)</f>
        <v>810.63122599999997</v>
      </c>
      <c r="Q468" s="8">
        <f>VLOOKUP($B468,floorspace!$B$4:$O$12,'shell factors calc'!Q$2+1,FALSE)</f>
        <v>37.654308</v>
      </c>
      <c r="R468" s="8">
        <f>VLOOKUP($B468,floorspace!$B$4:$O$12,'shell factors calc'!R$2+1,FALSE)</f>
        <v>106.849113</v>
      </c>
      <c r="S468" s="8">
        <f>VLOOKUP($B468,floorspace!$B$4:$O$12,'shell factors calc'!S$2+1,FALSE)</f>
        <v>112.30965399999999</v>
      </c>
      <c r="T468" s="8">
        <f>VLOOKUP($B468,floorspace!$B$4:$O$12,'shell factors calc'!T$2+1,FALSE)</f>
        <v>321.35845899999998</v>
      </c>
      <c r="U468" s="8">
        <f>VLOOKUP($B468,floorspace!$B$4:$O$12,'shell factors calc'!U$2+1,FALSE)</f>
        <v>292.84985399999999</v>
      </c>
      <c r="V468" s="8">
        <f>VLOOKUP($B468,floorspace!$B$4:$O$12,'shell factors calc'!V$2+1,FALSE)</f>
        <v>365.47903400000001</v>
      </c>
      <c r="W468" s="8">
        <f>VLOOKUP($B468,floorspace!$B$4:$O$12,'shell factors calc'!W$2+1,FALSE)</f>
        <v>999.54614300000003</v>
      </c>
      <c r="X468" s="8">
        <f>VLOOKUP($B468,floorspace!$B$4:$O$12,'shell factors calc'!X$2+1,FALSE)</f>
        <v>1249.8131100000001</v>
      </c>
      <c r="Y468" s="8">
        <f>VLOOKUP($B468,floorspace!$B$4:$O$12,'shell factors calc'!Y$2+1,FALSE)</f>
        <v>265.97723400000001</v>
      </c>
      <c r="Z468">
        <f t="shared" si="7"/>
        <v>0.57446886699300059</v>
      </c>
    </row>
    <row r="469" spans="1:26" x14ac:dyDescent="0.2">
      <c r="A469" s="5" t="s">
        <v>46</v>
      </c>
      <c r="B469" s="5" t="s">
        <v>41</v>
      </c>
      <c r="C469" s="6" t="s">
        <v>23</v>
      </c>
      <c r="D469" s="7">
        <v>0.497645</v>
      </c>
      <c r="E469">
        <v>0.53939599999999999</v>
      </c>
      <c r="F469">
        <v>0.74459799999999998</v>
      </c>
      <c r="G469">
        <v>0.73148100000000005</v>
      </c>
      <c r="H469">
        <v>0.59992000000000001</v>
      </c>
      <c r="I469">
        <v>0.50916399999999995</v>
      </c>
      <c r="J469">
        <v>0.59190100000000001</v>
      </c>
      <c r="K469">
        <v>0.553624</v>
      </c>
      <c r="L469">
        <v>0.40017599999999998</v>
      </c>
      <c r="M469">
        <v>0.75390800000000002</v>
      </c>
      <c r="N469">
        <v>0.56825700000000001</v>
      </c>
      <c r="O469" s="8">
        <f>VLOOKUP($B469,floorspace!$B$4:$O$12,'shell factors calc'!O$2+1,FALSE)</f>
        <v>781.29705799999999</v>
      </c>
      <c r="P469" s="8">
        <f>VLOOKUP($B469,floorspace!$B$4:$O$12,'shell factors calc'!P$2+1,FALSE)</f>
        <v>810.63122599999997</v>
      </c>
      <c r="Q469" s="8">
        <f>VLOOKUP($B469,floorspace!$B$4:$O$12,'shell factors calc'!Q$2+1,FALSE)</f>
        <v>37.654308</v>
      </c>
      <c r="R469" s="8">
        <f>VLOOKUP($B469,floorspace!$B$4:$O$12,'shell factors calc'!R$2+1,FALSE)</f>
        <v>106.849113</v>
      </c>
      <c r="S469" s="8">
        <f>VLOOKUP($B469,floorspace!$B$4:$O$12,'shell factors calc'!S$2+1,FALSE)</f>
        <v>112.30965399999999</v>
      </c>
      <c r="T469" s="8">
        <f>VLOOKUP($B469,floorspace!$B$4:$O$12,'shell factors calc'!T$2+1,FALSE)</f>
        <v>321.35845899999998</v>
      </c>
      <c r="U469" s="8">
        <f>VLOOKUP($B469,floorspace!$B$4:$O$12,'shell factors calc'!U$2+1,FALSE)</f>
        <v>292.84985399999999</v>
      </c>
      <c r="V469" s="8">
        <f>VLOOKUP($B469,floorspace!$B$4:$O$12,'shell factors calc'!V$2+1,FALSE)</f>
        <v>365.47903400000001</v>
      </c>
      <c r="W469" s="8">
        <f>VLOOKUP($B469,floorspace!$B$4:$O$12,'shell factors calc'!W$2+1,FALSE)</f>
        <v>999.54614300000003</v>
      </c>
      <c r="X469" s="8">
        <f>VLOOKUP($B469,floorspace!$B$4:$O$12,'shell factors calc'!X$2+1,FALSE)</f>
        <v>1249.8131100000001</v>
      </c>
      <c r="Y469" s="8">
        <f>VLOOKUP($B469,floorspace!$B$4:$O$12,'shell factors calc'!Y$2+1,FALSE)</f>
        <v>265.97723400000001</v>
      </c>
      <c r="Z469">
        <f t="shared" si="7"/>
        <v>0.56744899539156368</v>
      </c>
    </row>
    <row r="470" spans="1:26" x14ac:dyDescent="0.2">
      <c r="A470" s="5" t="s">
        <v>46</v>
      </c>
      <c r="B470" s="5" t="s">
        <v>41</v>
      </c>
      <c r="C470" s="6" t="s">
        <v>24</v>
      </c>
      <c r="D470" s="7">
        <v>0.490041</v>
      </c>
      <c r="E470">
        <v>0.532362</v>
      </c>
      <c r="F470">
        <v>0.73982800000000004</v>
      </c>
      <c r="G470">
        <v>0.72747200000000001</v>
      </c>
      <c r="H470">
        <v>0.59296300000000002</v>
      </c>
      <c r="I470">
        <v>0.50053400000000003</v>
      </c>
      <c r="J470">
        <v>0.58506499999999995</v>
      </c>
      <c r="K470">
        <v>0.547018</v>
      </c>
      <c r="L470">
        <v>0.39097799999999999</v>
      </c>
      <c r="M470">
        <v>0.74939500000000003</v>
      </c>
      <c r="N470">
        <v>0.56111500000000003</v>
      </c>
      <c r="O470" s="8">
        <f>VLOOKUP($B470,floorspace!$B$4:$O$12,'shell factors calc'!O$2+1,FALSE)</f>
        <v>781.29705799999999</v>
      </c>
      <c r="P470" s="8">
        <f>VLOOKUP($B470,floorspace!$B$4:$O$12,'shell factors calc'!P$2+1,FALSE)</f>
        <v>810.63122599999997</v>
      </c>
      <c r="Q470" s="8">
        <f>VLOOKUP($B470,floorspace!$B$4:$O$12,'shell factors calc'!Q$2+1,FALSE)</f>
        <v>37.654308</v>
      </c>
      <c r="R470" s="8">
        <f>VLOOKUP($B470,floorspace!$B$4:$O$12,'shell factors calc'!R$2+1,FALSE)</f>
        <v>106.849113</v>
      </c>
      <c r="S470" s="8">
        <f>VLOOKUP($B470,floorspace!$B$4:$O$12,'shell factors calc'!S$2+1,FALSE)</f>
        <v>112.30965399999999</v>
      </c>
      <c r="T470" s="8">
        <f>VLOOKUP($B470,floorspace!$B$4:$O$12,'shell factors calc'!T$2+1,FALSE)</f>
        <v>321.35845899999998</v>
      </c>
      <c r="U470" s="8">
        <f>VLOOKUP($B470,floorspace!$B$4:$O$12,'shell factors calc'!U$2+1,FALSE)</f>
        <v>292.84985399999999</v>
      </c>
      <c r="V470" s="8">
        <f>VLOOKUP($B470,floorspace!$B$4:$O$12,'shell factors calc'!V$2+1,FALSE)</f>
        <v>365.47903400000001</v>
      </c>
      <c r="W470" s="8">
        <f>VLOOKUP($B470,floorspace!$B$4:$O$12,'shell factors calc'!W$2+1,FALSE)</f>
        <v>999.54614300000003</v>
      </c>
      <c r="X470" s="8">
        <f>VLOOKUP($B470,floorspace!$B$4:$O$12,'shell factors calc'!X$2+1,FALSE)</f>
        <v>1249.8131100000001</v>
      </c>
      <c r="Y470" s="8">
        <f>VLOOKUP($B470,floorspace!$B$4:$O$12,'shell factors calc'!Y$2+1,FALSE)</f>
        <v>265.97723400000001</v>
      </c>
      <c r="Z470">
        <f t="shared" si="7"/>
        <v>0.56053332639419273</v>
      </c>
    </row>
    <row r="471" spans="1:26" x14ac:dyDescent="0.2">
      <c r="A471" s="5" t="s">
        <v>46</v>
      </c>
      <c r="B471" s="5" t="s">
        <v>41</v>
      </c>
      <c r="C471" s="6" t="s">
        <v>25</v>
      </c>
      <c r="D471" s="7">
        <v>0.48255300000000001</v>
      </c>
      <c r="E471">
        <v>0.52542100000000003</v>
      </c>
      <c r="F471">
        <v>0.73508899999999999</v>
      </c>
      <c r="G471">
        <v>0.72348500000000004</v>
      </c>
      <c r="H471">
        <v>0.58608700000000002</v>
      </c>
      <c r="I471">
        <v>0.49204999999999999</v>
      </c>
      <c r="J471">
        <v>0.57830899999999996</v>
      </c>
      <c r="K471">
        <v>0.54049000000000003</v>
      </c>
      <c r="L471">
        <v>0.38199</v>
      </c>
      <c r="M471">
        <v>0.74490900000000004</v>
      </c>
      <c r="N471">
        <v>0.55406299999999997</v>
      </c>
      <c r="O471" s="8">
        <f>VLOOKUP($B471,floorspace!$B$4:$O$12,'shell factors calc'!O$2+1,FALSE)</f>
        <v>781.29705799999999</v>
      </c>
      <c r="P471" s="8">
        <f>VLOOKUP($B471,floorspace!$B$4:$O$12,'shell factors calc'!P$2+1,FALSE)</f>
        <v>810.63122599999997</v>
      </c>
      <c r="Q471" s="8">
        <f>VLOOKUP($B471,floorspace!$B$4:$O$12,'shell factors calc'!Q$2+1,FALSE)</f>
        <v>37.654308</v>
      </c>
      <c r="R471" s="8">
        <f>VLOOKUP($B471,floorspace!$B$4:$O$12,'shell factors calc'!R$2+1,FALSE)</f>
        <v>106.849113</v>
      </c>
      <c r="S471" s="8">
        <f>VLOOKUP($B471,floorspace!$B$4:$O$12,'shell factors calc'!S$2+1,FALSE)</f>
        <v>112.30965399999999</v>
      </c>
      <c r="T471" s="8">
        <f>VLOOKUP($B471,floorspace!$B$4:$O$12,'shell factors calc'!T$2+1,FALSE)</f>
        <v>321.35845899999998</v>
      </c>
      <c r="U471" s="8">
        <f>VLOOKUP($B471,floorspace!$B$4:$O$12,'shell factors calc'!U$2+1,FALSE)</f>
        <v>292.84985399999999</v>
      </c>
      <c r="V471" s="8">
        <f>VLOOKUP($B471,floorspace!$B$4:$O$12,'shell factors calc'!V$2+1,FALSE)</f>
        <v>365.47903400000001</v>
      </c>
      <c r="W471" s="8">
        <f>VLOOKUP($B471,floorspace!$B$4:$O$12,'shell factors calc'!W$2+1,FALSE)</f>
        <v>999.54614300000003</v>
      </c>
      <c r="X471" s="8">
        <f>VLOOKUP($B471,floorspace!$B$4:$O$12,'shell factors calc'!X$2+1,FALSE)</f>
        <v>1249.8131100000001</v>
      </c>
      <c r="Y471" s="8">
        <f>VLOOKUP($B471,floorspace!$B$4:$O$12,'shell factors calc'!Y$2+1,FALSE)</f>
        <v>265.97723400000001</v>
      </c>
      <c r="Z471">
        <f t="shared" si="7"/>
        <v>0.55371965953802971</v>
      </c>
    </row>
    <row r="472" spans="1:26" x14ac:dyDescent="0.2">
      <c r="A472" s="5" t="s">
        <v>46</v>
      </c>
      <c r="B472" s="5" t="s">
        <v>41</v>
      </c>
      <c r="C472" s="6" t="s">
        <v>26</v>
      </c>
      <c r="D472" s="7">
        <v>0.47517999999999999</v>
      </c>
      <c r="E472">
        <v>0.51856999999999998</v>
      </c>
      <c r="F472">
        <v>0.73038000000000003</v>
      </c>
      <c r="G472">
        <v>0.71952000000000005</v>
      </c>
      <c r="H472">
        <v>0.57928999999999997</v>
      </c>
      <c r="I472">
        <v>0.48370999999999997</v>
      </c>
      <c r="J472">
        <v>0.57162999999999997</v>
      </c>
      <c r="K472">
        <v>0.53403999999999996</v>
      </c>
      <c r="L472">
        <v>0.37320999999999999</v>
      </c>
      <c r="M472">
        <v>0.74045000000000005</v>
      </c>
      <c r="N472">
        <v>0.54710000000000003</v>
      </c>
      <c r="O472" s="8">
        <f>VLOOKUP($B472,floorspace!$B$4:$O$12,'shell factors calc'!O$2+1,FALSE)</f>
        <v>781.29705799999999</v>
      </c>
      <c r="P472" s="8">
        <f>VLOOKUP($B472,floorspace!$B$4:$O$12,'shell factors calc'!P$2+1,FALSE)</f>
        <v>810.63122599999997</v>
      </c>
      <c r="Q472" s="8">
        <f>VLOOKUP($B472,floorspace!$B$4:$O$12,'shell factors calc'!Q$2+1,FALSE)</f>
        <v>37.654308</v>
      </c>
      <c r="R472" s="8">
        <f>VLOOKUP($B472,floorspace!$B$4:$O$12,'shell factors calc'!R$2+1,FALSE)</f>
        <v>106.849113</v>
      </c>
      <c r="S472" s="8">
        <f>VLOOKUP($B472,floorspace!$B$4:$O$12,'shell factors calc'!S$2+1,FALSE)</f>
        <v>112.30965399999999</v>
      </c>
      <c r="T472" s="8">
        <f>VLOOKUP($B472,floorspace!$B$4:$O$12,'shell factors calc'!T$2+1,FALSE)</f>
        <v>321.35845899999998</v>
      </c>
      <c r="U472" s="8">
        <f>VLOOKUP($B472,floorspace!$B$4:$O$12,'shell factors calc'!U$2+1,FALSE)</f>
        <v>292.84985399999999</v>
      </c>
      <c r="V472" s="8">
        <f>VLOOKUP($B472,floorspace!$B$4:$O$12,'shell factors calc'!V$2+1,FALSE)</f>
        <v>365.47903400000001</v>
      </c>
      <c r="W472" s="8">
        <f>VLOOKUP($B472,floorspace!$B$4:$O$12,'shell factors calc'!W$2+1,FALSE)</f>
        <v>999.54614300000003</v>
      </c>
      <c r="X472" s="8">
        <f>VLOOKUP($B472,floorspace!$B$4:$O$12,'shell factors calc'!X$2+1,FALSE)</f>
        <v>1249.8131100000001</v>
      </c>
      <c r="Y472" s="8">
        <f>VLOOKUP($B472,floorspace!$B$4:$O$12,'shell factors calc'!Y$2+1,FALSE)</f>
        <v>265.97723400000001</v>
      </c>
      <c r="Z472">
        <f t="shared" si="7"/>
        <v>0.54700663589353937</v>
      </c>
    </row>
    <row r="473" spans="1:26" x14ac:dyDescent="0.2">
      <c r="A473" s="5" t="s">
        <v>46</v>
      </c>
      <c r="B473" s="5" t="s">
        <v>41</v>
      </c>
      <c r="C473" s="6" t="s">
        <v>27</v>
      </c>
      <c r="D473" s="7">
        <v>0.46665200000000001</v>
      </c>
      <c r="E473">
        <v>0.51083100000000004</v>
      </c>
      <c r="F473">
        <v>0.72570100000000004</v>
      </c>
      <c r="G473">
        <v>0.715368</v>
      </c>
      <c r="H473">
        <v>0.57172800000000001</v>
      </c>
      <c r="I473">
        <v>0.47388599999999997</v>
      </c>
      <c r="J473">
        <v>0.56420400000000004</v>
      </c>
      <c r="K473">
        <v>0.52683899999999995</v>
      </c>
      <c r="L473">
        <v>0.36211399999999999</v>
      </c>
      <c r="M473">
        <v>0.73575999999999997</v>
      </c>
      <c r="N473">
        <v>0.53927499999999995</v>
      </c>
      <c r="O473" s="8">
        <f>VLOOKUP($B473,floorspace!$B$4:$O$12,'shell factors calc'!O$2+1,FALSE)</f>
        <v>781.29705799999999</v>
      </c>
      <c r="P473" s="8">
        <f>VLOOKUP($B473,floorspace!$B$4:$O$12,'shell factors calc'!P$2+1,FALSE)</f>
        <v>810.63122599999997</v>
      </c>
      <c r="Q473" s="8">
        <f>VLOOKUP($B473,floorspace!$B$4:$O$12,'shell factors calc'!Q$2+1,FALSE)</f>
        <v>37.654308</v>
      </c>
      <c r="R473" s="8">
        <f>VLOOKUP($B473,floorspace!$B$4:$O$12,'shell factors calc'!R$2+1,FALSE)</f>
        <v>106.849113</v>
      </c>
      <c r="S473" s="8">
        <f>VLOOKUP($B473,floorspace!$B$4:$O$12,'shell factors calc'!S$2+1,FALSE)</f>
        <v>112.30965399999999</v>
      </c>
      <c r="T473" s="8">
        <f>VLOOKUP($B473,floorspace!$B$4:$O$12,'shell factors calc'!T$2+1,FALSE)</f>
        <v>321.35845899999998</v>
      </c>
      <c r="U473" s="8">
        <f>VLOOKUP($B473,floorspace!$B$4:$O$12,'shell factors calc'!U$2+1,FALSE)</f>
        <v>292.84985399999999</v>
      </c>
      <c r="V473" s="8">
        <f>VLOOKUP($B473,floorspace!$B$4:$O$12,'shell factors calc'!V$2+1,FALSE)</f>
        <v>365.47903400000001</v>
      </c>
      <c r="W473" s="8">
        <f>VLOOKUP($B473,floorspace!$B$4:$O$12,'shell factors calc'!W$2+1,FALSE)</f>
        <v>999.54614300000003</v>
      </c>
      <c r="X473" s="8">
        <f>VLOOKUP($B473,floorspace!$B$4:$O$12,'shell factors calc'!X$2+1,FALSE)</f>
        <v>1249.8131100000001</v>
      </c>
      <c r="Y473" s="8">
        <f>VLOOKUP($B473,floorspace!$B$4:$O$12,'shell factors calc'!Y$2+1,FALSE)</f>
        <v>265.97723400000001</v>
      </c>
      <c r="Z473">
        <f t="shared" si="7"/>
        <v>0.53925874935910456</v>
      </c>
    </row>
    <row r="474" spans="1:26" x14ac:dyDescent="0.2">
      <c r="A474" s="5" t="s">
        <v>46</v>
      </c>
      <c r="B474" s="5" t="s">
        <v>41</v>
      </c>
      <c r="C474" s="6" t="s">
        <v>28</v>
      </c>
      <c r="D474" s="7">
        <v>0.45827800000000002</v>
      </c>
      <c r="E474">
        <v>0.50320799999999999</v>
      </c>
      <c r="F474">
        <v>0.72105300000000006</v>
      </c>
      <c r="G474">
        <v>0.71123999999999998</v>
      </c>
      <c r="H474">
        <v>0.56426399999999999</v>
      </c>
      <c r="I474">
        <v>0.46426200000000001</v>
      </c>
      <c r="J474">
        <v>0.55687399999999998</v>
      </c>
      <c r="K474">
        <v>0.51973599999999998</v>
      </c>
      <c r="L474">
        <v>0.35134900000000002</v>
      </c>
      <c r="M474">
        <v>0.73109900000000005</v>
      </c>
      <c r="N474">
        <v>0.53156199999999998</v>
      </c>
      <c r="O474" s="8">
        <f>VLOOKUP($B474,floorspace!$B$4:$O$12,'shell factors calc'!O$2+1,FALSE)</f>
        <v>781.29705799999999</v>
      </c>
      <c r="P474" s="8">
        <f>VLOOKUP($B474,floorspace!$B$4:$O$12,'shell factors calc'!P$2+1,FALSE)</f>
        <v>810.63122599999997</v>
      </c>
      <c r="Q474" s="8">
        <f>VLOOKUP($B474,floorspace!$B$4:$O$12,'shell factors calc'!Q$2+1,FALSE)</f>
        <v>37.654308</v>
      </c>
      <c r="R474" s="8">
        <f>VLOOKUP($B474,floorspace!$B$4:$O$12,'shell factors calc'!R$2+1,FALSE)</f>
        <v>106.849113</v>
      </c>
      <c r="S474" s="8">
        <f>VLOOKUP($B474,floorspace!$B$4:$O$12,'shell factors calc'!S$2+1,FALSE)</f>
        <v>112.30965399999999</v>
      </c>
      <c r="T474" s="8">
        <f>VLOOKUP($B474,floorspace!$B$4:$O$12,'shell factors calc'!T$2+1,FALSE)</f>
        <v>321.35845899999998</v>
      </c>
      <c r="U474" s="8">
        <f>VLOOKUP($B474,floorspace!$B$4:$O$12,'shell factors calc'!U$2+1,FALSE)</f>
        <v>292.84985399999999</v>
      </c>
      <c r="V474" s="8">
        <f>VLOOKUP($B474,floorspace!$B$4:$O$12,'shell factors calc'!V$2+1,FALSE)</f>
        <v>365.47903400000001</v>
      </c>
      <c r="W474" s="8">
        <f>VLOOKUP($B474,floorspace!$B$4:$O$12,'shell factors calc'!W$2+1,FALSE)</f>
        <v>999.54614300000003</v>
      </c>
      <c r="X474" s="8">
        <f>VLOOKUP($B474,floorspace!$B$4:$O$12,'shell factors calc'!X$2+1,FALSE)</f>
        <v>1249.8131100000001</v>
      </c>
      <c r="Y474" s="8">
        <f>VLOOKUP($B474,floorspace!$B$4:$O$12,'shell factors calc'!Y$2+1,FALSE)</f>
        <v>265.97723400000001</v>
      </c>
      <c r="Z474">
        <f t="shared" si="7"/>
        <v>0.53165199496223736</v>
      </c>
    </row>
    <row r="475" spans="1:26" x14ac:dyDescent="0.2">
      <c r="A475" s="5" t="s">
        <v>46</v>
      </c>
      <c r="B475" s="5" t="s">
        <v>41</v>
      </c>
      <c r="C475" s="6" t="s">
        <v>29</v>
      </c>
      <c r="D475" s="7">
        <v>0.45005299999999998</v>
      </c>
      <c r="E475">
        <v>0.495699</v>
      </c>
      <c r="F475">
        <v>0.71643400000000002</v>
      </c>
      <c r="G475">
        <v>0.70713499999999996</v>
      </c>
      <c r="H475">
        <v>0.55689900000000003</v>
      </c>
      <c r="I475">
        <v>0.45483299999999999</v>
      </c>
      <c r="J475">
        <v>0.54963899999999999</v>
      </c>
      <c r="K475">
        <v>0.51272799999999996</v>
      </c>
      <c r="L475">
        <v>0.34090300000000001</v>
      </c>
      <c r="M475">
        <v>0.726468</v>
      </c>
      <c r="N475">
        <v>0.52395899999999995</v>
      </c>
      <c r="O475" s="8">
        <f>VLOOKUP($B475,floorspace!$B$4:$O$12,'shell factors calc'!O$2+1,FALSE)</f>
        <v>781.29705799999999</v>
      </c>
      <c r="P475" s="8">
        <f>VLOOKUP($B475,floorspace!$B$4:$O$12,'shell factors calc'!P$2+1,FALSE)</f>
        <v>810.63122599999997</v>
      </c>
      <c r="Q475" s="8">
        <f>VLOOKUP($B475,floorspace!$B$4:$O$12,'shell factors calc'!Q$2+1,FALSE)</f>
        <v>37.654308</v>
      </c>
      <c r="R475" s="8">
        <f>VLOOKUP($B475,floorspace!$B$4:$O$12,'shell factors calc'!R$2+1,FALSE)</f>
        <v>106.849113</v>
      </c>
      <c r="S475" s="8">
        <f>VLOOKUP($B475,floorspace!$B$4:$O$12,'shell factors calc'!S$2+1,FALSE)</f>
        <v>112.30965399999999</v>
      </c>
      <c r="T475" s="8">
        <f>VLOOKUP($B475,floorspace!$B$4:$O$12,'shell factors calc'!T$2+1,FALSE)</f>
        <v>321.35845899999998</v>
      </c>
      <c r="U475" s="8">
        <f>VLOOKUP($B475,floorspace!$B$4:$O$12,'shell factors calc'!U$2+1,FALSE)</f>
        <v>292.84985399999999</v>
      </c>
      <c r="V475" s="8">
        <f>VLOOKUP($B475,floorspace!$B$4:$O$12,'shell factors calc'!V$2+1,FALSE)</f>
        <v>365.47903400000001</v>
      </c>
      <c r="W475" s="8">
        <f>VLOOKUP($B475,floorspace!$B$4:$O$12,'shell factors calc'!W$2+1,FALSE)</f>
        <v>999.54614300000003</v>
      </c>
      <c r="X475" s="8">
        <f>VLOOKUP($B475,floorspace!$B$4:$O$12,'shell factors calc'!X$2+1,FALSE)</f>
        <v>1249.8131100000001</v>
      </c>
      <c r="Y475" s="8">
        <f>VLOOKUP($B475,floorspace!$B$4:$O$12,'shell factors calc'!Y$2+1,FALSE)</f>
        <v>265.97723400000001</v>
      </c>
      <c r="Z475">
        <f t="shared" si="7"/>
        <v>0.52418265428167021</v>
      </c>
    </row>
    <row r="476" spans="1:26" x14ac:dyDescent="0.2">
      <c r="A476" s="5" t="s">
        <v>46</v>
      </c>
      <c r="B476" s="5" t="s">
        <v>41</v>
      </c>
      <c r="C476" s="6" t="s">
        <v>30</v>
      </c>
      <c r="D476" s="7">
        <v>0.44197599999999998</v>
      </c>
      <c r="E476">
        <v>0.48830200000000001</v>
      </c>
      <c r="F476">
        <v>0.71184499999999995</v>
      </c>
      <c r="G476">
        <v>0.70305399999999996</v>
      </c>
      <c r="H476">
        <v>0.54962900000000003</v>
      </c>
      <c r="I476">
        <v>0.44559500000000002</v>
      </c>
      <c r="J476">
        <v>0.54249800000000004</v>
      </c>
      <c r="K476">
        <v>0.50581500000000001</v>
      </c>
      <c r="L476">
        <v>0.33076800000000001</v>
      </c>
      <c r="M476">
        <v>0.72186600000000001</v>
      </c>
      <c r="N476">
        <v>0.51646599999999998</v>
      </c>
      <c r="O476" s="8">
        <f>VLOOKUP($B476,floorspace!$B$4:$O$12,'shell factors calc'!O$2+1,FALSE)</f>
        <v>781.29705799999999</v>
      </c>
      <c r="P476" s="8">
        <f>VLOOKUP($B476,floorspace!$B$4:$O$12,'shell factors calc'!P$2+1,FALSE)</f>
        <v>810.63122599999997</v>
      </c>
      <c r="Q476" s="8">
        <f>VLOOKUP($B476,floorspace!$B$4:$O$12,'shell factors calc'!Q$2+1,FALSE)</f>
        <v>37.654308</v>
      </c>
      <c r="R476" s="8">
        <f>VLOOKUP($B476,floorspace!$B$4:$O$12,'shell factors calc'!R$2+1,FALSE)</f>
        <v>106.849113</v>
      </c>
      <c r="S476" s="8">
        <f>VLOOKUP($B476,floorspace!$B$4:$O$12,'shell factors calc'!S$2+1,FALSE)</f>
        <v>112.30965399999999</v>
      </c>
      <c r="T476" s="8">
        <f>VLOOKUP($B476,floorspace!$B$4:$O$12,'shell factors calc'!T$2+1,FALSE)</f>
        <v>321.35845899999998</v>
      </c>
      <c r="U476" s="8">
        <f>VLOOKUP($B476,floorspace!$B$4:$O$12,'shell factors calc'!U$2+1,FALSE)</f>
        <v>292.84985399999999</v>
      </c>
      <c r="V476" s="8">
        <f>VLOOKUP($B476,floorspace!$B$4:$O$12,'shell factors calc'!V$2+1,FALSE)</f>
        <v>365.47903400000001</v>
      </c>
      <c r="W476" s="8">
        <f>VLOOKUP($B476,floorspace!$B$4:$O$12,'shell factors calc'!W$2+1,FALSE)</f>
        <v>999.54614300000003</v>
      </c>
      <c r="X476" s="8">
        <f>VLOOKUP($B476,floorspace!$B$4:$O$12,'shell factors calc'!X$2+1,FALSE)</f>
        <v>1249.8131100000001</v>
      </c>
      <c r="Y476" s="8">
        <f>VLOOKUP($B476,floorspace!$B$4:$O$12,'shell factors calc'!Y$2+1,FALSE)</f>
        <v>265.97723400000001</v>
      </c>
      <c r="Z476">
        <f t="shared" si="7"/>
        <v>0.51684819506529989</v>
      </c>
    </row>
    <row r="477" spans="1:26" x14ac:dyDescent="0.2">
      <c r="A477" s="5" t="s">
        <v>46</v>
      </c>
      <c r="B477" s="5" t="s">
        <v>41</v>
      </c>
      <c r="C477" s="6" t="s">
        <v>31</v>
      </c>
      <c r="D477" s="7">
        <v>0.43404399999999999</v>
      </c>
      <c r="E477">
        <v>0.48101500000000003</v>
      </c>
      <c r="F477">
        <v>0.70728500000000005</v>
      </c>
      <c r="G477">
        <v>0.69899699999999998</v>
      </c>
      <c r="H477">
        <v>0.54245399999999999</v>
      </c>
      <c r="I477">
        <v>0.43654599999999999</v>
      </c>
      <c r="J477">
        <v>0.53544999999999998</v>
      </c>
      <c r="K477">
        <v>0.49899500000000002</v>
      </c>
      <c r="L477">
        <v>0.320934</v>
      </c>
      <c r="M477">
        <v>0.71729299999999996</v>
      </c>
      <c r="N477">
        <v>0.50907899999999995</v>
      </c>
      <c r="O477" s="8">
        <f>VLOOKUP($B477,floorspace!$B$4:$O$12,'shell factors calc'!O$2+1,FALSE)</f>
        <v>781.29705799999999</v>
      </c>
      <c r="P477" s="8">
        <f>VLOOKUP($B477,floorspace!$B$4:$O$12,'shell factors calc'!P$2+1,FALSE)</f>
        <v>810.63122599999997</v>
      </c>
      <c r="Q477" s="8">
        <f>VLOOKUP($B477,floorspace!$B$4:$O$12,'shell factors calc'!Q$2+1,FALSE)</f>
        <v>37.654308</v>
      </c>
      <c r="R477" s="8">
        <f>VLOOKUP($B477,floorspace!$B$4:$O$12,'shell factors calc'!R$2+1,FALSE)</f>
        <v>106.849113</v>
      </c>
      <c r="S477" s="8">
        <f>VLOOKUP($B477,floorspace!$B$4:$O$12,'shell factors calc'!S$2+1,FALSE)</f>
        <v>112.30965399999999</v>
      </c>
      <c r="T477" s="8">
        <f>VLOOKUP($B477,floorspace!$B$4:$O$12,'shell factors calc'!T$2+1,FALSE)</f>
        <v>321.35845899999998</v>
      </c>
      <c r="U477" s="8">
        <f>VLOOKUP($B477,floorspace!$B$4:$O$12,'shell factors calc'!U$2+1,FALSE)</f>
        <v>292.84985399999999</v>
      </c>
      <c r="V477" s="8">
        <f>VLOOKUP($B477,floorspace!$B$4:$O$12,'shell factors calc'!V$2+1,FALSE)</f>
        <v>365.47903400000001</v>
      </c>
      <c r="W477" s="8">
        <f>VLOOKUP($B477,floorspace!$B$4:$O$12,'shell factors calc'!W$2+1,FALSE)</f>
        <v>999.54614300000003</v>
      </c>
      <c r="X477" s="8">
        <f>VLOOKUP($B477,floorspace!$B$4:$O$12,'shell factors calc'!X$2+1,FALSE)</f>
        <v>1249.8131100000001</v>
      </c>
      <c r="Y477" s="8">
        <f>VLOOKUP($B477,floorspace!$B$4:$O$12,'shell factors calc'!Y$2+1,FALSE)</f>
        <v>265.97723400000001</v>
      </c>
      <c r="Z477">
        <f t="shared" si="7"/>
        <v>0.50964548680448007</v>
      </c>
    </row>
    <row r="478" spans="1:26" x14ac:dyDescent="0.2">
      <c r="A478" s="5" t="s">
        <v>46</v>
      </c>
      <c r="B478" s="5" t="s">
        <v>41</v>
      </c>
      <c r="C478" s="6" t="s">
        <v>32</v>
      </c>
      <c r="D478" s="7">
        <v>0.426255</v>
      </c>
      <c r="E478">
        <v>0.47383700000000001</v>
      </c>
      <c r="F478">
        <v>0.70275399999999999</v>
      </c>
      <c r="G478">
        <v>0.69496400000000003</v>
      </c>
      <c r="H478">
        <v>0.53537299999999999</v>
      </c>
      <c r="I478">
        <v>0.42768</v>
      </c>
      <c r="J478">
        <v>0.52849400000000002</v>
      </c>
      <c r="K478">
        <v>0.49226700000000001</v>
      </c>
      <c r="L478">
        <v>0.311392</v>
      </c>
      <c r="M478">
        <v>0.71274899999999997</v>
      </c>
      <c r="N478">
        <v>0.50179799999999997</v>
      </c>
      <c r="O478" s="8">
        <f>VLOOKUP($B478,floorspace!$B$4:$O$12,'shell factors calc'!O$2+1,FALSE)</f>
        <v>781.29705799999999</v>
      </c>
      <c r="P478" s="8">
        <f>VLOOKUP($B478,floorspace!$B$4:$O$12,'shell factors calc'!P$2+1,FALSE)</f>
        <v>810.63122599999997</v>
      </c>
      <c r="Q478" s="8">
        <f>VLOOKUP($B478,floorspace!$B$4:$O$12,'shell factors calc'!Q$2+1,FALSE)</f>
        <v>37.654308</v>
      </c>
      <c r="R478" s="8">
        <f>VLOOKUP($B478,floorspace!$B$4:$O$12,'shell factors calc'!R$2+1,FALSE)</f>
        <v>106.849113</v>
      </c>
      <c r="S478" s="8">
        <f>VLOOKUP($B478,floorspace!$B$4:$O$12,'shell factors calc'!S$2+1,FALSE)</f>
        <v>112.30965399999999</v>
      </c>
      <c r="T478" s="8">
        <f>VLOOKUP($B478,floorspace!$B$4:$O$12,'shell factors calc'!T$2+1,FALSE)</f>
        <v>321.35845899999998</v>
      </c>
      <c r="U478" s="8">
        <f>VLOOKUP($B478,floorspace!$B$4:$O$12,'shell factors calc'!U$2+1,FALSE)</f>
        <v>292.84985399999999</v>
      </c>
      <c r="V478" s="8">
        <f>VLOOKUP($B478,floorspace!$B$4:$O$12,'shell factors calc'!V$2+1,FALSE)</f>
        <v>365.47903400000001</v>
      </c>
      <c r="W478" s="8">
        <f>VLOOKUP($B478,floorspace!$B$4:$O$12,'shell factors calc'!W$2+1,FALSE)</f>
        <v>999.54614300000003</v>
      </c>
      <c r="X478" s="8">
        <f>VLOOKUP($B478,floorspace!$B$4:$O$12,'shell factors calc'!X$2+1,FALSE)</f>
        <v>1249.8131100000001</v>
      </c>
      <c r="Y478" s="8">
        <f>VLOOKUP($B478,floorspace!$B$4:$O$12,'shell factors calc'!Y$2+1,FALSE)</f>
        <v>265.97723400000001</v>
      </c>
      <c r="Z478">
        <f t="shared" si="7"/>
        <v>0.50257189691162207</v>
      </c>
    </row>
    <row r="479" spans="1:26" x14ac:dyDescent="0.2">
      <c r="A479" s="5" t="s">
        <v>46</v>
      </c>
      <c r="B479" s="5" t="s">
        <v>41</v>
      </c>
      <c r="C479" s="6" t="s">
        <v>33</v>
      </c>
      <c r="D479" s="7">
        <v>0.418605</v>
      </c>
      <c r="E479">
        <v>0.46676600000000001</v>
      </c>
      <c r="F479">
        <v>0.69825199999999998</v>
      </c>
      <c r="G479">
        <v>0.69095300000000004</v>
      </c>
      <c r="H479">
        <v>0.52838399999999996</v>
      </c>
      <c r="I479">
        <v>0.41899399999999998</v>
      </c>
      <c r="J479">
        <v>0.52162799999999998</v>
      </c>
      <c r="K479">
        <v>0.48563000000000001</v>
      </c>
      <c r="L479">
        <v>0.30213400000000001</v>
      </c>
      <c r="M479">
        <v>0.70823400000000003</v>
      </c>
      <c r="N479">
        <v>0.49462099999999998</v>
      </c>
      <c r="O479" s="8">
        <f>VLOOKUP($B479,floorspace!$B$4:$O$12,'shell factors calc'!O$2+1,FALSE)</f>
        <v>781.29705799999999</v>
      </c>
      <c r="P479" s="8">
        <f>VLOOKUP($B479,floorspace!$B$4:$O$12,'shell factors calc'!P$2+1,FALSE)</f>
        <v>810.63122599999997</v>
      </c>
      <c r="Q479" s="8">
        <f>VLOOKUP($B479,floorspace!$B$4:$O$12,'shell factors calc'!Q$2+1,FALSE)</f>
        <v>37.654308</v>
      </c>
      <c r="R479" s="8">
        <f>VLOOKUP($B479,floorspace!$B$4:$O$12,'shell factors calc'!R$2+1,FALSE)</f>
        <v>106.849113</v>
      </c>
      <c r="S479" s="8">
        <f>VLOOKUP($B479,floorspace!$B$4:$O$12,'shell factors calc'!S$2+1,FALSE)</f>
        <v>112.30965399999999</v>
      </c>
      <c r="T479" s="8">
        <f>VLOOKUP($B479,floorspace!$B$4:$O$12,'shell factors calc'!T$2+1,FALSE)</f>
        <v>321.35845899999998</v>
      </c>
      <c r="U479" s="8">
        <f>VLOOKUP($B479,floorspace!$B$4:$O$12,'shell factors calc'!U$2+1,FALSE)</f>
        <v>292.84985399999999</v>
      </c>
      <c r="V479" s="8">
        <f>VLOOKUP($B479,floorspace!$B$4:$O$12,'shell factors calc'!V$2+1,FALSE)</f>
        <v>365.47903400000001</v>
      </c>
      <c r="W479" s="8">
        <f>VLOOKUP($B479,floorspace!$B$4:$O$12,'shell factors calc'!W$2+1,FALSE)</f>
        <v>999.54614300000003</v>
      </c>
      <c r="X479" s="8">
        <f>VLOOKUP($B479,floorspace!$B$4:$O$12,'shell factors calc'!X$2+1,FALSE)</f>
        <v>1249.8131100000001</v>
      </c>
      <c r="Y479" s="8">
        <f>VLOOKUP($B479,floorspace!$B$4:$O$12,'shell factors calc'!Y$2+1,FALSE)</f>
        <v>265.97723400000001</v>
      </c>
      <c r="Z479">
        <f t="shared" si="7"/>
        <v>0.49562450079229026</v>
      </c>
    </row>
    <row r="480" spans="1:26" x14ac:dyDescent="0.2">
      <c r="A480" s="5" t="s">
        <v>46</v>
      </c>
      <c r="B480" s="5" t="s">
        <v>41</v>
      </c>
      <c r="C480" s="6" t="s">
        <v>34</v>
      </c>
      <c r="D480" s="7">
        <v>0.41109299999999999</v>
      </c>
      <c r="E480">
        <v>0.45980100000000002</v>
      </c>
      <c r="F480">
        <v>0.69377999999999995</v>
      </c>
      <c r="G480">
        <v>0.68696599999999997</v>
      </c>
      <c r="H480">
        <v>0.52148600000000001</v>
      </c>
      <c r="I480">
        <v>0.41048400000000002</v>
      </c>
      <c r="J480">
        <v>0.51485099999999995</v>
      </c>
      <c r="K480">
        <v>0.47908200000000001</v>
      </c>
      <c r="L480">
        <v>0.29315200000000002</v>
      </c>
      <c r="M480">
        <v>0.70374800000000004</v>
      </c>
      <c r="N480">
        <v>0.48754599999999998</v>
      </c>
      <c r="O480" s="8">
        <f>VLOOKUP($B480,floorspace!$B$4:$O$12,'shell factors calc'!O$2+1,FALSE)</f>
        <v>781.29705799999999</v>
      </c>
      <c r="P480" s="8">
        <f>VLOOKUP($B480,floorspace!$B$4:$O$12,'shell factors calc'!P$2+1,FALSE)</f>
        <v>810.63122599999997</v>
      </c>
      <c r="Q480" s="8">
        <f>VLOOKUP($B480,floorspace!$B$4:$O$12,'shell factors calc'!Q$2+1,FALSE)</f>
        <v>37.654308</v>
      </c>
      <c r="R480" s="8">
        <f>VLOOKUP($B480,floorspace!$B$4:$O$12,'shell factors calc'!R$2+1,FALSE)</f>
        <v>106.849113</v>
      </c>
      <c r="S480" s="8">
        <f>VLOOKUP($B480,floorspace!$B$4:$O$12,'shell factors calc'!S$2+1,FALSE)</f>
        <v>112.30965399999999</v>
      </c>
      <c r="T480" s="8">
        <f>VLOOKUP($B480,floorspace!$B$4:$O$12,'shell factors calc'!T$2+1,FALSE)</f>
        <v>321.35845899999998</v>
      </c>
      <c r="U480" s="8">
        <f>VLOOKUP($B480,floorspace!$B$4:$O$12,'shell factors calc'!U$2+1,FALSE)</f>
        <v>292.84985399999999</v>
      </c>
      <c r="V480" s="8">
        <f>VLOOKUP($B480,floorspace!$B$4:$O$12,'shell factors calc'!V$2+1,FALSE)</f>
        <v>365.47903400000001</v>
      </c>
      <c r="W480" s="8">
        <f>VLOOKUP($B480,floorspace!$B$4:$O$12,'shell factors calc'!W$2+1,FALSE)</f>
        <v>999.54614300000003</v>
      </c>
      <c r="X480" s="8">
        <f>VLOOKUP($B480,floorspace!$B$4:$O$12,'shell factors calc'!X$2+1,FALSE)</f>
        <v>1249.8131100000001</v>
      </c>
      <c r="Y480" s="8">
        <f>VLOOKUP($B480,floorspace!$B$4:$O$12,'shell factors calc'!Y$2+1,FALSE)</f>
        <v>265.97723400000001</v>
      </c>
      <c r="Z480">
        <f t="shared" si="7"/>
        <v>0.48880099848562719</v>
      </c>
    </row>
    <row r="481" spans="1:26" x14ac:dyDescent="0.2">
      <c r="A481" s="5" t="s">
        <v>46</v>
      </c>
      <c r="B481" s="5" t="s">
        <v>41</v>
      </c>
      <c r="C481" s="6" t="s">
        <v>35</v>
      </c>
      <c r="D481" s="7">
        <v>0.40371499999999999</v>
      </c>
      <c r="E481">
        <v>0.45293899999999998</v>
      </c>
      <c r="F481">
        <v>0.68933599999999995</v>
      </c>
      <c r="G481">
        <v>0.683002</v>
      </c>
      <c r="H481">
        <v>0.514679</v>
      </c>
      <c r="I481">
        <v>0.40214699999999998</v>
      </c>
      <c r="J481">
        <v>0.508162</v>
      </c>
      <c r="K481">
        <v>0.47262199999999999</v>
      </c>
      <c r="L481">
        <v>0.28443600000000002</v>
      </c>
      <c r="M481">
        <v>0.69928999999999997</v>
      </c>
      <c r="N481">
        <v>0.48057299999999997</v>
      </c>
      <c r="O481" s="8">
        <f>VLOOKUP($B481,floorspace!$B$4:$O$12,'shell factors calc'!O$2+1,FALSE)</f>
        <v>781.29705799999999</v>
      </c>
      <c r="P481" s="8">
        <f>VLOOKUP($B481,floorspace!$B$4:$O$12,'shell factors calc'!P$2+1,FALSE)</f>
        <v>810.63122599999997</v>
      </c>
      <c r="Q481" s="8">
        <f>VLOOKUP($B481,floorspace!$B$4:$O$12,'shell factors calc'!Q$2+1,FALSE)</f>
        <v>37.654308</v>
      </c>
      <c r="R481" s="8">
        <f>VLOOKUP($B481,floorspace!$B$4:$O$12,'shell factors calc'!R$2+1,FALSE)</f>
        <v>106.849113</v>
      </c>
      <c r="S481" s="8">
        <f>VLOOKUP($B481,floorspace!$B$4:$O$12,'shell factors calc'!S$2+1,FALSE)</f>
        <v>112.30965399999999</v>
      </c>
      <c r="T481" s="8">
        <f>VLOOKUP($B481,floorspace!$B$4:$O$12,'shell factors calc'!T$2+1,FALSE)</f>
        <v>321.35845899999998</v>
      </c>
      <c r="U481" s="8">
        <f>VLOOKUP($B481,floorspace!$B$4:$O$12,'shell factors calc'!U$2+1,FALSE)</f>
        <v>292.84985399999999</v>
      </c>
      <c r="V481" s="8">
        <f>VLOOKUP($B481,floorspace!$B$4:$O$12,'shell factors calc'!V$2+1,FALSE)</f>
        <v>365.47903400000001</v>
      </c>
      <c r="W481" s="8">
        <f>VLOOKUP($B481,floorspace!$B$4:$O$12,'shell factors calc'!W$2+1,FALSE)</f>
        <v>999.54614300000003</v>
      </c>
      <c r="X481" s="8">
        <f>VLOOKUP($B481,floorspace!$B$4:$O$12,'shell factors calc'!X$2+1,FALSE)</f>
        <v>1249.8131100000001</v>
      </c>
      <c r="Y481" s="8">
        <f>VLOOKUP($B481,floorspace!$B$4:$O$12,'shell factors calc'!Y$2+1,FALSE)</f>
        <v>265.97723400000001</v>
      </c>
      <c r="Z481">
        <f t="shared" si="7"/>
        <v>0.48209790800509877</v>
      </c>
    </row>
    <row r="482" spans="1:26" x14ac:dyDescent="0.2">
      <c r="A482" s="5" t="s">
        <v>46</v>
      </c>
      <c r="B482" s="1" t="s">
        <v>41</v>
      </c>
      <c r="C482" s="2" t="s">
        <v>36</v>
      </c>
      <c r="D482" s="4">
        <v>0.39646999999999999</v>
      </c>
      <c r="E482">
        <v>0.44618000000000002</v>
      </c>
      <c r="F482">
        <v>0.68491999999999997</v>
      </c>
      <c r="G482">
        <v>0.67906</v>
      </c>
      <c r="H482">
        <v>0.50795999999999997</v>
      </c>
      <c r="I482">
        <v>0.39398</v>
      </c>
      <c r="J482">
        <v>0.50156000000000001</v>
      </c>
      <c r="K482">
        <v>0.46625</v>
      </c>
      <c r="L482">
        <v>0.27598</v>
      </c>
      <c r="M482">
        <v>0.69486000000000003</v>
      </c>
      <c r="N482">
        <v>0.47370000000000001</v>
      </c>
      <c r="O482" s="8">
        <f>VLOOKUP($B482,floorspace!$B$4:$O$12,'shell factors calc'!O$2+1,FALSE)</f>
        <v>781.29705799999999</v>
      </c>
      <c r="P482" s="8">
        <f>VLOOKUP($B482,floorspace!$B$4:$O$12,'shell factors calc'!P$2+1,FALSE)</f>
        <v>810.63122599999997</v>
      </c>
      <c r="Q482" s="8">
        <f>VLOOKUP($B482,floorspace!$B$4:$O$12,'shell factors calc'!Q$2+1,FALSE)</f>
        <v>37.654308</v>
      </c>
      <c r="R482" s="8">
        <f>VLOOKUP($B482,floorspace!$B$4:$O$12,'shell factors calc'!R$2+1,FALSE)</f>
        <v>106.849113</v>
      </c>
      <c r="S482" s="8">
        <f>VLOOKUP($B482,floorspace!$B$4:$O$12,'shell factors calc'!S$2+1,FALSE)</f>
        <v>112.30965399999999</v>
      </c>
      <c r="T482" s="8">
        <f>VLOOKUP($B482,floorspace!$B$4:$O$12,'shell factors calc'!T$2+1,FALSE)</f>
        <v>321.35845899999998</v>
      </c>
      <c r="U482" s="8">
        <f>VLOOKUP($B482,floorspace!$B$4:$O$12,'shell factors calc'!U$2+1,FALSE)</f>
        <v>292.84985399999999</v>
      </c>
      <c r="V482" s="8">
        <f>VLOOKUP($B482,floorspace!$B$4:$O$12,'shell factors calc'!V$2+1,FALSE)</f>
        <v>365.47903400000001</v>
      </c>
      <c r="W482" s="8">
        <f>VLOOKUP($B482,floorspace!$B$4:$O$12,'shell factors calc'!W$2+1,FALSE)</f>
        <v>999.54614300000003</v>
      </c>
      <c r="X482" s="8">
        <f>VLOOKUP($B482,floorspace!$B$4:$O$12,'shell factors calc'!X$2+1,FALSE)</f>
        <v>1249.8131100000001</v>
      </c>
      <c r="Y482" s="8">
        <f>VLOOKUP($B482,floorspace!$B$4:$O$12,'shell factors calc'!Y$2+1,FALSE)</f>
        <v>265.97723400000001</v>
      </c>
      <c r="Z482">
        <f t="shared" si="7"/>
        <v>0.47551354304313653</v>
      </c>
    </row>
    <row r="483" spans="1:26" x14ac:dyDescent="0.2">
      <c r="A483" s="5" t="s">
        <v>46</v>
      </c>
      <c r="B483" s="5" t="s">
        <v>42</v>
      </c>
      <c r="C483" s="6" t="s">
        <v>5</v>
      </c>
      <c r="D483" s="7">
        <v>0.60691200000000001</v>
      </c>
      <c r="E483">
        <v>0.62238800000000005</v>
      </c>
      <c r="F483">
        <v>0.88449299999999997</v>
      </c>
      <c r="G483">
        <v>0.67830100000000004</v>
      </c>
      <c r="H483">
        <v>0.71173799999999998</v>
      </c>
      <c r="I483">
        <v>0.67481400000000002</v>
      </c>
      <c r="J483">
        <v>0.60400100000000001</v>
      </c>
      <c r="K483">
        <v>0.682257</v>
      </c>
      <c r="L483">
        <v>0.54886400000000002</v>
      </c>
      <c r="M483">
        <v>0.600804</v>
      </c>
      <c r="N483">
        <v>0.64828600000000003</v>
      </c>
      <c r="O483" s="8">
        <f>VLOOKUP($B483,floorspace!$B$4:$O$12,'shell factors calc'!O$2+1,FALSE)</f>
        <v>1465.1141359999999</v>
      </c>
      <c r="P483" s="8">
        <f>VLOOKUP($B483,floorspace!$B$4:$O$12,'shell factors calc'!P$2+1,FALSE)</f>
        <v>1778.1881100000001</v>
      </c>
      <c r="Q483" s="8">
        <f>VLOOKUP($B483,floorspace!$B$4:$O$12,'shell factors calc'!Q$2+1,FALSE)</f>
        <v>124.162651</v>
      </c>
      <c r="R483" s="8">
        <f>VLOOKUP($B483,floorspace!$B$4:$O$12,'shell factors calc'!R$2+1,FALSE)</f>
        <v>190.44966099999999</v>
      </c>
      <c r="S483" s="8">
        <f>VLOOKUP($B483,floorspace!$B$4:$O$12,'shell factors calc'!S$2+1,FALSE)</f>
        <v>228.065933</v>
      </c>
      <c r="T483" s="8">
        <f>VLOOKUP($B483,floorspace!$B$4:$O$12,'shell factors calc'!T$2+1,FALSE)</f>
        <v>751.99401899999998</v>
      </c>
      <c r="U483" s="8">
        <f>VLOOKUP($B483,floorspace!$B$4:$O$12,'shell factors calc'!U$2+1,FALSE)</f>
        <v>984.05578600000001</v>
      </c>
      <c r="V483" s="8">
        <f>VLOOKUP($B483,floorspace!$B$4:$O$12,'shell factors calc'!V$2+1,FALSE)</f>
        <v>1016.462524</v>
      </c>
      <c r="W483" s="8">
        <f>VLOOKUP($B483,floorspace!$B$4:$O$12,'shell factors calc'!W$2+1,FALSE)</f>
        <v>2180.842529</v>
      </c>
      <c r="X483" s="8">
        <f>VLOOKUP($B483,floorspace!$B$4:$O$12,'shell factors calc'!X$2+1,FALSE)</f>
        <v>2050.6289059999999</v>
      </c>
      <c r="Y483" s="8">
        <f>VLOOKUP($B483,floorspace!$B$4:$O$12,'shell factors calc'!Y$2+1,FALSE)</f>
        <v>628.40942399999994</v>
      </c>
      <c r="Z483">
        <f t="shared" si="7"/>
        <v>0.61666351270460362</v>
      </c>
    </row>
    <row r="484" spans="1:26" x14ac:dyDescent="0.2">
      <c r="A484" s="5" t="s">
        <v>46</v>
      </c>
      <c r="B484" s="5" t="s">
        <v>42</v>
      </c>
      <c r="C484" s="6" t="s">
        <v>6</v>
      </c>
      <c r="D484" s="7">
        <v>0.59824999999999995</v>
      </c>
      <c r="E484">
        <v>0.61400999999999994</v>
      </c>
      <c r="F484">
        <v>0.87450000000000006</v>
      </c>
      <c r="G484">
        <v>0.67157</v>
      </c>
      <c r="H484">
        <v>0.70406000000000002</v>
      </c>
      <c r="I484">
        <v>0.66579999999999995</v>
      </c>
      <c r="J484">
        <v>0.59404000000000001</v>
      </c>
      <c r="K484">
        <v>0.67554000000000003</v>
      </c>
      <c r="L484">
        <v>0.53842000000000001</v>
      </c>
      <c r="M484">
        <v>0.60160999999999998</v>
      </c>
      <c r="N484">
        <v>0.63958000000000004</v>
      </c>
      <c r="O484" s="8">
        <f>VLOOKUP($B484,floorspace!$B$4:$O$12,'shell factors calc'!O$2+1,FALSE)</f>
        <v>1465.1141359999999</v>
      </c>
      <c r="P484" s="8">
        <f>VLOOKUP($B484,floorspace!$B$4:$O$12,'shell factors calc'!P$2+1,FALSE)</f>
        <v>1778.1881100000001</v>
      </c>
      <c r="Q484" s="8">
        <f>VLOOKUP($B484,floorspace!$B$4:$O$12,'shell factors calc'!Q$2+1,FALSE)</f>
        <v>124.162651</v>
      </c>
      <c r="R484" s="8">
        <f>VLOOKUP($B484,floorspace!$B$4:$O$12,'shell factors calc'!R$2+1,FALSE)</f>
        <v>190.44966099999999</v>
      </c>
      <c r="S484" s="8">
        <f>VLOOKUP($B484,floorspace!$B$4:$O$12,'shell factors calc'!S$2+1,FALSE)</f>
        <v>228.065933</v>
      </c>
      <c r="T484" s="8">
        <f>VLOOKUP($B484,floorspace!$B$4:$O$12,'shell factors calc'!T$2+1,FALSE)</f>
        <v>751.99401899999998</v>
      </c>
      <c r="U484" s="8">
        <f>VLOOKUP($B484,floorspace!$B$4:$O$12,'shell factors calc'!U$2+1,FALSE)</f>
        <v>984.05578600000001</v>
      </c>
      <c r="V484" s="8">
        <f>VLOOKUP($B484,floorspace!$B$4:$O$12,'shell factors calc'!V$2+1,FALSE)</f>
        <v>1016.462524</v>
      </c>
      <c r="W484" s="8">
        <f>VLOOKUP($B484,floorspace!$B$4:$O$12,'shell factors calc'!W$2+1,FALSE)</f>
        <v>2180.842529</v>
      </c>
      <c r="X484" s="8">
        <f>VLOOKUP($B484,floorspace!$B$4:$O$12,'shell factors calc'!X$2+1,FALSE)</f>
        <v>2050.6289059999999</v>
      </c>
      <c r="Y484" s="8">
        <f>VLOOKUP($B484,floorspace!$B$4:$O$12,'shell factors calc'!Y$2+1,FALSE)</f>
        <v>628.40942399999994</v>
      </c>
      <c r="Z484">
        <f t="shared" si="7"/>
        <v>0.60948131964131147</v>
      </c>
    </row>
    <row r="485" spans="1:26" x14ac:dyDescent="0.2">
      <c r="A485" s="5" t="s">
        <v>46</v>
      </c>
      <c r="B485" s="5" t="s">
        <v>42</v>
      </c>
      <c r="C485" s="6" t="s">
        <v>7</v>
      </c>
      <c r="D485" s="7">
        <v>0.58892</v>
      </c>
      <c r="E485">
        <v>0.60503300000000004</v>
      </c>
      <c r="F485">
        <v>0.86655099999999996</v>
      </c>
      <c r="G485">
        <v>0.66449999999999998</v>
      </c>
      <c r="H485">
        <v>0.69595799999999997</v>
      </c>
      <c r="I485">
        <v>0.65615000000000001</v>
      </c>
      <c r="J485">
        <v>0.58317399999999997</v>
      </c>
      <c r="K485">
        <v>0.668493</v>
      </c>
      <c r="L485">
        <v>0.52685199999999999</v>
      </c>
      <c r="M485">
        <v>0.60240899999999997</v>
      </c>
      <c r="N485">
        <v>0.63024999999999998</v>
      </c>
      <c r="O485" s="8">
        <f>VLOOKUP($B485,floorspace!$B$4:$O$12,'shell factors calc'!O$2+1,FALSE)</f>
        <v>1465.1141359999999</v>
      </c>
      <c r="P485" s="8">
        <f>VLOOKUP($B485,floorspace!$B$4:$O$12,'shell factors calc'!P$2+1,FALSE)</f>
        <v>1778.1881100000001</v>
      </c>
      <c r="Q485" s="8">
        <f>VLOOKUP($B485,floorspace!$B$4:$O$12,'shell factors calc'!Q$2+1,FALSE)</f>
        <v>124.162651</v>
      </c>
      <c r="R485" s="8">
        <f>VLOOKUP($B485,floorspace!$B$4:$O$12,'shell factors calc'!R$2+1,FALSE)</f>
        <v>190.44966099999999</v>
      </c>
      <c r="S485" s="8">
        <f>VLOOKUP($B485,floorspace!$B$4:$O$12,'shell factors calc'!S$2+1,FALSE)</f>
        <v>228.065933</v>
      </c>
      <c r="T485" s="8">
        <f>VLOOKUP($B485,floorspace!$B$4:$O$12,'shell factors calc'!T$2+1,FALSE)</f>
        <v>751.99401899999998</v>
      </c>
      <c r="U485" s="8">
        <f>VLOOKUP($B485,floorspace!$B$4:$O$12,'shell factors calc'!U$2+1,FALSE)</f>
        <v>984.05578600000001</v>
      </c>
      <c r="V485" s="8">
        <f>VLOOKUP($B485,floorspace!$B$4:$O$12,'shell factors calc'!V$2+1,FALSE)</f>
        <v>1016.462524</v>
      </c>
      <c r="W485" s="8">
        <f>VLOOKUP($B485,floorspace!$B$4:$O$12,'shell factors calc'!W$2+1,FALSE)</f>
        <v>2180.842529</v>
      </c>
      <c r="X485" s="8">
        <f>VLOOKUP($B485,floorspace!$B$4:$O$12,'shell factors calc'!X$2+1,FALSE)</f>
        <v>2050.6289059999999</v>
      </c>
      <c r="Y485" s="8">
        <f>VLOOKUP($B485,floorspace!$B$4:$O$12,'shell factors calc'!Y$2+1,FALSE)</f>
        <v>628.40942399999994</v>
      </c>
      <c r="Z485">
        <f t="shared" si="7"/>
        <v>0.60172770075561366</v>
      </c>
    </row>
    <row r="486" spans="1:26" x14ac:dyDescent="0.2">
      <c r="A486" s="5" t="s">
        <v>46</v>
      </c>
      <c r="B486" s="5" t="s">
        <v>42</v>
      </c>
      <c r="C486" s="6" t="s">
        <v>8</v>
      </c>
      <c r="D486" s="7">
        <v>0.579735</v>
      </c>
      <c r="E486">
        <v>0.59618700000000002</v>
      </c>
      <c r="F486">
        <v>0.85867300000000002</v>
      </c>
      <c r="G486">
        <v>0.65750500000000001</v>
      </c>
      <c r="H486">
        <v>0.68794900000000003</v>
      </c>
      <c r="I486">
        <v>0.64664100000000002</v>
      </c>
      <c r="J486">
        <v>0.57250599999999996</v>
      </c>
      <c r="K486">
        <v>0.66152</v>
      </c>
      <c r="L486">
        <v>0.51553300000000002</v>
      </c>
      <c r="M486">
        <v>0.603209</v>
      </c>
      <c r="N486">
        <v>0.62105600000000005</v>
      </c>
      <c r="O486" s="8">
        <f>VLOOKUP($B486,floorspace!$B$4:$O$12,'shell factors calc'!O$2+1,FALSE)</f>
        <v>1465.1141359999999</v>
      </c>
      <c r="P486" s="8">
        <f>VLOOKUP($B486,floorspace!$B$4:$O$12,'shell factors calc'!P$2+1,FALSE)</f>
        <v>1778.1881100000001</v>
      </c>
      <c r="Q486" s="8">
        <f>VLOOKUP($B486,floorspace!$B$4:$O$12,'shell factors calc'!Q$2+1,FALSE)</f>
        <v>124.162651</v>
      </c>
      <c r="R486" s="8">
        <f>VLOOKUP($B486,floorspace!$B$4:$O$12,'shell factors calc'!R$2+1,FALSE)</f>
        <v>190.44966099999999</v>
      </c>
      <c r="S486" s="8">
        <f>VLOOKUP($B486,floorspace!$B$4:$O$12,'shell factors calc'!S$2+1,FALSE)</f>
        <v>228.065933</v>
      </c>
      <c r="T486" s="8">
        <f>VLOOKUP($B486,floorspace!$B$4:$O$12,'shell factors calc'!T$2+1,FALSE)</f>
        <v>751.99401899999998</v>
      </c>
      <c r="U486" s="8">
        <f>VLOOKUP($B486,floorspace!$B$4:$O$12,'shell factors calc'!U$2+1,FALSE)</f>
        <v>984.05578600000001</v>
      </c>
      <c r="V486" s="8">
        <f>VLOOKUP($B486,floorspace!$B$4:$O$12,'shell factors calc'!V$2+1,FALSE)</f>
        <v>1016.462524</v>
      </c>
      <c r="W486" s="8">
        <f>VLOOKUP($B486,floorspace!$B$4:$O$12,'shell factors calc'!W$2+1,FALSE)</f>
        <v>2180.842529</v>
      </c>
      <c r="X486" s="8">
        <f>VLOOKUP($B486,floorspace!$B$4:$O$12,'shell factors calc'!X$2+1,FALSE)</f>
        <v>2050.6289059999999</v>
      </c>
      <c r="Y486" s="8">
        <f>VLOOKUP($B486,floorspace!$B$4:$O$12,'shell factors calc'!Y$2+1,FALSE)</f>
        <v>628.40942399999994</v>
      </c>
      <c r="Z486">
        <f t="shared" si="7"/>
        <v>0.59410535762628292</v>
      </c>
    </row>
    <row r="487" spans="1:26" x14ac:dyDescent="0.2">
      <c r="A487" s="5" t="s">
        <v>46</v>
      </c>
      <c r="B487" s="5" t="s">
        <v>42</v>
      </c>
      <c r="C487" s="6" t="s">
        <v>9</v>
      </c>
      <c r="D487" s="7">
        <v>0.57069300000000001</v>
      </c>
      <c r="E487">
        <v>0.58747000000000005</v>
      </c>
      <c r="F487">
        <v>0.85086799999999996</v>
      </c>
      <c r="G487">
        <v>0.65058400000000005</v>
      </c>
      <c r="H487">
        <v>0.680033</v>
      </c>
      <c r="I487">
        <v>0.63726899999999997</v>
      </c>
      <c r="J487">
        <v>0.56203400000000003</v>
      </c>
      <c r="K487">
        <v>0.65461899999999995</v>
      </c>
      <c r="L487">
        <v>0.50445700000000004</v>
      </c>
      <c r="M487">
        <v>0.60401099999999996</v>
      </c>
      <c r="N487">
        <v>0.61199599999999998</v>
      </c>
      <c r="O487" s="8">
        <f>VLOOKUP($B487,floorspace!$B$4:$O$12,'shell factors calc'!O$2+1,FALSE)</f>
        <v>1465.1141359999999</v>
      </c>
      <c r="P487" s="8">
        <f>VLOOKUP($B487,floorspace!$B$4:$O$12,'shell factors calc'!P$2+1,FALSE)</f>
        <v>1778.1881100000001</v>
      </c>
      <c r="Q487" s="8">
        <f>VLOOKUP($B487,floorspace!$B$4:$O$12,'shell factors calc'!Q$2+1,FALSE)</f>
        <v>124.162651</v>
      </c>
      <c r="R487" s="8">
        <f>VLOOKUP($B487,floorspace!$B$4:$O$12,'shell factors calc'!R$2+1,FALSE)</f>
        <v>190.44966099999999</v>
      </c>
      <c r="S487" s="8">
        <f>VLOOKUP($B487,floorspace!$B$4:$O$12,'shell factors calc'!S$2+1,FALSE)</f>
        <v>228.065933</v>
      </c>
      <c r="T487" s="8">
        <f>VLOOKUP($B487,floorspace!$B$4:$O$12,'shell factors calc'!T$2+1,FALSE)</f>
        <v>751.99401899999998</v>
      </c>
      <c r="U487" s="8">
        <f>VLOOKUP($B487,floorspace!$B$4:$O$12,'shell factors calc'!U$2+1,FALSE)</f>
        <v>984.05578600000001</v>
      </c>
      <c r="V487" s="8">
        <f>VLOOKUP($B487,floorspace!$B$4:$O$12,'shell factors calc'!V$2+1,FALSE)</f>
        <v>1016.462524</v>
      </c>
      <c r="W487" s="8">
        <f>VLOOKUP($B487,floorspace!$B$4:$O$12,'shell factors calc'!W$2+1,FALSE)</f>
        <v>2180.842529</v>
      </c>
      <c r="X487" s="8">
        <f>VLOOKUP($B487,floorspace!$B$4:$O$12,'shell factors calc'!X$2+1,FALSE)</f>
        <v>2050.6289059999999</v>
      </c>
      <c r="Y487" s="8">
        <f>VLOOKUP($B487,floorspace!$B$4:$O$12,'shell factors calc'!Y$2+1,FALSE)</f>
        <v>628.40942399999994</v>
      </c>
      <c r="Z487">
        <f t="shared" si="7"/>
        <v>0.58661203300264642</v>
      </c>
    </row>
    <row r="488" spans="1:26" x14ac:dyDescent="0.2">
      <c r="A488" s="5" t="s">
        <v>46</v>
      </c>
      <c r="B488" s="5" t="s">
        <v>42</v>
      </c>
      <c r="C488" s="6" t="s">
        <v>10</v>
      </c>
      <c r="D488" s="7">
        <v>0.56179299999999999</v>
      </c>
      <c r="E488">
        <v>0.57888099999999998</v>
      </c>
      <c r="F488">
        <v>0.84313300000000002</v>
      </c>
      <c r="G488">
        <v>0.64373499999999995</v>
      </c>
      <c r="H488">
        <v>0.672207</v>
      </c>
      <c r="I488">
        <v>0.62803299999999995</v>
      </c>
      <c r="J488">
        <v>0.55175300000000005</v>
      </c>
      <c r="K488">
        <v>0.64779100000000001</v>
      </c>
      <c r="L488">
        <v>0.49361899999999997</v>
      </c>
      <c r="M488">
        <v>0.60481300000000005</v>
      </c>
      <c r="N488">
        <v>0.60306800000000005</v>
      </c>
      <c r="O488" s="8">
        <f>VLOOKUP($B488,floorspace!$B$4:$O$12,'shell factors calc'!O$2+1,FALSE)</f>
        <v>1465.1141359999999</v>
      </c>
      <c r="P488" s="8">
        <f>VLOOKUP($B488,floorspace!$B$4:$O$12,'shell factors calc'!P$2+1,FALSE)</f>
        <v>1778.1881100000001</v>
      </c>
      <c r="Q488" s="8">
        <f>VLOOKUP($B488,floorspace!$B$4:$O$12,'shell factors calc'!Q$2+1,FALSE)</f>
        <v>124.162651</v>
      </c>
      <c r="R488" s="8">
        <f>VLOOKUP($B488,floorspace!$B$4:$O$12,'shell factors calc'!R$2+1,FALSE)</f>
        <v>190.44966099999999</v>
      </c>
      <c r="S488" s="8">
        <f>VLOOKUP($B488,floorspace!$B$4:$O$12,'shell factors calc'!S$2+1,FALSE)</f>
        <v>228.065933</v>
      </c>
      <c r="T488" s="8">
        <f>VLOOKUP($B488,floorspace!$B$4:$O$12,'shell factors calc'!T$2+1,FALSE)</f>
        <v>751.99401899999998</v>
      </c>
      <c r="U488" s="8">
        <f>VLOOKUP($B488,floorspace!$B$4:$O$12,'shell factors calc'!U$2+1,FALSE)</f>
        <v>984.05578600000001</v>
      </c>
      <c r="V488" s="8">
        <f>VLOOKUP($B488,floorspace!$B$4:$O$12,'shell factors calc'!V$2+1,FALSE)</f>
        <v>1016.462524</v>
      </c>
      <c r="W488" s="8">
        <f>VLOOKUP($B488,floorspace!$B$4:$O$12,'shell factors calc'!W$2+1,FALSE)</f>
        <v>2180.842529</v>
      </c>
      <c r="X488" s="8">
        <f>VLOOKUP($B488,floorspace!$B$4:$O$12,'shell factors calc'!X$2+1,FALSE)</f>
        <v>2050.6289059999999</v>
      </c>
      <c r="Y488" s="8">
        <f>VLOOKUP($B488,floorspace!$B$4:$O$12,'shell factors calc'!Y$2+1,FALSE)</f>
        <v>628.40942399999994</v>
      </c>
      <c r="Z488">
        <f t="shared" si="7"/>
        <v>0.5792454810391322</v>
      </c>
    </row>
    <row r="489" spans="1:26" x14ac:dyDescent="0.2">
      <c r="A489" s="5" t="s">
        <v>46</v>
      </c>
      <c r="B489" s="5" t="s">
        <v>42</v>
      </c>
      <c r="C489" s="6" t="s">
        <v>11</v>
      </c>
      <c r="D489" s="7">
        <v>0.55303100000000005</v>
      </c>
      <c r="E489">
        <v>0.57041699999999995</v>
      </c>
      <c r="F489">
        <v>0.83546900000000002</v>
      </c>
      <c r="G489">
        <v>0.63695800000000002</v>
      </c>
      <c r="H489">
        <v>0.66447199999999995</v>
      </c>
      <c r="I489">
        <v>0.61892999999999998</v>
      </c>
      <c r="J489">
        <v>0.54166099999999995</v>
      </c>
      <c r="K489">
        <v>0.64103399999999999</v>
      </c>
      <c r="L489">
        <v>0.483014</v>
      </c>
      <c r="M489">
        <v>0.60561699999999996</v>
      </c>
      <c r="N489">
        <v>0.59426999999999996</v>
      </c>
      <c r="O489" s="8">
        <f>VLOOKUP($B489,floorspace!$B$4:$O$12,'shell factors calc'!O$2+1,FALSE)</f>
        <v>1465.1141359999999</v>
      </c>
      <c r="P489" s="8">
        <f>VLOOKUP($B489,floorspace!$B$4:$O$12,'shell factors calc'!P$2+1,FALSE)</f>
        <v>1778.1881100000001</v>
      </c>
      <c r="Q489" s="8">
        <f>VLOOKUP($B489,floorspace!$B$4:$O$12,'shell factors calc'!Q$2+1,FALSE)</f>
        <v>124.162651</v>
      </c>
      <c r="R489" s="8">
        <f>VLOOKUP($B489,floorspace!$B$4:$O$12,'shell factors calc'!R$2+1,FALSE)</f>
        <v>190.44966099999999</v>
      </c>
      <c r="S489" s="8">
        <f>VLOOKUP($B489,floorspace!$B$4:$O$12,'shell factors calc'!S$2+1,FALSE)</f>
        <v>228.065933</v>
      </c>
      <c r="T489" s="8">
        <f>VLOOKUP($B489,floorspace!$B$4:$O$12,'shell factors calc'!T$2+1,FALSE)</f>
        <v>751.99401899999998</v>
      </c>
      <c r="U489" s="8">
        <f>VLOOKUP($B489,floorspace!$B$4:$O$12,'shell factors calc'!U$2+1,FALSE)</f>
        <v>984.05578600000001</v>
      </c>
      <c r="V489" s="8">
        <f>VLOOKUP($B489,floorspace!$B$4:$O$12,'shell factors calc'!V$2+1,FALSE)</f>
        <v>1016.462524</v>
      </c>
      <c r="W489" s="8">
        <f>VLOOKUP($B489,floorspace!$B$4:$O$12,'shell factors calc'!W$2+1,FALSE)</f>
        <v>2180.842529</v>
      </c>
      <c r="X489" s="8">
        <f>VLOOKUP($B489,floorspace!$B$4:$O$12,'shell factors calc'!X$2+1,FALSE)</f>
        <v>2050.6289059999999</v>
      </c>
      <c r="Y489" s="8">
        <f>VLOOKUP($B489,floorspace!$B$4:$O$12,'shell factors calc'!Y$2+1,FALSE)</f>
        <v>628.40942399999994</v>
      </c>
      <c r="Z489">
        <f t="shared" si="7"/>
        <v>0.57200349443973875</v>
      </c>
    </row>
    <row r="490" spans="1:26" x14ac:dyDescent="0.2">
      <c r="A490" s="5" t="s">
        <v>46</v>
      </c>
      <c r="B490" s="5" t="s">
        <v>42</v>
      </c>
      <c r="C490" s="6" t="s">
        <v>12</v>
      </c>
      <c r="D490" s="7">
        <v>0.54440599999999995</v>
      </c>
      <c r="E490">
        <v>0.56207799999999997</v>
      </c>
      <c r="F490">
        <v>0.827874</v>
      </c>
      <c r="G490">
        <v>0.63025299999999995</v>
      </c>
      <c r="H490">
        <v>0.65682600000000002</v>
      </c>
      <c r="I490">
        <v>0.60995999999999995</v>
      </c>
      <c r="J490">
        <v>0.53175300000000003</v>
      </c>
      <c r="K490">
        <v>0.63434699999999999</v>
      </c>
      <c r="L490">
        <v>0.47263699999999997</v>
      </c>
      <c r="M490">
        <v>0.60642099999999999</v>
      </c>
      <c r="N490">
        <v>0.58560100000000004</v>
      </c>
      <c r="O490" s="8">
        <f>VLOOKUP($B490,floorspace!$B$4:$O$12,'shell factors calc'!O$2+1,FALSE)</f>
        <v>1465.1141359999999</v>
      </c>
      <c r="P490" s="8">
        <f>VLOOKUP($B490,floorspace!$B$4:$O$12,'shell factors calc'!P$2+1,FALSE)</f>
        <v>1778.1881100000001</v>
      </c>
      <c r="Q490" s="8">
        <f>VLOOKUP($B490,floorspace!$B$4:$O$12,'shell factors calc'!Q$2+1,FALSE)</f>
        <v>124.162651</v>
      </c>
      <c r="R490" s="8">
        <f>VLOOKUP($B490,floorspace!$B$4:$O$12,'shell factors calc'!R$2+1,FALSE)</f>
        <v>190.44966099999999</v>
      </c>
      <c r="S490" s="8">
        <f>VLOOKUP($B490,floorspace!$B$4:$O$12,'shell factors calc'!S$2+1,FALSE)</f>
        <v>228.065933</v>
      </c>
      <c r="T490" s="8">
        <f>VLOOKUP($B490,floorspace!$B$4:$O$12,'shell factors calc'!T$2+1,FALSE)</f>
        <v>751.99401899999998</v>
      </c>
      <c r="U490" s="8">
        <f>VLOOKUP($B490,floorspace!$B$4:$O$12,'shell factors calc'!U$2+1,FALSE)</f>
        <v>984.05578600000001</v>
      </c>
      <c r="V490" s="8">
        <f>VLOOKUP($B490,floorspace!$B$4:$O$12,'shell factors calc'!V$2+1,FALSE)</f>
        <v>1016.462524</v>
      </c>
      <c r="W490" s="8">
        <f>VLOOKUP($B490,floorspace!$B$4:$O$12,'shell factors calc'!W$2+1,FALSE)</f>
        <v>2180.842529</v>
      </c>
      <c r="X490" s="8">
        <f>VLOOKUP($B490,floorspace!$B$4:$O$12,'shell factors calc'!X$2+1,FALSE)</f>
        <v>2050.6289059999999</v>
      </c>
      <c r="Y490" s="8">
        <f>VLOOKUP($B490,floorspace!$B$4:$O$12,'shell factors calc'!Y$2+1,FALSE)</f>
        <v>628.40942399999994</v>
      </c>
      <c r="Z490">
        <f t="shared" si="7"/>
        <v>0.56488399043429982</v>
      </c>
    </row>
    <row r="491" spans="1:26" x14ac:dyDescent="0.2">
      <c r="A491" s="5" t="s">
        <v>46</v>
      </c>
      <c r="B491" s="5" t="s">
        <v>42</v>
      </c>
      <c r="C491" s="6" t="s">
        <v>13</v>
      </c>
      <c r="D491" s="7">
        <v>0.53591500000000003</v>
      </c>
      <c r="E491">
        <v>0.55386000000000002</v>
      </c>
      <c r="F491">
        <v>0.82034899999999999</v>
      </c>
      <c r="G491">
        <v>0.62361800000000001</v>
      </c>
      <c r="H491">
        <v>0.64926700000000004</v>
      </c>
      <c r="I491">
        <v>0.60111999999999999</v>
      </c>
      <c r="J491">
        <v>0.52202599999999999</v>
      </c>
      <c r="K491">
        <v>0.62773000000000001</v>
      </c>
      <c r="L491">
        <v>0.46248299999999998</v>
      </c>
      <c r="M491">
        <v>0.60722699999999996</v>
      </c>
      <c r="N491">
        <v>0.57705799999999996</v>
      </c>
      <c r="O491" s="8">
        <f>VLOOKUP($B491,floorspace!$B$4:$O$12,'shell factors calc'!O$2+1,FALSE)</f>
        <v>1465.1141359999999</v>
      </c>
      <c r="P491" s="8">
        <f>VLOOKUP($B491,floorspace!$B$4:$O$12,'shell factors calc'!P$2+1,FALSE)</f>
        <v>1778.1881100000001</v>
      </c>
      <c r="Q491" s="8">
        <f>VLOOKUP($B491,floorspace!$B$4:$O$12,'shell factors calc'!Q$2+1,FALSE)</f>
        <v>124.162651</v>
      </c>
      <c r="R491" s="8">
        <f>VLOOKUP($B491,floorspace!$B$4:$O$12,'shell factors calc'!R$2+1,FALSE)</f>
        <v>190.44966099999999</v>
      </c>
      <c r="S491" s="8">
        <f>VLOOKUP($B491,floorspace!$B$4:$O$12,'shell factors calc'!S$2+1,FALSE)</f>
        <v>228.065933</v>
      </c>
      <c r="T491" s="8">
        <f>VLOOKUP($B491,floorspace!$B$4:$O$12,'shell factors calc'!T$2+1,FALSE)</f>
        <v>751.99401899999998</v>
      </c>
      <c r="U491" s="8">
        <f>VLOOKUP($B491,floorspace!$B$4:$O$12,'shell factors calc'!U$2+1,FALSE)</f>
        <v>984.05578600000001</v>
      </c>
      <c r="V491" s="8">
        <f>VLOOKUP($B491,floorspace!$B$4:$O$12,'shell factors calc'!V$2+1,FALSE)</f>
        <v>1016.462524</v>
      </c>
      <c r="W491" s="8">
        <f>VLOOKUP($B491,floorspace!$B$4:$O$12,'shell factors calc'!W$2+1,FALSE)</f>
        <v>2180.842529</v>
      </c>
      <c r="X491" s="8">
        <f>VLOOKUP($B491,floorspace!$B$4:$O$12,'shell factors calc'!X$2+1,FALSE)</f>
        <v>2050.6289059999999</v>
      </c>
      <c r="Y491" s="8">
        <f>VLOOKUP($B491,floorspace!$B$4:$O$12,'shell factors calc'!Y$2+1,FALSE)</f>
        <v>628.40942399999994</v>
      </c>
      <c r="Z491">
        <f t="shared" si="7"/>
        <v>0.55788467770506811</v>
      </c>
    </row>
    <row r="492" spans="1:26" x14ac:dyDescent="0.2">
      <c r="A492" s="5" t="s">
        <v>46</v>
      </c>
      <c r="B492" s="5" t="s">
        <v>42</v>
      </c>
      <c r="C492" s="6" t="s">
        <v>14</v>
      </c>
      <c r="D492" s="7">
        <v>0.52755700000000005</v>
      </c>
      <c r="E492">
        <v>0.54576199999999997</v>
      </c>
      <c r="F492">
        <v>0.81289199999999995</v>
      </c>
      <c r="G492">
        <v>0.61705299999999996</v>
      </c>
      <c r="H492">
        <v>0.64179600000000003</v>
      </c>
      <c r="I492">
        <v>0.59240700000000002</v>
      </c>
      <c r="J492">
        <v>0.51247699999999996</v>
      </c>
      <c r="K492">
        <v>0.62118200000000001</v>
      </c>
      <c r="L492">
        <v>0.452546</v>
      </c>
      <c r="M492">
        <v>0.60803399999999996</v>
      </c>
      <c r="N492">
        <v>0.56864000000000003</v>
      </c>
      <c r="O492" s="8">
        <f>VLOOKUP($B492,floorspace!$B$4:$O$12,'shell factors calc'!O$2+1,FALSE)</f>
        <v>1465.1141359999999</v>
      </c>
      <c r="P492" s="8">
        <f>VLOOKUP($B492,floorspace!$B$4:$O$12,'shell factors calc'!P$2+1,FALSE)</f>
        <v>1778.1881100000001</v>
      </c>
      <c r="Q492" s="8">
        <f>VLOOKUP($B492,floorspace!$B$4:$O$12,'shell factors calc'!Q$2+1,FALSE)</f>
        <v>124.162651</v>
      </c>
      <c r="R492" s="8">
        <f>VLOOKUP($B492,floorspace!$B$4:$O$12,'shell factors calc'!R$2+1,FALSE)</f>
        <v>190.44966099999999</v>
      </c>
      <c r="S492" s="8">
        <f>VLOOKUP($B492,floorspace!$B$4:$O$12,'shell factors calc'!S$2+1,FALSE)</f>
        <v>228.065933</v>
      </c>
      <c r="T492" s="8">
        <f>VLOOKUP($B492,floorspace!$B$4:$O$12,'shell factors calc'!T$2+1,FALSE)</f>
        <v>751.99401899999998</v>
      </c>
      <c r="U492" s="8">
        <f>VLOOKUP($B492,floorspace!$B$4:$O$12,'shell factors calc'!U$2+1,FALSE)</f>
        <v>984.05578600000001</v>
      </c>
      <c r="V492" s="8">
        <f>VLOOKUP($B492,floorspace!$B$4:$O$12,'shell factors calc'!V$2+1,FALSE)</f>
        <v>1016.462524</v>
      </c>
      <c r="W492" s="8">
        <f>VLOOKUP($B492,floorspace!$B$4:$O$12,'shell factors calc'!W$2+1,FALSE)</f>
        <v>2180.842529</v>
      </c>
      <c r="X492" s="8">
        <f>VLOOKUP($B492,floorspace!$B$4:$O$12,'shell factors calc'!X$2+1,FALSE)</f>
        <v>2050.6289059999999</v>
      </c>
      <c r="Y492" s="8">
        <f>VLOOKUP($B492,floorspace!$B$4:$O$12,'shell factors calc'!Y$2+1,FALSE)</f>
        <v>628.40942399999994</v>
      </c>
      <c r="Z492">
        <f t="shared" si="7"/>
        <v>0.55100334082484559</v>
      </c>
    </row>
    <row r="493" spans="1:26" x14ac:dyDescent="0.2">
      <c r="A493" s="5" t="s">
        <v>46</v>
      </c>
      <c r="B493" s="5" t="s">
        <v>42</v>
      </c>
      <c r="C493" s="6" t="s">
        <v>15</v>
      </c>
      <c r="D493" s="7">
        <v>0.51932900000000004</v>
      </c>
      <c r="E493">
        <v>0.53778300000000001</v>
      </c>
      <c r="F493">
        <v>0.80550200000000005</v>
      </c>
      <c r="G493">
        <v>0.61055700000000002</v>
      </c>
      <c r="H493">
        <v>0.63441000000000003</v>
      </c>
      <c r="I493">
        <v>0.58382100000000003</v>
      </c>
      <c r="J493">
        <v>0.50310299999999997</v>
      </c>
      <c r="K493">
        <v>0.61470199999999997</v>
      </c>
      <c r="L493">
        <v>0.442824</v>
      </c>
      <c r="M493">
        <v>0.60884099999999997</v>
      </c>
      <c r="N493">
        <v>0.56034399999999995</v>
      </c>
      <c r="O493" s="8">
        <f>VLOOKUP($B493,floorspace!$B$4:$O$12,'shell factors calc'!O$2+1,FALSE)</f>
        <v>1465.1141359999999</v>
      </c>
      <c r="P493" s="8">
        <f>VLOOKUP($B493,floorspace!$B$4:$O$12,'shell factors calc'!P$2+1,FALSE)</f>
        <v>1778.1881100000001</v>
      </c>
      <c r="Q493" s="8">
        <f>VLOOKUP($B493,floorspace!$B$4:$O$12,'shell factors calc'!Q$2+1,FALSE)</f>
        <v>124.162651</v>
      </c>
      <c r="R493" s="8">
        <f>VLOOKUP($B493,floorspace!$B$4:$O$12,'shell factors calc'!R$2+1,FALSE)</f>
        <v>190.44966099999999</v>
      </c>
      <c r="S493" s="8">
        <f>VLOOKUP($B493,floorspace!$B$4:$O$12,'shell factors calc'!S$2+1,FALSE)</f>
        <v>228.065933</v>
      </c>
      <c r="T493" s="8">
        <f>VLOOKUP($B493,floorspace!$B$4:$O$12,'shell factors calc'!T$2+1,FALSE)</f>
        <v>751.99401899999998</v>
      </c>
      <c r="U493" s="8">
        <f>VLOOKUP($B493,floorspace!$B$4:$O$12,'shell factors calc'!U$2+1,FALSE)</f>
        <v>984.05578600000001</v>
      </c>
      <c r="V493" s="8">
        <f>VLOOKUP($B493,floorspace!$B$4:$O$12,'shell factors calc'!V$2+1,FALSE)</f>
        <v>1016.462524</v>
      </c>
      <c r="W493" s="8">
        <f>VLOOKUP($B493,floorspace!$B$4:$O$12,'shell factors calc'!W$2+1,FALSE)</f>
        <v>2180.842529</v>
      </c>
      <c r="X493" s="8">
        <f>VLOOKUP($B493,floorspace!$B$4:$O$12,'shell factors calc'!X$2+1,FALSE)</f>
        <v>2050.6289059999999</v>
      </c>
      <c r="Y493" s="8">
        <f>VLOOKUP($B493,floorspace!$B$4:$O$12,'shell factors calc'!Y$2+1,FALSE)</f>
        <v>628.40942399999994</v>
      </c>
      <c r="Z493">
        <f t="shared" si="7"/>
        <v>0.54423827441764694</v>
      </c>
    </row>
    <row r="494" spans="1:26" x14ac:dyDescent="0.2">
      <c r="A494" s="5" t="s">
        <v>46</v>
      </c>
      <c r="B494" s="5" t="s">
        <v>42</v>
      </c>
      <c r="C494" s="6" t="s">
        <v>16</v>
      </c>
      <c r="D494" s="7">
        <v>0.51122999999999996</v>
      </c>
      <c r="E494">
        <v>0.52991999999999995</v>
      </c>
      <c r="F494">
        <v>0.79818</v>
      </c>
      <c r="G494">
        <v>0.60412999999999994</v>
      </c>
      <c r="H494">
        <v>0.62710999999999995</v>
      </c>
      <c r="I494">
        <v>0.57535999999999998</v>
      </c>
      <c r="J494">
        <v>0.49390000000000001</v>
      </c>
      <c r="K494">
        <v>0.60829</v>
      </c>
      <c r="L494">
        <v>0.43330999999999997</v>
      </c>
      <c r="M494">
        <v>0.60965000000000003</v>
      </c>
      <c r="N494">
        <v>0.55217000000000005</v>
      </c>
      <c r="O494" s="8">
        <f>VLOOKUP($B494,floorspace!$B$4:$O$12,'shell factors calc'!O$2+1,FALSE)</f>
        <v>1465.1141359999999</v>
      </c>
      <c r="P494" s="8">
        <f>VLOOKUP($B494,floorspace!$B$4:$O$12,'shell factors calc'!P$2+1,FALSE)</f>
        <v>1778.1881100000001</v>
      </c>
      <c r="Q494" s="8">
        <f>VLOOKUP($B494,floorspace!$B$4:$O$12,'shell factors calc'!Q$2+1,FALSE)</f>
        <v>124.162651</v>
      </c>
      <c r="R494" s="8">
        <f>VLOOKUP($B494,floorspace!$B$4:$O$12,'shell factors calc'!R$2+1,FALSE)</f>
        <v>190.44966099999999</v>
      </c>
      <c r="S494" s="8">
        <f>VLOOKUP($B494,floorspace!$B$4:$O$12,'shell factors calc'!S$2+1,FALSE)</f>
        <v>228.065933</v>
      </c>
      <c r="T494" s="8">
        <f>VLOOKUP($B494,floorspace!$B$4:$O$12,'shell factors calc'!T$2+1,FALSE)</f>
        <v>751.99401899999998</v>
      </c>
      <c r="U494" s="8">
        <f>VLOOKUP($B494,floorspace!$B$4:$O$12,'shell factors calc'!U$2+1,FALSE)</f>
        <v>984.05578600000001</v>
      </c>
      <c r="V494" s="8">
        <f>VLOOKUP($B494,floorspace!$B$4:$O$12,'shell factors calc'!V$2+1,FALSE)</f>
        <v>1016.462524</v>
      </c>
      <c r="W494" s="8">
        <f>VLOOKUP($B494,floorspace!$B$4:$O$12,'shell factors calc'!W$2+1,FALSE)</f>
        <v>2180.842529</v>
      </c>
      <c r="X494" s="8">
        <f>VLOOKUP($B494,floorspace!$B$4:$O$12,'shell factors calc'!X$2+1,FALSE)</f>
        <v>2050.6289059999999</v>
      </c>
      <c r="Y494" s="8">
        <f>VLOOKUP($B494,floorspace!$B$4:$O$12,'shell factors calc'!Y$2+1,FALSE)</f>
        <v>628.40942399999994</v>
      </c>
      <c r="Z494">
        <f t="shared" si="7"/>
        <v>0.5375874560632915</v>
      </c>
    </row>
    <row r="495" spans="1:26" x14ac:dyDescent="0.2">
      <c r="A495" s="5" t="s">
        <v>46</v>
      </c>
      <c r="B495" s="5" t="s">
        <v>42</v>
      </c>
      <c r="C495" s="6" t="s">
        <v>17</v>
      </c>
      <c r="D495" s="7">
        <v>0.50183</v>
      </c>
      <c r="E495">
        <v>0.52089099999999999</v>
      </c>
      <c r="F495">
        <v>0.79368799999999995</v>
      </c>
      <c r="G495">
        <v>0.59705799999999998</v>
      </c>
      <c r="H495">
        <v>0.61899499999999996</v>
      </c>
      <c r="I495">
        <v>0.56565600000000005</v>
      </c>
      <c r="J495">
        <v>0.48289500000000002</v>
      </c>
      <c r="K495">
        <v>0.60124100000000003</v>
      </c>
      <c r="L495">
        <v>0.42150300000000002</v>
      </c>
      <c r="M495">
        <v>0.61044600000000004</v>
      </c>
      <c r="N495">
        <v>0.54278599999999999</v>
      </c>
      <c r="O495" s="8">
        <f>VLOOKUP($B495,floorspace!$B$4:$O$12,'shell factors calc'!O$2+1,FALSE)</f>
        <v>1465.1141359999999</v>
      </c>
      <c r="P495" s="8">
        <f>VLOOKUP($B495,floorspace!$B$4:$O$12,'shell factors calc'!P$2+1,FALSE)</f>
        <v>1778.1881100000001</v>
      </c>
      <c r="Q495" s="8">
        <f>VLOOKUP($B495,floorspace!$B$4:$O$12,'shell factors calc'!Q$2+1,FALSE)</f>
        <v>124.162651</v>
      </c>
      <c r="R495" s="8">
        <f>VLOOKUP($B495,floorspace!$B$4:$O$12,'shell factors calc'!R$2+1,FALSE)</f>
        <v>190.44966099999999</v>
      </c>
      <c r="S495" s="8">
        <f>VLOOKUP($B495,floorspace!$B$4:$O$12,'shell factors calc'!S$2+1,FALSE)</f>
        <v>228.065933</v>
      </c>
      <c r="T495" s="8">
        <f>VLOOKUP($B495,floorspace!$B$4:$O$12,'shell factors calc'!T$2+1,FALSE)</f>
        <v>751.99401899999998</v>
      </c>
      <c r="U495" s="8">
        <f>VLOOKUP($B495,floorspace!$B$4:$O$12,'shell factors calc'!U$2+1,FALSE)</f>
        <v>984.05578600000001</v>
      </c>
      <c r="V495" s="8">
        <f>VLOOKUP($B495,floorspace!$B$4:$O$12,'shell factors calc'!V$2+1,FALSE)</f>
        <v>1016.462524</v>
      </c>
      <c r="W495" s="8">
        <f>VLOOKUP($B495,floorspace!$B$4:$O$12,'shell factors calc'!W$2+1,FALSE)</f>
        <v>2180.842529</v>
      </c>
      <c r="X495" s="8">
        <f>VLOOKUP($B495,floorspace!$B$4:$O$12,'shell factors calc'!X$2+1,FALSE)</f>
        <v>2050.6289059999999</v>
      </c>
      <c r="Y495" s="8">
        <f>VLOOKUP($B495,floorspace!$B$4:$O$12,'shell factors calc'!Y$2+1,FALSE)</f>
        <v>628.40942399999994</v>
      </c>
      <c r="Z495">
        <f t="shared" si="7"/>
        <v>0.52978910527338363</v>
      </c>
    </row>
    <row r="496" spans="1:26" x14ac:dyDescent="0.2">
      <c r="A496" s="5" t="s">
        <v>46</v>
      </c>
      <c r="B496" s="5" t="s">
        <v>42</v>
      </c>
      <c r="C496" s="6" t="s">
        <v>18</v>
      </c>
      <c r="D496" s="7">
        <v>0.49260300000000001</v>
      </c>
      <c r="E496">
        <v>0.51201600000000003</v>
      </c>
      <c r="F496">
        <v>0.78922099999999995</v>
      </c>
      <c r="G496">
        <v>0.59006899999999995</v>
      </c>
      <c r="H496">
        <v>0.61098600000000003</v>
      </c>
      <c r="I496">
        <v>0.55611500000000003</v>
      </c>
      <c r="J496">
        <v>0.472134</v>
      </c>
      <c r="K496">
        <v>0.59427300000000005</v>
      </c>
      <c r="L496">
        <v>0.41001700000000002</v>
      </c>
      <c r="M496">
        <v>0.61124400000000001</v>
      </c>
      <c r="N496">
        <v>0.53356099999999995</v>
      </c>
      <c r="O496" s="8">
        <f>VLOOKUP($B496,floorspace!$B$4:$O$12,'shell factors calc'!O$2+1,FALSE)</f>
        <v>1465.1141359999999</v>
      </c>
      <c r="P496" s="8">
        <f>VLOOKUP($B496,floorspace!$B$4:$O$12,'shell factors calc'!P$2+1,FALSE)</f>
        <v>1778.1881100000001</v>
      </c>
      <c r="Q496" s="8">
        <f>VLOOKUP($B496,floorspace!$B$4:$O$12,'shell factors calc'!Q$2+1,FALSE)</f>
        <v>124.162651</v>
      </c>
      <c r="R496" s="8">
        <f>VLOOKUP($B496,floorspace!$B$4:$O$12,'shell factors calc'!R$2+1,FALSE)</f>
        <v>190.44966099999999</v>
      </c>
      <c r="S496" s="8">
        <f>VLOOKUP($B496,floorspace!$B$4:$O$12,'shell factors calc'!S$2+1,FALSE)</f>
        <v>228.065933</v>
      </c>
      <c r="T496" s="8">
        <f>VLOOKUP($B496,floorspace!$B$4:$O$12,'shell factors calc'!T$2+1,FALSE)</f>
        <v>751.99401899999998</v>
      </c>
      <c r="U496" s="8">
        <f>VLOOKUP($B496,floorspace!$B$4:$O$12,'shell factors calc'!U$2+1,FALSE)</f>
        <v>984.05578600000001</v>
      </c>
      <c r="V496" s="8">
        <f>VLOOKUP($B496,floorspace!$B$4:$O$12,'shell factors calc'!V$2+1,FALSE)</f>
        <v>1016.462524</v>
      </c>
      <c r="W496" s="8">
        <f>VLOOKUP($B496,floorspace!$B$4:$O$12,'shell factors calc'!W$2+1,FALSE)</f>
        <v>2180.842529</v>
      </c>
      <c r="X496" s="8">
        <f>VLOOKUP($B496,floorspace!$B$4:$O$12,'shell factors calc'!X$2+1,FALSE)</f>
        <v>2050.6289059999999</v>
      </c>
      <c r="Y496" s="8">
        <f>VLOOKUP($B496,floorspace!$B$4:$O$12,'shell factors calc'!Y$2+1,FALSE)</f>
        <v>628.40942399999994</v>
      </c>
      <c r="Z496">
        <f t="shared" si="7"/>
        <v>0.52215038067683528</v>
      </c>
    </row>
    <row r="497" spans="1:26" x14ac:dyDescent="0.2">
      <c r="A497" s="5" t="s">
        <v>46</v>
      </c>
      <c r="B497" s="5" t="s">
        <v>42</v>
      </c>
      <c r="C497" s="6" t="s">
        <v>19</v>
      </c>
      <c r="D497" s="7">
        <v>0.48354599999999998</v>
      </c>
      <c r="E497">
        <v>0.50329299999999999</v>
      </c>
      <c r="F497">
        <v>0.784779</v>
      </c>
      <c r="G497">
        <v>0.58316100000000004</v>
      </c>
      <c r="H497">
        <v>0.60307999999999995</v>
      </c>
      <c r="I497">
        <v>0.54673499999999997</v>
      </c>
      <c r="J497">
        <v>0.46161400000000002</v>
      </c>
      <c r="K497">
        <v>0.58738599999999996</v>
      </c>
      <c r="L497">
        <v>0.39884399999999998</v>
      </c>
      <c r="M497">
        <v>0.61204199999999997</v>
      </c>
      <c r="N497">
        <v>0.52449299999999999</v>
      </c>
      <c r="O497" s="8">
        <f>VLOOKUP($B497,floorspace!$B$4:$O$12,'shell factors calc'!O$2+1,FALSE)</f>
        <v>1465.1141359999999</v>
      </c>
      <c r="P497" s="8">
        <f>VLOOKUP($B497,floorspace!$B$4:$O$12,'shell factors calc'!P$2+1,FALSE)</f>
        <v>1778.1881100000001</v>
      </c>
      <c r="Q497" s="8">
        <f>VLOOKUP($B497,floorspace!$B$4:$O$12,'shell factors calc'!Q$2+1,FALSE)</f>
        <v>124.162651</v>
      </c>
      <c r="R497" s="8">
        <f>VLOOKUP($B497,floorspace!$B$4:$O$12,'shell factors calc'!R$2+1,FALSE)</f>
        <v>190.44966099999999</v>
      </c>
      <c r="S497" s="8">
        <f>VLOOKUP($B497,floorspace!$B$4:$O$12,'shell factors calc'!S$2+1,FALSE)</f>
        <v>228.065933</v>
      </c>
      <c r="T497" s="8">
        <f>VLOOKUP($B497,floorspace!$B$4:$O$12,'shell factors calc'!T$2+1,FALSE)</f>
        <v>751.99401899999998</v>
      </c>
      <c r="U497" s="8">
        <f>VLOOKUP($B497,floorspace!$B$4:$O$12,'shell factors calc'!U$2+1,FALSE)</f>
        <v>984.05578600000001</v>
      </c>
      <c r="V497" s="8">
        <f>VLOOKUP($B497,floorspace!$B$4:$O$12,'shell factors calc'!V$2+1,FALSE)</f>
        <v>1016.462524</v>
      </c>
      <c r="W497" s="8">
        <f>VLOOKUP($B497,floorspace!$B$4:$O$12,'shell factors calc'!W$2+1,FALSE)</f>
        <v>2180.842529</v>
      </c>
      <c r="X497" s="8">
        <f>VLOOKUP($B497,floorspace!$B$4:$O$12,'shell factors calc'!X$2+1,FALSE)</f>
        <v>2050.6289059999999</v>
      </c>
      <c r="Y497" s="8">
        <f>VLOOKUP($B497,floorspace!$B$4:$O$12,'shell factors calc'!Y$2+1,FALSE)</f>
        <v>628.40942399999994</v>
      </c>
      <c r="Z497">
        <f t="shared" si="7"/>
        <v>0.51466809955749215</v>
      </c>
    </row>
    <row r="498" spans="1:26" x14ac:dyDescent="0.2">
      <c r="A498" s="5" t="s">
        <v>46</v>
      </c>
      <c r="B498" s="5" t="s">
        <v>42</v>
      </c>
      <c r="C498" s="6" t="s">
        <v>20</v>
      </c>
      <c r="D498" s="7">
        <v>0.47465499999999999</v>
      </c>
      <c r="E498">
        <v>0.49471799999999999</v>
      </c>
      <c r="F498">
        <v>0.78036300000000003</v>
      </c>
      <c r="G498">
        <v>0.57633400000000001</v>
      </c>
      <c r="H498">
        <v>0.59527600000000003</v>
      </c>
      <c r="I498">
        <v>0.53751400000000005</v>
      </c>
      <c r="J498">
        <v>0.45132800000000001</v>
      </c>
      <c r="K498">
        <v>0.58057800000000004</v>
      </c>
      <c r="L498">
        <v>0.38797599999999999</v>
      </c>
      <c r="M498">
        <v>0.61284099999999997</v>
      </c>
      <c r="N498">
        <v>0.51558000000000004</v>
      </c>
      <c r="O498" s="8">
        <f>VLOOKUP($B498,floorspace!$B$4:$O$12,'shell factors calc'!O$2+1,FALSE)</f>
        <v>1465.1141359999999</v>
      </c>
      <c r="P498" s="8">
        <f>VLOOKUP($B498,floorspace!$B$4:$O$12,'shell factors calc'!P$2+1,FALSE)</f>
        <v>1778.1881100000001</v>
      </c>
      <c r="Q498" s="8">
        <f>VLOOKUP($B498,floorspace!$B$4:$O$12,'shell factors calc'!Q$2+1,FALSE)</f>
        <v>124.162651</v>
      </c>
      <c r="R498" s="8">
        <f>VLOOKUP($B498,floorspace!$B$4:$O$12,'shell factors calc'!R$2+1,FALSE)</f>
        <v>190.44966099999999</v>
      </c>
      <c r="S498" s="8">
        <f>VLOOKUP($B498,floorspace!$B$4:$O$12,'shell factors calc'!S$2+1,FALSE)</f>
        <v>228.065933</v>
      </c>
      <c r="T498" s="8">
        <f>VLOOKUP($B498,floorspace!$B$4:$O$12,'shell factors calc'!T$2+1,FALSE)</f>
        <v>751.99401899999998</v>
      </c>
      <c r="U498" s="8">
        <f>VLOOKUP($B498,floorspace!$B$4:$O$12,'shell factors calc'!U$2+1,FALSE)</f>
        <v>984.05578600000001</v>
      </c>
      <c r="V498" s="8">
        <f>VLOOKUP($B498,floorspace!$B$4:$O$12,'shell factors calc'!V$2+1,FALSE)</f>
        <v>1016.462524</v>
      </c>
      <c r="W498" s="8">
        <f>VLOOKUP($B498,floorspace!$B$4:$O$12,'shell factors calc'!W$2+1,FALSE)</f>
        <v>2180.842529</v>
      </c>
      <c r="X498" s="8">
        <f>VLOOKUP($B498,floorspace!$B$4:$O$12,'shell factors calc'!X$2+1,FALSE)</f>
        <v>2050.6289059999999</v>
      </c>
      <c r="Y498" s="8">
        <f>VLOOKUP($B498,floorspace!$B$4:$O$12,'shell factors calc'!Y$2+1,FALSE)</f>
        <v>628.40942399999994</v>
      </c>
      <c r="Z498">
        <f t="shared" si="7"/>
        <v>0.50733873901400395</v>
      </c>
    </row>
    <row r="499" spans="1:26" x14ac:dyDescent="0.2">
      <c r="A499" s="5" t="s">
        <v>46</v>
      </c>
      <c r="B499" s="5" t="s">
        <v>42</v>
      </c>
      <c r="C499" s="6" t="s">
        <v>21</v>
      </c>
      <c r="D499" s="7">
        <v>0.46592800000000001</v>
      </c>
      <c r="E499">
        <v>0.48628900000000003</v>
      </c>
      <c r="F499">
        <v>0.77597099999999997</v>
      </c>
      <c r="G499">
        <v>0.56958799999999998</v>
      </c>
      <c r="H499">
        <v>0.58757400000000004</v>
      </c>
      <c r="I499">
        <v>0.52844800000000003</v>
      </c>
      <c r="J499">
        <v>0.44127100000000002</v>
      </c>
      <c r="K499">
        <v>0.57384999999999997</v>
      </c>
      <c r="L499">
        <v>0.37740299999999999</v>
      </c>
      <c r="M499">
        <v>0.61364200000000002</v>
      </c>
      <c r="N499">
        <v>0.50681699999999996</v>
      </c>
      <c r="O499" s="8">
        <f>VLOOKUP($B499,floorspace!$B$4:$O$12,'shell factors calc'!O$2+1,FALSE)</f>
        <v>1465.1141359999999</v>
      </c>
      <c r="P499" s="8">
        <f>VLOOKUP($B499,floorspace!$B$4:$O$12,'shell factors calc'!P$2+1,FALSE)</f>
        <v>1778.1881100000001</v>
      </c>
      <c r="Q499" s="8">
        <f>VLOOKUP($B499,floorspace!$B$4:$O$12,'shell factors calc'!Q$2+1,FALSE)</f>
        <v>124.162651</v>
      </c>
      <c r="R499" s="8">
        <f>VLOOKUP($B499,floorspace!$B$4:$O$12,'shell factors calc'!R$2+1,FALSE)</f>
        <v>190.44966099999999</v>
      </c>
      <c r="S499" s="8">
        <f>VLOOKUP($B499,floorspace!$B$4:$O$12,'shell factors calc'!S$2+1,FALSE)</f>
        <v>228.065933</v>
      </c>
      <c r="T499" s="8">
        <f>VLOOKUP($B499,floorspace!$B$4:$O$12,'shell factors calc'!T$2+1,FALSE)</f>
        <v>751.99401899999998</v>
      </c>
      <c r="U499" s="8">
        <f>VLOOKUP($B499,floorspace!$B$4:$O$12,'shell factors calc'!U$2+1,FALSE)</f>
        <v>984.05578600000001</v>
      </c>
      <c r="V499" s="8">
        <f>VLOOKUP($B499,floorspace!$B$4:$O$12,'shell factors calc'!V$2+1,FALSE)</f>
        <v>1016.462524</v>
      </c>
      <c r="W499" s="8">
        <f>VLOOKUP($B499,floorspace!$B$4:$O$12,'shell factors calc'!W$2+1,FALSE)</f>
        <v>2180.842529</v>
      </c>
      <c r="X499" s="8">
        <f>VLOOKUP($B499,floorspace!$B$4:$O$12,'shell factors calc'!X$2+1,FALSE)</f>
        <v>2050.6289059999999</v>
      </c>
      <c r="Y499" s="8">
        <f>VLOOKUP($B499,floorspace!$B$4:$O$12,'shell factors calc'!Y$2+1,FALSE)</f>
        <v>628.40942399999994</v>
      </c>
      <c r="Z499">
        <f t="shared" si="7"/>
        <v>0.50015909274985748</v>
      </c>
    </row>
    <row r="500" spans="1:26" x14ac:dyDescent="0.2">
      <c r="A500" s="5" t="s">
        <v>46</v>
      </c>
      <c r="B500" s="5" t="s">
        <v>42</v>
      </c>
      <c r="C500" s="6" t="s">
        <v>22</v>
      </c>
      <c r="D500" s="7">
        <v>0.45736100000000002</v>
      </c>
      <c r="E500">
        <v>0.47800300000000001</v>
      </c>
      <c r="F500">
        <v>0.77160399999999996</v>
      </c>
      <c r="G500">
        <v>0.56291999999999998</v>
      </c>
      <c r="H500">
        <v>0.57997100000000001</v>
      </c>
      <c r="I500">
        <v>0.51953400000000005</v>
      </c>
      <c r="J500">
        <v>0.43143799999999999</v>
      </c>
      <c r="K500">
        <v>0.56720000000000004</v>
      </c>
      <c r="L500">
        <v>0.36711899999999997</v>
      </c>
      <c r="M500">
        <v>0.61444299999999996</v>
      </c>
      <c r="N500">
        <v>0.49820399999999998</v>
      </c>
      <c r="O500" s="8">
        <f>VLOOKUP($B500,floorspace!$B$4:$O$12,'shell factors calc'!O$2+1,FALSE)</f>
        <v>1465.1141359999999</v>
      </c>
      <c r="P500" s="8">
        <f>VLOOKUP($B500,floorspace!$B$4:$O$12,'shell factors calc'!P$2+1,FALSE)</f>
        <v>1778.1881100000001</v>
      </c>
      <c r="Q500" s="8">
        <f>VLOOKUP($B500,floorspace!$B$4:$O$12,'shell factors calc'!Q$2+1,FALSE)</f>
        <v>124.162651</v>
      </c>
      <c r="R500" s="8">
        <f>VLOOKUP($B500,floorspace!$B$4:$O$12,'shell factors calc'!R$2+1,FALSE)</f>
        <v>190.44966099999999</v>
      </c>
      <c r="S500" s="8">
        <f>VLOOKUP($B500,floorspace!$B$4:$O$12,'shell factors calc'!S$2+1,FALSE)</f>
        <v>228.065933</v>
      </c>
      <c r="T500" s="8">
        <f>VLOOKUP($B500,floorspace!$B$4:$O$12,'shell factors calc'!T$2+1,FALSE)</f>
        <v>751.99401899999998</v>
      </c>
      <c r="U500" s="8">
        <f>VLOOKUP($B500,floorspace!$B$4:$O$12,'shell factors calc'!U$2+1,FALSE)</f>
        <v>984.05578600000001</v>
      </c>
      <c r="V500" s="8">
        <f>VLOOKUP($B500,floorspace!$B$4:$O$12,'shell factors calc'!V$2+1,FALSE)</f>
        <v>1016.462524</v>
      </c>
      <c r="W500" s="8">
        <f>VLOOKUP($B500,floorspace!$B$4:$O$12,'shell factors calc'!W$2+1,FALSE)</f>
        <v>2180.842529</v>
      </c>
      <c r="X500" s="8">
        <f>VLOOKUP($B500,floorspace!$B$4:$O$12,'shell factors calc'!X$2+1,FALSE)</f>
        <v>2050.6289059999999</v>
      </c>
      <c r="Y500" s="8">
        <f>VLOOKUP($B500,floorspace!$B$4:$O$12,'shell factors calc'!Y$2+1,FALSE)</f>
        <v>628.40942399999994</v>
      </c>
      <c r="Z500">
        <f t="shared" ref="Z500:Z561" si="8">SUMPRODUCT(D500:N500,O500:Y500)/SUM(O500:Y500)</f>
        <v>0.49312576362216948</v>
      </c>
    </row>
    <row r="501" spans="1:26" x14ac:dyDescent="0.2">
      <c r="A501" s="5" t="s">
        <v>46</v>
      </c>
      <c r="B501" s="5" t="s">
        <v>42</v>
      </c>
      <c r="C501" s="6" t="s">
        <v>23</v>
      </c>
      <c r="D501" s="7">
        <v>0.44895200000000002</v>
      </c>
      <c r="E501">
        <v>0.46985900000000003</v>
      </c>
      <c r="F501">
        <v>0.767262</v>
      </c>
      <c r="G501">
        <v>0.55632999999999999</v>
      </c>
      <c r="H501">
        <v>0.57246600000000003</v>
      </c>
      <c r="I501">
        <v>0.510772</v>
      </c>
      <c r="J501">
        <v>0.42182500000000001</v>
      </c>
      <c r="K501">
        <v>0.56062599999999996</v>
      </c>
      <c r="L501">
        <v>0.35711599999999999</v>
      </c>
      <c r="M501">
        <v>0.61524599999999996</v>
      </c>
      <c r="N501">
        <v>0.48973699999999998</v>
      </c>
      <c r="O501" s="8">
        <f>VLOOKUP($B501,floorspace!$B$4:$O$12,'shell factors calc'!O$2+1,FALSE)</f>
        <v>1465.1141359999999</v>
      </c>
      <c r="P501" s="8">
        <f>VLOOKUP($B501,floorspace!$B$4:$O$12,'shell factors calc'!P$2+1,FALSE)</f>
        <v>1778.1881100000001</v>
      </c>
      <c r="Q501" s="8">
        <f>VLOOKUP($B501,floorspace!$B$4:$O$12,'shell factors calc'!Q$2+1,FALSE)</f>
        <v>124.162651</v>
      </c>
      <c r="R501" s="8">
        <f>VLOOKUP($B501,floorspace!$B$4:$O$12,'shell factors calc'!R$2+1,FALSE)</f>
        <v>190.44966099999999</v>
      </c>
      <c r="S501" s="8">
        <f>VLOOKUP($B501,floorspace!$B$4:$O$12,'shell factors calc'!S$2+1,FALSE)</f>
        <v>228.065933</v>
      </c>
      <c r="T501" s="8">
        <f>VLOOKUP($B501,floorspace!$B$4:$O$12,'shell factors calc'!T$2+1,FALSE)</f>
        <v>751.99401899999998</v>
      </c>
      <c r="U501" s="8">
        <f>VLOOKUP($B501,floorspace!$B$4:$O$12,'shell factors calc'!U$2+1,FALSE)</f>
        <v>984.05578600000001</v>
      </c>
      <c r="V501" s="8">
        <f>VLOOKUP($B501,floorspace!$B$4:$O$12,'shell factors calc'!V$2+1,FALSE)</f>
        <v>1016.462524</v>
      </c>
      <c r="W501" s="8">
        <f>VLOOKUP($B501,floorspace!$B$4:$O$12,'shell factors calc'!W$2+1,FALSE)</f>
        <v>2180.842529</v>
      </c>
      <c r="X501" s="8">
        <f>VLOOKUP($B501,floorspace!$B$4:$O$12,'shell factors calc'!X$2+1,FALSE)</f>
        <v>2050.6289059999999</v>
      </c>
      <c r="Y501" s="8">
        <f>VLOOKUP($B501,floorspace!$B$4:$O$12,'shell factors calc'!Y$2+1,FALSE)</f>
        <v>628.40942399999994</v>
      </c>
      <c r="Z501">
        <f t="shared" si="8"/>
        <v>0.48623640351081554</v>
      </c>
    </row>
    <row r="502" spans="1:26" x14ac:dyDescent="0.2">
      <c r="A502" s="5" t="s">
        <v>46</v>
      </c>
      <c r="B502" s="5" t="s">
        <v>42</v>
      </c>
      <c r="C502" s="6" t="s">
        <v>24</v>
      </c>
      <c r="D502" s="7">
        <v>0.44069700000000001</v>
      </c>
      <c r="E502">
        <v>0.46185399999999999</v>
      </c>
      <c r="F502">
        <v>0.76294399999999996</v>
      </c>
      <c r="G502">
        <v>0.549817</v>
      </c>
      <c r="H502">
        <v>0.56505899999999998</v>
      </c>
      <c r="I502">
        <v>0.50215699999999996</v>
      </c>
      <c r="J502">
        <v>0.41242499999999999</v>
      </c>
      <c r="K502">
        <v>0.55412899999999998</v>
      </c>
      <c r="L502">
        <v>0.34738400000000003</v>
      </c>
      <c r="M502">
        <v>0.61604999999999999</v>
      </c>
      <c r="N502">
        <v>0.48141400000000001</v>
      </c>
      <c r="O502" s="8">
        <f>VLOOKUP($B502,floorspace!$B$4:$O$12,'shell factors calc'!O$2+1,FALSE)</f>
        <v>1465.1141359999999</v>
      </c>
      <c r="P502" s="8">
        <f>VLOOKUP($B502,floorspace!$B$4:$O$12,'shell factors calc'!P$2+1,FALSE)</f>
        <v>1778.1881100000001</v>
      </c>
      <c r="Q502" s="8">
        <f>VLOOKUP($B502,floorspace!$B$4:$O$12,'shell factors calc'!Q$2+1,FALSE)</f>
        <v>124.162651</v>
      </c>
      <c r="R502" s="8">
        <f>VLOOKUP($B502,floorspace!$B$4:$O$12,'shell factors calc'!R$2+1,FALSE)</f>
        <v>190.44966099999999</v>
      </c>
      <c r="S502" s="8">
        <f>VLOOKUP($B502,floorspace!$B$4:$O$12,'shell factors calc'!S$2+1,FALSE)</f>
        <v>228.065933</v>
      </c>
      <c r="T502" s="8">
        <f>VLOOKUP($B502,floorspace!$B$4:$O$12,'shell factors calc'!T$2+1,FALSE)</f>
        <v>751.99401899999998</v>
      </c>
      <c r="U502" s="8">
        <f>VLOOKUP($B502,floorspace!$B$4:$O$12,'shell factors calc'!U$2+1,FALSE)</f>
        <v>984.05578600000001</v>
      </c>
      <c r="V502" s="8">
        <f>VLOOKUP($B502,floorspace!$B$4:$O$12,'shell factors calc'!V$2+1,FALSE)</f>
        <v>1016.462524</v>
      </c>
      <c r="W502" s="8">
        <f>VLOOKUP($B502,floorspace!$B$4:$O$12,'shell factors calc'!W$2+1,FALSE)</f>
        <v>2180.842529</v>
      </c>
      <c r="X502" s="8">
        <f>VLOOKUP($B502,floorspace!$B$4:$O$12,'shell factors calc'!X$2+1,FALSE)</f>
        <v>2050.6289059999999</v>
      </c>
      <c r="Y502" s="8">
        <f>VLOOKUP($B502,floorspace!$B$4:$O$12,'shell factors calc'!Y$2+1,FALSE)</f>
        <v>628.40942399999994</v>
      </c>
      <c r="Z502">
        <f t="shared" si="8"/>
        <v>0.47948695416980291</v>
      </c>
    </row>
    <row r="503" spans="1:26" x14ac:dyDescent="0.2">
      <c r="A503" s="5" t="s">
        <v>46</v>
      </c>
      <c r="B503" s="5" t="s">
        <v>42</v>
      </c>
      <c r="C503" s="6" t="s">
        <v>25</v>
      </c>
      <c r="D503" s="7">
        <v>0.43259399999999998</v>
      </c>
      <c r="E503">
        <v>0.45398500000000003</v>
      </c>
      <c r="F503">
        <v>0.75865000000000005</v>
      </c>
      <c r="G503">
        <v>0.543381</v>
      </c>
      <c r="H503">
        <v>0.55774699999999999</v>
      </c>
      <c r="I503">
        <v>0.49368699999999999</v>
      </c>
      <c r="J503">
        <v>0.40323500000000001</v>
      </c>
      <c r="K503">
        <v>0.54770700000000005</v>
      </c>
      <c r="L503">
        <v>0.337918</v>
      </c>
      <c r="M503">
        <v>0.61685400000000001</v>
      </c>
      <c r="N503">
        <v>0.47323199999999999</v>
      </c>
      <c r="O503" s="8">
        <f>VLOOKUP($B503,floorspace!$B$4:$O$12,'shell factors calc'!O$2+1,FALSE)</f>
        <v>1465.1141359999999</v>
      </c>
      <c r="P503" s="8">
        <f>VLOOKUP($B503,floorspace!$B$4:$O$12,'shell factors calc'!P$2+1,FALSE)</f>
        <v>1778.1881100000001</v>
      </c>
      <c r="Q503" s="8">
        <f>VLOOKUP($B503,floorspace!$B$4:$O$12,'shell factors calc'!Q$2+1,FALSE)</f>
        <v>124.162651</v>
      </c>
      <c r="R503" s="8">
        <f>VLOOKUP($B503,floorspace!$B$4:$O$12,'shell factors calc'!R$2+1,FALSE)</f>
        <v>190.44966099999999</v>
      </c>
      <c r="S503" s="8">
        <f>VLOOKUP($B503,floorspace!$B$4:$O$12,'shell factors calc'!S$2+1,FALSE)</f>
        <v>228.065933</v>
      </c>
      <c r="T503" s="8">
        <f>VLOOKUP($B503,floorspace!$B$4:$O$12,'shell factors calc'!T$2+1,FALSE)</f>
        <v>751.99401899999998</v>
      </c>
      <c r="U503" s="8">
        <f>VLOOKUP($B503,floorspace!$B$4:$O$12,'shell factors calc'!U$2+1,FALSE)</f>
        <v>984.05578600000001</v>
      </c>
      <c r="V503" s="8">
        <f>VLOOKUP($B503,floorspace!$B$4:$O$12,'shell factors calc'!V$2+1,FALSE)</f>
        <v>1016.462524</v>
      </c>
      <c r="W503" s="8">
        <f>VLOOKUP($B503,floorspace!$B$4:$O$12,'shell factors calc'!W$2+1,FALSE)</f>
        <v>2180.842529</v>
      </c>
      <c r="X503" s="8">
        <f>VLOOKUP($B503,floorspace!$B$4:$O$12,'shell factors calc'!X$2+1,FALSE)</f>
        <v>2050.6289059999999</v>
      </c>
      <c r="Y503" s="8">
        <f>VLOOKUP($B503,floorspace!$B$4:$O$12,'shell factors calc'!Y$2+1,FALSE)</f>
        <v>628.40942399999994</v>
      </c>
      <c r="Z503">
        <f t="shared" si="8"/>
        <v>0.47287475924292527</v>
      </c>
    </row>
    <row r="504" spans="1:26" x14ac:dyDescent="0.2">
      <c r="A504" s="5" t="s">
        <v>46</v>
      </c>
      <c r="B504" s="5" t="s">
        <v>42</v>
      </c>
      <c r="C504" s="6" t="s">
        <v>26</v>
      </c>
      <c r="D504" s="7">
        <v>0.42464000000000002</v>
      </c>
      <c r="E504">
        <v>0.44624999999999998</v>
      </c>
      <c r="F504">
        <v>0.75438000000000005</v>
      </c>
      <c r="G504">
        <v>0.53702000000000005</v>
      </c>
      <c r="H504">
        <v>0.55052999999999996</v>
      </c>
      <c r="I504">
        <v>0.48536000000000001</v>
      </c>
      <c r="J504">
        <v>0.39424999999999999</v>
      </c>
      <c r="K504">
        <v>0.54135999999999995</v>
      </c>
      <c r="L504">
        <v>0.32871</v>
      </c>
      <c r="M504">
        <v>0.61765999999999999</v>
      </c>
      <c r="N504">
        <v>0.46518999999999999</v>
      </c>
      <c r="O504" s="8">
        <f>VLOOKUP($B504,floorspace!$B$4:$O$12,'shell factors calc'!O$2+1,FALSE)</f>
        <v>1465.1141359999999</v>
      </c>
      <c r="P504" s="8">
        <f>VLOOKUP($B504,floorspace!$B$4:$O$12,'shell factors calc'!P$2+1,FALSE)</f>
        <v>1778.1881100000001</v>
      </c>
      <c r="Q504" s="8">
        <f>VLOOKUP($B504,floorspace!$B$4:$O$12,'shell factors calc'!Q$2+1,FALSE)</f>
        <v>124.162651</v>
      </c>
      <c r="R504" s="8">
        <f>VLOOKUP($B504,floorspace!$B$4:$O$12,'shell factors calc'!R$2+1,FALSE)</f>
        <v>190.44966099999999</v>
      </c>
      <c r="S504" s="8">
        <f>VLOOKUP($B504,floorspace!$B$4:$O$12,'shell factors calc'!S$2+1,FALSE)</f>
        <v>228.065933</v>
      </c>
      <c r="T504" s="8">
        <f>VLOOKUP($B504,floorspace!$B$4:$O$12,'shell factors calc'!T$2+1,FALSE)</f>
        <v>751.99401899999998</v>
      </c>
      <c r="U504" s="8">
        <f>VLOOKUP($B504,floorspace!$B$4:$O$12,'shell factors calc'!U$2+1,FALSE)</f>
        <v>984.05578600000001</v>
      </c>
      <c r="V504" s="8">
        <f>VLOOKUP($B504,floorspace!$B$4:$O$12,'shell factors calc'!V$2+1,FALSE)</f>
        <v>1016.462524</v>
      </c>
      <c r="W504" s="8">
        <f>VLOOKUP($B504,floorspace!$B$4:$O$12,'shell factors calc'!W$2+1,FALSE)</f>
        <v>2180.842529</v>
      </c>
      <c r="X504" s="8">
        <f>VLOOKUP($B504,floorspace!$B$4:$O$12,'shell factors calc'!X$2+1,FALSE)</f>
        <v>2050.6289059999999</v>
      </c>
      <c r="Y504" s="8">
        <f>VLOOKUP($B504,floorspace!$B$4:$O$12,'shell factors calc'!Y$2+1,FALSE)</f>
        <v>628.40942399999994</v>
      </c>
      <c r="Z504">
        <f t="shared" si="8"/>
        <v>0.46639729812701819</v>
      </c>
    </row>
    <row r="505" spans="1:26" x14ac:dyDescent="0.2">
      <c r="A505" s="5" t="s">
        <v>46</v>
      </c>
      <c r="B505" s="5" t="s">
        <v>42</v>
      </c>
      <c r="C505" s="6" t="s">
        <v>27</v>
      </c>
      <c r="D505" s="7">
        <v>0.41511700000000001</v>
      </c>
      <c r="E505">
        <v>0.43712899999999999</v>
      </c>
      <c r="F505">
        <v>0.750135</v>
      </c>
      <c r="G505">
        <v>0.52993599999999996</v>
      </c>
      <c r="H505">
        <v>0.54238900000000001</v>
      </c>
      <c r="I505">
        <v>0.47556100000000001</v>
      </c>
      <c r="J505">
        <v>0.382992</v>
      </c>
      <c r="K505">
        <v>0.5343</v>
      </c>
      <c r="L505">
        <v>0.31642900000000002</v>
      </c>
      <c r="M505">
        <v>0.61845099999999997</v>
      </c>
      <c r="N505">
        <v>0.45571099999999998</v>
      </c>
      <c r="O505" s="8">
        <f>VLOOKUP($B505,floorspace!$B$4:$O$12,'shell factors calc'!O$2+1,FALSE)</f>
        <v>1465.1141359999999</v>
      </c>
      <c r="P505" s="8">
        <f>VLOOKUP($B505,floorspace!$B$4:$O$12,'shell factors calc'!P$2+1,FALSE)</f>
        <v>1778.1881100000001</v>
      </c>
      <c r="Q505" s="8">
        <f>VLOOKUP($B505,floorspace!$B$4:$O$12,'shell factors calc'!Q$2+1,FALSE)</f>
        <v>124.162651</v>
      </c>
      <c r="R505" s="8">
        <f>VLOOKUP($B505,floorspace!$B$4:$O$12,'shell factors calc'!R$2+1,FALSE)</f>
        <v>190.44966099999999</v>
      </c>
      <c r="S505" s="8">
        <f>VLOOKUP($B505,floorspace!$B$4:$O$12,'shell factors calc'!S$2+1,FALSE)</f>
        <v>228.065933</v>
      </c>
      <c r="T505" s="8">
        <f>VLOOKUP($B505,floorspace!$B$4:$O$12,'shell factors calc'!T$2+1,FALSE)</f>
        <v>751.99401899999998</v>
      </c>
      <c r="U505" s="8">
        <f>VLOOKUP($B505,floorspace!$B$4:$O$12,'shell factors calc'!U$2+1,FALSE)</f>
        <v>984.05578600000001</v>
      </c>
      <c r="V505" s="8">
        <f>VLOOKUP($B505,floorspace!$B$4:$O$12,'shell factors calc'!V$2+1,FALSE)</f>
        <v>1016.462524</v>
      </c>
      <c r="W505" s="8">
        <f>VLOOKUP($B505,floorspace!$B$4:$O$12,'shell factors calc'!W$2+1,FALSE)</f>
        <v>2180.842529</v>
      </c>
      <c r="X505" s="8">
        <f>VLOOKUP($B505,floorspace!$B$4:$O$12,'shell factors calc'!X$2+1,FALSE)</f>
        <v>2050.6289059999999</v>
      </c>
      <c r="Y505" s="8">
        <f>VLOOKUP($B505,floorspace!$B$4:$O$12,'shell factors calc'!Y$2+1,FALSE)</f>
        <v>628.40942399999994</v>
      </c>
      <c r="Z505">
        <f t="shared" si="8"/>
        <v>0.45844483699104754</v>
      </c>
    </row>
    <row r="506" spans="1:26" x14ac:dyDescent="0.2">
      <c r="A506" s="5" t="s">
        <v>46</v>
      </c>
      <c r="B506" s="5" t="s">
        <v>42</v>
      </c>
      <c r="C506" s="6" t="s">
        <v>28</v>
      </c>
      <c r="D506" s="7">
        <v>0.405808</v>
      </c>
      <c r="E506">
        <v>0.42819499999999999</v>
      </c>
      <c r="F506">
        <v>0.74591399999999997</v>
      </c>
      <c r="G506">
        <v>0.52294499999999999</v>
      </c>
      <c r="H506">
        <v>0.53436899999999998</v>
      </c>
      <c r="I506">
        <v>0.46595999999999999</v>
      </c>
      <c r="J506">
        <v>0.372056</v>
      </c>
      <c r="K506">
        <v>0.52733200000000002</v>
      </c>
      <c r="L506">
        <v>0.30460700000000002</v>
      </c>
      <c r="M506">
        <v>0.61924400000000002</v>
      </c>
      <c r="N506">
        <v>0.44642599999999999</v>
      </c>
      <c r="O506" s="8">
        <f>VLOOKUP($B506,floorspace!$B$4:$O$12,'shell factors calc'!O$2+1,FALSE)</f>
        <v>1465.1141359999999</v>
      </c>
      <c r="P506" s="8">
        <f>VLOOKUP($B506,floorspace!$B$4:$O$12,'shell factors calc'!P$2+1,FALSE)</f>
        <v>1778.1881100000001</v>
      </c>
      <c r="Q506" s="8">
        <f>VLOOKUP($B506,floorspace!$B$4:$O$12,'shell factors calc'!Q$2+1,FALSE)</f>
        <v>124.162651</v>
      </c>
      <c r="R506" s="8">
        <f>VLOOKUP($B506,floorspace!$B$4:$O$12,'shell factors calc'!R$2+1,FALSE)</f>
        <v>190.44966099999999</v>
      </c>
      <c r="S506" s="8">
        <f>VLOOKUP($B506,floorspace!$B$4:$O$12,'shell factors calc'!S$2+1,FALSE)</f>
        <v>228.065933</v>
      </c>
      <c r="T506" s="8">
        <f>VLOOKUP($B506,floorspace!$B$4:$O$12,'shell factors calc'!T$2+1,FALSE)</f>
        <v>751.99401899999998</v>
      </c>
      <c r="U506" s="8">
        <f>VLOOKUP($B506,floorspace!$B$4:$O$12,'shell factors calc'!U$2+1,FALSE)</f>
        <v>984.05578600000001</v>
      </c>
      <c r="V506" s="8">
        <f>VLOOKUP($B506,floorspace!$B$4:$O$12,'shell factors calc'!V$2+1,FALSE)</f>
        <v>1016.462524</v>
      </c>
      <c r="W506" s="8">
        <f>VLOOKUP($B506,floorspace!$B$4:$O$12,'shell factors calc'!W$2+1,FALSE)</f>
        <v>2180.842529</v>
      </c>
      <c r="X506" s="8">
        <f>VLOOKUP($B506,floorspace!$B$4:$O$12,'shell factors calc'!X$2+1,FALSE)</f>
        <v>2050.6289059999999</v>
      </c>
      <c r="Y506" s="8">
        <f>VLOOKUP($B506,floorspace!$B$4:$O$12,'shell factors calc'!Y$2+1,FALSE)</f>
        <v>628.40942399999994</v>
      </c>
      <c r="Z506">
        <f t="shared" si="8"/>
        <v>0.45070123354887154</v>
      </c>
    </row>
    <row r="507" spans="1:26" x14ac:dyDescent="0.2">
      <c r="A507" s="5" t="s">
        <v>46</v>
      </c>
      <c r="B507" s="5" t="s">
        <v>42</v>
      </c>
      <c r="C507" s="6" t="s">
        <v>29</v>
      </c>
      <c r="D507" s="7">
        <v>0.39670800000000001</v>
      </c>
      <c r="E507">
        <v>0.41944300000000001</v>
      </c>
      <c r="F507">
        <v>0.74171699999999996</v>
      </c>
      <c r="G507">
        <v>0.51604700000000003</v>
      </c>
      <c r="H507">
        <v>0.52646700000000002</v>
      </c>
      <c r="I507">
        <v>0.45655299999999999</v>
      </c>
      <c r="J507">
        <v>0.36143199999999998</v>
      </c>
      <c r="K507">
        <v>0.52045399999999997</v>
      </c>
      <c r="L507">
        <v>0.29322700000000002</v>
      </c>
      <c r="M507">
        <v>0.62003699999999995</v>
      </c>
      <c r="N507">
        <v>0.43733</v>
      </c>
      <c r="O507" s="8">
        <f>VLOOKUP($B507,floorspace!$B$4:$O$12,'shell factors calc'!O$2+1,FALSE)</f>
        <v>1465.1141359999999</v>
      </c>
      <c r="P507" s="8">
        <f>VLOOKUP($B507,floorspace!$B$4:$O$12,'shell factors calc'!P$2+1,FALSE)</f>
        <v>1778.1881100000001</v>
      </c>
      <c r="Q507" s="8">
        <f>VLOOKUP($B507,floorspace!$B$4:$O$12,'shell factors calc'!Q$2+1,FALSE)</f>
        <v>124.162651</v>
      </c>
      <c r="R507" s="8">
        <f>VLOOKUP($B507,floorspace!$B$4:$O$12,'shell factors calc'!R$2+1,FALSE)</f>
        <v>190.44966099999999</v>
      </c>
      <c r="S507" s="8">
        <f>VLOOKUP($B507,floorspace!$B$4:$O$12,'shell factors calc'!S$2+1,FALSE)</f>
        <v>228.065933</v>
      </c>
      <c r="T507" s="8">
        <f>VLOOKUP($B507,floorspace!$B$4:$O$12,'shell factors calc'!T$2+1,FALSE)</f>
        <v>751.99401899999998</v>
      </c>
      <c r="U507" s="8">
        <f>VLOOKUP($B507,floorspace!$B$4:$O$12,'shell factors calc'!U$2+1,FALSE)</f>
        <v>984.05578600000001</v>
      </c>
      <c r="V507" s="8">
        <f>VLOOKUP($B507,floorspace!$B$4:$O$12,'shell factors calc'!V$2+1,FALSE)</f>
        <v>1016.462524</v>
      </c>
      <c r="W507" s="8">
        <f>VLOOKUP($B507,floorspace!$B$4:$O$12,'shell factors calc'!W$2+1,FALSE)</f>
        <v>2180.842529</v>
      </c>
      <c r="X507" s="8">
        <f>VLOOKUP($B507,floorspace!$B$4:$O$12,'shell factors calc'!X$2+1,FALSE)</f>
        <v>2050.6289059999999</v>
      </c>
      <c r="Y507" s="8">
        <f>VLOOKUP($B507,floorspace!$B$4:$O$12,'shell factors calc'!Y$2+1,FALSE)</f>
        <v>628.40942399999994</v>
      </c>
      <c r="Z507">
        <f t="shared" si="8"/>
        <v>0.44315981142734412</v>
      </c>
    </row>
    <row r="508" spans="1:26" x14ac:dyDescent="0.2">
      <c r="A508" s="5" t="s">
        <v>46</v>
      </c>
      <c r="B508" s="5" t="s">
        <v>42</v>
      </c>
      <c r="C508" s="6" t="s">
        <v>30</v>
      </c>
      <c r="D508" s="7">
        <v>0.38781100000000002</v>
      </c>
      <c r="E508">
        <v>0.41087000000000001</v>
      </c>
      <c r="F508">
        <v>0.73754299999999995</v>
      </c>
      <c r="G508">
        <v>0.509239</v>
      </c>
      <c r="H508">
        <v>0.51868199999999998</v>
      </c>
      <c r="I508">
        <v>0.44733499999999998</v>
      </c>
      <c r="J508">
        <v>0.35111100000000001</v>
      </c>
      <c r="K508">
        <v>0.51366699999999998</v>
      </c>
      <c r="L508">
        <v>0.28227200000000002</v>
      </c>
      <c r="M508">
        <v>0.62083200000000005</v>
      </c>
      <c r="N508">
        <v>0.42841899999999999</v>
      </c>
      <c r="O508" s="8">
        <f>VLOOKUP($B508,floorspace!$B$4:$O$12,'shell factors calc'!O$2+1,FALSE)</f>
        <v>1465.1141359999999</v>
      </c>
      <c r="P508" s="8">
        <f>VLOOKUP($B508,floorspace!$B$4:$O$12,'shell factors calc'!P$2+1,FALSE)</f>
        <v>1778.1881100000001</v>
      </c>
      <c r="Q508" s="8">
        <f>VLOOKUP($B508,floorspace!$B$4:$O$12,'shell factors calc'!Q$2+1,FALSE)</f>
        <v>124.162651</v>
      </c>
      <c r="R508" s="8">
        <f>VLOOKUP($B508,floorspace!$B$4:$O$12,'shell factors calc'!R$2+1,FALSE)</f>
        <v>190.44966099999999</v>
      </c>
      <c r="S508" s="8">
        <f>VLOOKUP($B508,floorspace!$B$4:$O$12,'shell factors calc'!S$2+1,FALSE)</f>
        <v>228.065933</v>
      </c>
      <c r="T508" s="8">
        <f>VLOOKUP($B508,floorspace!$B$4:$O$12,'shell factors calc'!T$2+1,FALSE)</f>
        <v>751.99401899999998</v>
      </c>
      <c r="U508" s="8">
        <f>VLOOKUP($B508,floorspace!$B$4:$O$12,'shell factors calc'!U$2+1,FALSE)</f>
        <v>984.05578600000001</v>
      </c>
      <c r="V508" s="8">
        <f>VLOOKUP($B508,floorspace!$B$4:$O$12,'shell factors calc'!V$2+1,FALSE)</f>
        <v>1016.462524</v>
      </c>
      <c r="W508" s="8">
        <f>VLOOKUP($B508,floorspace!$B$4:$O$12,'shell factors calc'!W$2+1,FALSE)</f>
        <v>2180.842529</v>
      </c>
      <c r="X508" s="8">
        <f>VLOOKUP($B508,floorspace!$B$4:$O$12,'shell factors calc'!X$2+1,FALSE)</f>
        <v>2050.6289059999999</v>
      </c>
      <c r="Y508" s="8">
        <f>VLOOKUP($B508,floorspace!$B$4:$O$12,'shell factors calc'!Y$2+1,FALSE)</f>
        <v>628.40942399999994</v>
      </c>
      <c r="Z508">
        <f t="shared" si="8"/>
        <v>0.43581511936289197</v>
      </c>
    </row>
    <row r="509" spans="1:26" x14ac:dyDescent="0.2">
      <c r="A509" s="5" t="s">
        <v>46</v>
      </c>
      <c r="B509" s="5" t="s">
        <v>42</v>
      </c>
      <c r="C509" s="6" t="s">
        <v>31</v>
      </c>
      <c r="D509" s="7">
        <v>0.37911499999999998</v>
      </c>
      <c r="E509">
        <v>0.40247300000000003</v>
      </c>
      <c r="F509">
        <v>0.73339299999999996</v>
      </c>
      <c r="G509">
        <v>0.50252200000000002</v>
      </c>
      <c r="H509">
        <v>0.51101200000000002</v>
      </c>
      <c r="I509">
        <v>0.43830400000000003</v>
      </c>
      <c r="J509">
        <v>0.34108500000000003</v>
      </c>
      <c r="K509">
        <v>0.50696699999999995</v>
      </c>
      <c r="L509">
        <v>0.27172600000000002</v>
      </c>
      <c r="M509">
        <v>0.62162700000000004</v>
      </c>
      <c r="N509">
        <v>0.41969000000000001</v>
      </c>
      <c r="O509" s="8">
        <f>VLOOKUP($B509,floorspace!$B$4:$O$12,'shell factors calc'!O$2+1,FALSE)</f>
        <v>1465.1141359999999</v>
      </c>
      <c r="P509" s="8">
        <f>VLOOKUP($B509,floorspace!$B$4:$O$12,'shell factors calc'!P$2+1,FALSE)</f>
        <v>1778.1881100000001</v>
      </c>
      <c r="Q509" s="8">
        <f>VLOOKUP($B509,floorspace!$B$4:$O$12,'shell factors calc'!Q$2+1,FALSE)</f>
        <v>124.162651</v>
      </c>
      <c r="R509" s="8">
        <f>VLOOKUP($B509,floorspace!$B$4:$O$12,'shell factors calc'!R$2+1,FALSE)</f>
        <v>190.44966099999999</v>
      </c>
      <c r="S509" s="8">
        <f>VLOOKUP($B509,floorspace!$B$4:$O$12,'shell factors calc'!S$2+1,FALSE)</f>
        <v>228.065933</v>
      </c>
      <c r="T509" s="8">
        <f>VLOOKUP($B509,floorspace!$B$4:$O$12,'shell factors calc'!T$2+1,FALSE)</f>
        <v>751.99401899999998</v>
      </c>
      <c r="U509" s="8">
        <f>VLOOKUP($B509,floorspace!$B$4:$O$12,'shell factors calc'!U$2+1,FALSE)</f>
        <v>984.05578600000001</v>
      </c>
      <c r="V509" s="8">
        <f>VLOOKUP($B509,floorspace!$B$4:$O$12,'shell factors calc'!V$2+1,FALSE)</f>
        <v>1016.462524</v>
      </c>
      <c r="W509" s="8">
        <f>VLOOKUP($B509,floorspace!$B$4:$O$12,'shell factors calc'!W$2+1,FALSE)</f>
        <v>2180.842529</v>
      </c>
      <c r="X509" s="8">
        <f>VLOOKUP($B509,floorspace!$B$4:$O$12,'shell factors calc'!X$2+1,FALSE)</f>
        <v>2050.6289059999999</v>
      </c>
      <c r="Y509" s="8">
        <f>VLOOKUP($B509,floorspace!$B$4:$O$12,'shell factors calc'!Y$2+1,FALSE)</f>
        <v>628.40942399999994</v>
      </c>
      <c r="Z509">
        <f t="shared" si="8"/>
        <v>0.42866165406487916</v>
      </c>
    </row>
    <row r="510" spans="1:26" x14ac:dyDescent="0.2">
      <c r="A510" s="5" t="s">
        <v>46</v>
      </c>
      <c r="B510" s="5" t="s">
        <v>42</v>
      </c>
      <c r="C510" s="6" t="s">
        <v>32</v>
      </c>
      <c r="D510" s="7">
        <v>0.37061300000000003</v>
      </c>
      <c r="E510">
        <v>0.39424700000000001</v>
      </c>
      <c r="F510">
        <v>0.72926599999999997</v>
      </c>
      <c r="G510">
        <v>0.49589299999999997</v>
      </c>
      <c r="H510">
        <v>0.50345499999999999</v>
      </c>
      <c r="I510">
        <v>0.42945499999999998</v>
      </c>
      <c r="J510">
        <v>0.33134599999999997</v>
      </c>
      <c r="K510">
        <v>0.50035600000000002</v>
      </c>
      <c r="L510">
        <v>0.26157399999999997</v>
      </c>
      <c r="M510">
        <v>0.62242399999999998</v>
      </c>
      <c r="N510">
        <v>0.411138</v>
      </c>
      <c r="O510" s="8">
        <f>VLOOKUP($B510,floorspace!$B$4:$O$12,'shell factors calc'!O$2+1,FALSE)</f>
        <v>1465.1141359999999</v>
      </c>
      <c r="P510" s="8">
        <f>VLOOKUP($B510,floorspace!$B$4:$O$12,'shell factors calc'!P$2+1,FALSE)</f>
        <v>1778.1881100000001</v>
      </c>
      <c r="Q510" s="8">
        <f>VLOOKUP($B510,floorspace!$B$4:$O$12,'shell factors calc'!Q$2+1,FALSE)</f>
        <v>124.162651</v>
      </c>
      <c r="R510" s="8">
        <f>VLOOKUP($B510,floorspace!$B$4:$O$12,'shell factors calc'!R$2+1,FALSE)</f>
        <v>190.44966099999999</v>
      </c>
      <c r="S510" s="8">
        <f>VLOOKUP($B510,floorspace!$B$4:$O$12,'shell factors calc'!S$2+1,FALSE)</f>
        <v>228.065933</v>
      </c>
      <c r="T510" s="8">
        <f>VLOOKUP($B510,floorspace!$B$4:$O$12,'shell factors calc'!T$2+1,FALSE)</f>
        <v>751.99401899999998</v>
      </c>
      <c r="U510" s="8">
        <f>VLOOKUP($B510,floorspace!$B$4:$O$12,'shell factors calc'!U$2+1,FALSE)</f>
        <v>984.05578600000001</v>
      </c>
      <c r="V510" s="8">
        <f>VLOOKUP($B510,floorspace!$B$4:$O$12,'shell factors calc'!V$2+1,FALSE)</f>
        <v>1016.462524</v>
      </c>
      <c r="W510" s="8">
        <f>VLOOKUP($B510,floorspace!$B$4:$O$12,'shell factors calc'!W$2+1,FALSE)</f>
        <v>2180.842529</v>
      </c>
      <c r="X510" s="8">
        <f>VLOOKUP($B510,floorspace!$B$4:$O$12,'shell factors calc'!X$2+1,FALSE)</f>
        <v>2050.6289059999999</v>
      </c>
      <c r="Y510" s="8">
        <f>VLOOKUP($B510,floorspace!$B$4:$O$12,'shell factors calc'!Y$2+1,FALSE)</f>
        <v>628.40942399999994</v>
      </c>
      <c r="Z510">
        <f t="shared" si="8"/>
        <v>0.42169400675278029</v>
      </c>
    </row>
    <row r="511" spans="1:26" x14ac:dyDescent="0.2">
      <c r="A511" s="5" t="s">
        <v>46</v>
      </c>
      <c r="B511" s="5" t="s">
        <v>42</v>
      </c>
      <c r="C511" s="6" t="s">
        <v>33</v>
      </c>
      <c r="D511" s="7">
        <v>0.36230200000000001</v>
      </c>
      <c r="E511">
        <v>0.386189</v>
      </c>
      <c r="F511">
        <v>0.725163</v>
      </c>
      <c r="G511">
        <v>0.48935099999999998</v>
      </c>
      <c r="H511">
        <v>0.49601000000000001</v>
      </c>
      <c r="I511">
        <v>0.42078500000000002</v>
      </c>
      <c r="J511">
        <v>0.321884</v>
      </c>
      <c r="K511">
        <v>0.49382999999999999</v>
      </c>
      <c r="L511">
        <v>0.251801</v>
      </c>
      <c r="M511">
        <v>0.62322200000000005</v>
      </c>
      <c r="N511">
        <v>0.40276099999999998</v>
      </c>
      <c r="O511" s="8">
        <f>VLOOKUP($B511,floorspace!$B$4:$O$12,'shell factors calc'!O$2+1,FALSE)</f>
        <v>1465.1141359999999</v>
      </c>
      <c r="P511" s="8">
        <f>VLOOKUP($B511,floorspace!$B$4:$O$12,'shell factors calc'!P$2+1,FALSE)</f>
        <v>1778.1881100000001</v>
      </c>
      <c r="Q511" s="8">
        <f>VLOOKUP($B511,floorspace!$B$4:$O$12,'shell factors calc'!Q$2+1,FALSE)</f>
        <v>124.162651</v>
      </c>
      <c r="R511" s="8">
        <f>VLOOKUP($B511,floorspace!$B$4:$O$12,'shell factors calc'!R$2+1,FALSE)</f>
        <v>190.44966099999999</v>
      </c>
      <c r="S511" s="8">
        <f>VLOOKUP($B511,floorspace!$B$4:$O$12,'shell factors calc'!S$2+1,FALSE)</f>
        <v>228.065933</v>
      </c>
      <c r="T511" s="8">
        <f>VLOOKUP($B511,floorspace!$B$4:$O$12,'shell factors calc'!T$2+1,FALSE)</f>
        <v>751.99401899999998</v>
      </c>
      <c r="U511" s="8">
        <f>VLOOKUP($B511,floorspace!$B$4:$O$12,'shell factors calc'!U$2+1,FALSE)</f>
        <v>984.05578600000001</v>
      </c>
      <c r="V511" s="8">
        <f>VLOOKUP($B511,floorspace!$B$4:$O$12,'shell factors calc'!V$2+1,FALSE)</f>
        <v>1016.462524</v>
      </c>
      <c r="W511" s="8">
        <f>VLOOKUP($B511,floorspace!$B$4:$O$12,'shell factors calc'!W$2+1,FALSE)</f>
        <v>2180.842529</v>
      </c>
      <c r="X511" s="8">
        <f>VLOOKUP($B511,floorspace!$B$4:$O$12,'shell factors calc'!X$2+1,FALSE)</f>
        <v>2050.6289059999999</v>
      </c>
      <c r="Y511" s="8">
        <f>VLOOKUP($B511,floorspace!$B$4:$O$12,'shell factors calc'!Y$2+1,FALSE)</f>
        <v>628.40942399999994</v>
      </c>
      <c r="Z511">
        <f t="shared" si="8"/>
        <v>0.41490671991685463</v>
      </c>
    </row>
    <row r="512" spans="1:26" x14ac:dyDescent="0.2">
      <c r="A512" s="5" t="s">
        <v>46</v>
      </c>
      <c r="B512" s="5" t="s">
        <v>42</v>
      </c>
      <c r="C512" s="6" t="s">
        <v>34</v>
      </c>
      <c r="D512" s="7">
        <v>0.35417700000000002</v>
      </c>
      <c r="E512">
        <v>0.37829600000000002</v>
      </c>
      <c r="F512">
        <v>0.721082</v>
      </c>
      <c r="G512">
        <v>0.48289599999999999</v>
      </c>
      <c r="H512">
        <v>0.488676</v>
      </c>
      <c r="I512">
        <v>0.41228999999999999</v>
      </c>
      <c r="J512">
        <v>0.312693</v>
      </c>
      <c r="K512">
        <v>0.48738999999999999</v>
      </c>
      <c r="L512">
        <v>0.242394</v>
      </c>
      <c r="M512">
        <v>0.62402000000000002</v>
      </c>
      <c r="N512">
        <v>0.39455499999999999</v>
      </c>
      <c r="O512" s="8">
        <f>VLOOKUP($B512,floorspace!$B$4:$O$12,'shell factors calc'!O$2+1,FALSE)</f>
        <v>1465.1141359999999</v>
      </c>
      <c r="P512" s="8">
        <f>VLOOKUP($B512,floorspace!$B$4:$O$12,'shell factors calc'!P$2+1,FALSE)</f>
        <v>1778.1881100000001</v>
      </c>
      <c r="Q512" s="8">
        <f>VLOOKUP($B512,floorspace!$B$4:$O$12,'shell factors calc'!Q$2+1,FALSE)</f>
        <v>124.162651</v>
      </c>
      <c r="R512" s="8">
        <f>VLOOKUP($B512,floorspace!$B$4:$O$12,'shell factors calc'!R$2+1,FALSE)</f>
        <v>190.44966099999999</v>
      </c>
      <c r="S512" s="8">
        <f>VLOOKUP($B512,floorspace!$B$4:$O$12,'shell factors calc'!S$2+1,FALSE)</f>
        <v>228.065933</v>
      </c>
      <c r="T512" s="8">
        <f>VLOOKUP($B512,floorspace!$B$4:$O$12,'shell factors calc'!T$2+1,FALSE)</f>
        <v>751.99401899999998</v>
      </c>
      <c r="U512" s="8">
        <f>VLOOKUP($B512,floorspace!$B$4:$O$12,'shell factors calc'!U$2+1,FALSE)</f>
        <v>984.05578600000001</v>
      </c>
      <c r="V512" s="8">
        <f>VLOOKUP($B512,floorspace!$B$4:$O$12,'shell factors calc'!V$2+1,FALSE)</f>
        <v>1016.462524</v>
      </c>
      <c r="W512" s="8">
        <f>VLOOKUP($B512,floorspace!$B$4:$O$12,'shell factors calc'!W$2+1,FALSE)</f>
        <v>2180.842529</v>
      </c>
      <c r="X512" s="8">
        <f>VLOOKUP($B512,floorspace!$B$4:$O$12,'shell factors calc'!X$2+1,FALSE)</f>
        <v>2050.6289059999999</v>
      </c>
      <c r="Y512" s="8">
        <f>VLOOKUP($B512,floorspace!$B$4:$O$12,'shell factors calc'!Y$2+1,FALSE)</f>
        <v>628.40942399999994</v>
      </c>
      <c r="Z512">
        <f t="shared" si="8"/>
        <v>0.40829506063681775</v>
      </c>
    </row>
    <row r="513" spans="1:26" x14ac:dyDescent="0.2">
      <c r="A513" s="5" t="s">
        <v>46</v>
      </c>
      <c r="B513" s="5" t="s">
        <v>42</v>
      </c>
      <c r="C513" s="6" t="s">
        <v>35</v>
      </c>
      <c r="D513" s="7">
        <v>0.34623399999999999</v>
      </c>
      <c r="E513">
        <v>0.370564</v>
      </c>
      <c r="F513">
        <v>0.71702500000000002</v>
      </c>
      <c r="G513">
        <v>0.47652600000000001</v>
      </c>
      <c r="H513">
        <v>0.48144900000000002</v>
      </c>
      <c r="I513">
        <v>0.40396599999999999</v>
      </c>
      <c r="J513">
        <v>0.30376399999999998</v>
      </c>
      <c r="K513">
        <v>0.48103299999999999</v>
      </c>
      <c r="L513">
        <v>0.23333799999999999</v>
      </c>
      <c r="M513">
        <v>0.62482000000000004</v>
      </c>
      <c r="N513">
        <v>0.386515</v>
      </c>
      <c r="O513" s="8">
        <f>VLOOKUP($B513,floorspace!$B$4:$O$12,'shell factors calc'!O$2+1,FALSE)</f>
        <v>1465.1141359999999</v>
      </c>
      <c r="P513" s="8">
        <f>VLOOKUP($B513,floorspace!$B$4:$O$12,'shell factors calc'!P$2+1,FALSE)</f>
        <v>1778.1881100000001</v>
      </c>
      <c r="Q513" s="8">
        <f>VLOOKUP($B513,floorspace!$B$4:$O$12,'shell factors calc'!Q$2+1,FALSE)</f>
        <v>124.162651</v>
      </c>
      <c r="R513" s="8">
        <f>VLOOKUP($B513,floorspace!$B$4:$O$12,'shell factors calc'!R$2+1,FALSE)</f>
        <v>190.44966099999999</v>
      </c>
      <c r="S513" s="8">
        <f>VLOOKUP($B513,floorspace!$B$4:$O$12,'shell factors calc'!S$2+1,FALSE)</f>
        <v>228.065933</v>
      </c>
      <c r="T513" s="8">
        <f>VLOOKUP($B513,floorspace!$B$4:$O$12,'shell factors calc'!T$2+1,FALSE)</f>
        <v>751.99401899999998</v>
      </c>
      <c r="U513" s="8">
        <f>VLOOKUP($B513,floorspace!$B$4:$O$12,'shell factors calc'!U$2+1,FALSE)</f>
        <v>984.05578600000001</v>
      </c>
      <c r="V513" s="8">
        <f>VLOOKUP($B513,floorspace!$B$4:$O$12,'shell factors calc'!V$2+1,FALSE)</f>
        <v>1016.462524</v>
      </c>
      <c r="W513" s="8">
        <f>VLOOKUP($B513,floorspace!$B$4:$O$12,'shell factors calc'!W$2+1,FALSE)</f>
        <v>2180.842529</v>
      </c>
      <c r="X513" s="8">
        <f>VLOOKUP($B513,floorspace!$B$4:$O$12,'shell factors calc'!X$2+1,FALSE)</f>
        <v>2050.6289059999999</v>
      </c>
      <c r="Y513" s="8">
        <f>VLOOKUP($B513,floorspace!$B$4:$O$12,'shell factors calc'!Y$2+1,FALSE)</f>
        <v>628.40942399999994</v>
      </c>
      <c r="Z513">
        <f t="shared" si="8"/>
        <v>0.40185370487773203</v>
      </c>
    </row>
    <row r="514" spans="1:26" x14ac:dyDescent="0.2">
      <c r="A514" s="5" t="s">
        <v>46</v>
      </c>
      <c r="B514" s="1" t="s">
        <v>42</v>
      </c>
      <c r="C514" s="2" t="s">
        <v>36</v>
      </c>
      <c r="D514" s="4">
        <v>0.33846999999999999</v>
      </c>
      <c r="E514">
        <v>0.36298999999999998</v>
      </c>
      <c r="F514">
        <v>0.71299000000000001</v>
      </c>
      <c r="G514">
        <v>0.47023999999999999</v>
      </c>
      <c r="H514">
        <v>0.47432999999999997</v>
      </c>
      <c r="I514">
        <v>0.39581</v>
      </c>
      <c r="J514">
        <v>0.29509000000000002</v>
      </c>
      <c r="K514">
        <v>0.47476000000000002</v>
      </c>
      <c r="L514">
        <v>0.22461999999999999</v>
      </c>
      <c r="M514">
        <v>0.62561999999999995</v>
      </c>
      <c r="N514">
        <v>0.37863999999999998</v>
      </c>
      <c r="O514" s="8">
        <f>VLOOKUP($B514,floorspace!$B$4:$O$12,'shell factors calc'!O$2+1,FALSE)</f>
        <v>1465.1141359999999</v>
      </c>
      <c r="P514" s="8">
        <f>VLOOKUP($B514,floorspace!$B$4:$O$12,'shell factors calc'!P$2+1,FALSE)</f>
        <v>1778.1881100000001</v>
      </c>
      <c r="Q514" s="8">
        <f>VLOOKUP($B514,floorspace!$B$4:$O$12,'shell factors calc'!Q$2+1,FALSE)</f>
        <v>124.162651</v>
      </c>
      <c r="R514" s="8">
        <f>VLOOKUP($B514,floorspace!$B$4:$O$12,'shell factors calc'!R$2+1,FALSE)</f>
        <v>190.44966099999999</v>
      </c>
      <c r="S514" s="8">
        <f>VLOOKUP($B514,floorspace!$B$4:$O$12,'shell factors calc'!S$2+1,FALSE)</f>
        <v>228.065933</v>
      </c>
      <c r="T514" s="8">
        <f>VLOOKUP($B514,floorspace!$B$4:$O$12,'shell factors calc'!T$2+1,FALSE)</f>
        <v>751.99401899999998</v>
      </c>
      <c r="U514" s="8">
        <f>VLOOKUP($B514,floorspace!$B$4:$O$12,'shell factors calc'!U$2+1,FALSE)</f>
        <v>984.05578600000001</v>
      </c>
      <c r="V514" s="8">
        <f>VLOOKUP($B514,floorspace!$B$4:$O$12,'shell factors calc'!V$2+1,FALSE)</f>
        <v>1016.462524</v>
      </c>
      <c r="W514" s="8">
        <f>VLOOKUP($B514,floorspace!$B$4:$O$12,'shell factors calc'!W$2+1,FALSE)</f>
        <v>2180.842529</v>
      </c>
      <c r="X514" s="8">
        <f>VLOOKUP($B514,floorspace!$B$4:$O$12,'shell factors calc'!X$2+1,FALSE)</f>
        <v>2050.6289059999999</v>
      </c>
      <c r="Y514" s="8">
        <f>VLOOKUP($B514,floorspace!$B$4:$O$12,'shell factors calc'!Y$2+1,FALSE)</f>
        <v>628.40942399999994</v>
      </c>
      <c r="Z514">
        <f t="shared" si="8"/>
        <v>0.39557816523223938</v>
      </c>
    </row>
    <row r="515" spans="1:26" x14ac:dyDescent="0.2">
      <c r="A515" s="5" t="s">
        <v>46</v>
      </c>
      <c r="B515" s="5" t="s">
        <v>43</v>
      </c>
      <c r="C515" s="6" t="s">
        <v>5</v>
      </c>
      <c r="D515" s="7">
        <v>0.62182300000000001</v>
      </c>
      <c r="E515">
        <v>0.620197</v>
      </c>
      <c r="F515">
        <v>0.88643099999999997</v>
      </c>
      <c r="G515">
        <v>0.82380699999999996</v>
      </c>
      <c r="H515">
        <v>0.72225700000000004</v>
      </c>
      <c r="I515">
        <v>0.707283</v>
      </c>
      <c r="J515">
        <v>0.71235300000000001</v>
      </c>
      <c r="K515">
        <v>0.66590199999999999</v>
      </c>
      <c r="L515">
        <v>0.61056200000000005</v>
      </c>
      <c r="M515">
        <v>0.73797299999999999</v>
      </c>
      <c r="N515">
        <v>0.68277500000000002</v>
      </c>
      <c r="O515" s="8">
        <f>VLOOKUP($B515,floorspace!$B$4:$O$12,'shell factors calc'!O$2+1,FALSE)</f>
        <v>909.66033900000002</v>
      </c>
      <c r="P515" s="8">
        <f>VLOOKUP($B515,floorspace!$B$4:$O$12,'shell factors calc'!P$2+1,FALSE)</f>
        <v>881.97393799999998</v>
      </c>
      <c r="Q515" s="8">
        <f>VLOOKUP($B515,floorspace!$B$4:$O$12,'shell factors calc'!Q$2+1,FALSE)</f>
        <v>94.492217999999994</v>
      </c>
      <c r="R515" s="8">
        <f>VLOOKUP($B515,floorspace!$B$4:$O$12,'shell factors calc'!R$2+1,FALSE)</f>
        <v>206.62240600000001</v>
      </c>
      <c r="S515" s="8">
        <f>VLOOKUP($B515,floorspace!$B$4:$O$12,'shell factors calc'!S$2+1,FALSE)</f>
        <v>171.98699999999999</v>
      </c>
      <c r="T515" s="8">
        <f>VLOOKUP($B515,floorspace!$B$4:$O$12,'shell factors calc'!T$2+1,FALSE)</f>
        <v>684.67663600000003</v>
      </c>
      <c r="U515" s="8">
        <f>VLOOKUP($B515,floorspace!$B$4:$O$12,'shell factors calc'!U$2+1,FALSE)</f>
        <v>875.10882600000002</v>
      </c>
      <c r="V515" s="8">
        <f>VLOOKUP($B515,floorspace!$B$4:$O$12,'shell factors calc'!V$2+1,FALSE)</f>
        <v>703.37530500000003</v>
      </c>
      <c r="W515" s="8">
        <f>VLOOKUP($B515,floorspace!$B$4:$O$12,'shell factors calc'!W$2+1,FALSE)</f>
        <v>1558.8479</v>
      </c>
      <c r="X515" s="8">
        <f>VLOOKUP($B515,floorspace!$B$4:$O$12,'shell factors calc'!X$2+1,FALSE)</f>
        <v>1048.3610839999999</v>
      </c>
      <c r="Y515" s="8">
        <f>VLOOKUP($B515,floorspace!$B$4:$O$12,'shell factors calc'!Y$2+1,FALSE)</f>
        <v>336.39016700000002</v>
      </c>
      <c r="Z515">
        <f t="shared" si="8"/>
        <v>0.67215212194312224</v>
      </c>
    </row>
    <row r="516" spans="1:26" x14ac:dyDescent="0.2">
      <c r="A516" s="5" t="s">
        <v>46</v>
      </c>
      <c r="B516" s="5" t="s">
        <v>43</v>
      </c>
      <c r="C516" s="6" t="s">
        <v>6</v>
      </c>
      <c r="D516" s="7">
        <v>0.61348999999999998</v>
      </c>
      <c r="E516">
        <v>0.61177000000000004</v>
      </c>
      <c r="F516">
        <v>0.87622999999999995</v>
      </c>
      <c r="G516">
        <v>0.82011000000000001</v>
      </c>
      <c r="H516">
        <v>0.71486000000000005</v>
      </c>
      <c r="I516">
        <v>0.69918999999999998</v>
      </c>
      <c r="J516">
        <v>0.70511000000000001</v>
      </c>
      <c r="K516">
        <v>0.65881999999999996</v>
      </c>
      <c r="L516">
        <v>0.60152000000000005</v>
      </c>
      <c r="M516">
        <v>0.73058999999999996</v>
      </c>
      <c r="N516">
        <v>0.67498000000000002</v>
      </c>
      <c r="O516" s="8">
        <f>VLOOKUP($B516,floorspace!$B$4:$O$12,'shell factors calc'!O$2+1,FALSE)</f>
        <v>909.66033900000002</v>
      </c>
      <c r="P516" s="8">
        <f>VLOOKUP($B516,floorspace!$B$4:$O$12,'shell factors calc'!P$2+1,FALSE)</f>
        <v>881.97393799999998</v>
      </c>
      <c r="Q516" s="8">
        <f>VLOOKUP($B516,floorspace!$B$4:$O$12,'shell factors calc'!Q$2+1,FALSE)</f>
        <v>94.492217999999994</v>
      </c>
      <c r="R516" s="8">
        <f>VLOOKUP($B516,floorspace!$B$4:$O$12,'shell factors calc'!R$2+1,FALSE)</f>
        <v>206.62240600000001</v>
      </c>
      <c r="S516" s="8">
        <f>VLOOKUP($B516,floorspace!$B$4:$O$12,'shell factors calc'!S$2+1,FALSE)</f>
        <v>171.98699999999999</v>
      </c>
      <c r="T516" s="8">
        <f>VLOOKUP($B516,floorspace!$B$4:$O$12,'shell factors calc'!T$2+1,FALSE)</f>
        <v>684.67663600000003</v>
      </c>
      <c r="U516" s="8">
        <f>VLOOKUP($B516,floorspace!$B$4:$O$12,'shell factors calc'!U$2+1,FALSE)</f>
        <v>875.10882600000002</v>
      </c>
      <c r="V516" s="8">
        <f>VLOOKUP($B516,floorspace!$B$4:$O$12,'shell factors calc'!V$2+1,FALSE)</f>
        <v>703.37530500000003</v>
      </c>
      <c r="W516" s="8">
        <f>VLOOKUP($B516,floorspace!$B$4:$O$12,'shell factors calc'!W$2+1,FALSE)</f>
        <v>1558.8479</v>
      </c>
      <c r="X516" s="8">
        <f>VLOOKUP($B516,floorspace!$B$4:$O$12,'shell factors calc'!X$2+1,FALSE)</f>
        <v>1048.3610839999999</v>
      </c>
      <c r="Y516" s="8">
        <f>VLOOKUP($B516,floorspace!$B$4:$O$12,'shell factors calc'!Y$2+1,FALSE)</f>
        <v>336.39016700000002</v>
      </c>
      <c r="Z516">
        <f t="shared" si="8"/>
        <v>0.66421118206894747</v>
      </c>
    </row>
    <row r="517" spans="1:26" x14ac:dyDescent="0.2">
      <c r="A517" s="5" t="s">
        <v>46</v>
      </c>
      <c r="B517" s="5" t="s">
        <v>43</v>
      </c>
      <c r="C517" s="6" t="s">
        <v>7</v>
      </c>
      <c r="D517" s="7">
        <v>0.60456100000000002</v>
      </c>
      <c r="E517">
        <v>0.60272999999999999</v>
      </c>
      <c r="F517">
        <v>0.869475</v>
      </c>
      <c r="G517">
        <v>0.81633900000000004</v>
      </c>
      <c r="H517">
        <v>0.70707399999999998</v>
      </c>
      <c r="I517">
        <v>0.69061499999999998</v>
      </c>
      <c r="J517">
        <v>0.69748699999999997</v>
      </c>
      <c r="K517">
        <v>0.65134999999999998</v>
      </c>
      <c r="L517">
        <v>0.59175699999999998</v>
      </c>
      <c r="M517">
        <v>0.72282999999999997</v>
      </c>
      <c r="N517">
        <v>0.66671999999999998</v>
      </c>
      <c r="O517" s="8">
        <f>VLOOKUP($B517,floorspace!$B$4:$O$12,'shell factors calc'!O$2+1,FALSE)</f>
        <v>909.66033900000002</v>
      </c>
      <c r="P517" s="8">
        <f>VLOOKUP($B517,floorspace!$B$4:$O$12,'shell factors calc'!P$2+1,FALSE)</f>
        <v>881.97393799999998</v>
      </c>
      <c r="Q517" s="8">
        <f>VLOOKUP($B517,floorspace!$B$4:$O$12,'shell factors calc'!Q$2+1,FALSE)</f>
        <v>94.492217999999994</v>
      </c>
      <c r="R517" s="8">
        <f>VLOOKUP($B517,floorspace!$B$4:$O$12,'shell factors calc'!R$2+1,FALSE)</f>
        <v>206.62240600000001</v>
      </c>
      <c r="S517" s="8">
        <f>VLOOKUP($B517,floorspace!$B$4:$O$12,'shell factors calc'!S$2+1,FALSE)</f>
        <v>171.98699999999999</v>
      </c>
      <c r="T517" s="8">
        <f>VLOOKUP($B517,floorspace!$B$4:$O$12,'shell factors calc'!T$2+1,FALSE)</f>
        <v>684.67663600000003</v>
      </c>
      <c r="U517" s="8">
        <f>VLOOKUP($B517,floorspace!$B$4:$O$12,'shell factors calc'!U$2+1,FALSE)</f>
        <v>875.10882600000002</v>
      </c>
      <c r="V517" s="8">
        <f>VLOOKUP($B517,floorspace!$B$4:$O$12,'shell factors calc'!V$2+1,FALSE)</f>
        <v>703.37530500000003</v>
      </c>
      <c r="W517" s="8">
        <f>VLOOKUP($B517,floorspace!$B$4:$O$12,'shell factors calc'!W$2+1,FALSE)</f>
        <v>1558.8479</v>
      </c>
      <c r="X517" s="8">
        <f>VLOOKUP($B517,floorspace!$B$4:$O$12,'shell factors calc'!X$2+1,FALSE)</f>
        <v>1048.3610839999999</v>
      </c>
      <c r="Y517" s="8">
        <f>VLOOKUP($B517,floorspace!$B$4:$O$12,'shell factors calc'!Y$2+1,FALSE)</f>
        <v>336.39016700000002</v>
      </c>
      <c r="Z517">
        <f t="shared" si="8"/>
        <v>0.65580842992980792</v>
      </c>
    </row>
    <row r="518" spans="1:26" x14ac:dyDescent="0.2">
      <c r="A518" s="5" t="s">
        <v>46</v>
      </c>
      <c r="B518" s="5" t="s">
        <v>43</v>
      </c>
      <c r="C518" s="6" t="s">
        <v>8</v>
      </c>
      <c r="D518" s="7">
        <v>0.59576300000000004</v>
      </c>
      <c r="E518">
        <v>0.59382299999999999</v>
      </c>
      <c r="F518">
        <v>0.86277300000000001</v>
      </c>
      <c r="G518">
        <v>0.812585</v>
      </c>
      <c r="H518">
        <v>0.69937300000000002</v>
      </c>
      <c r="I518">
        <v>0.682145</v>
      </c>
      <c r="J518">
        <v>0.68994599999999995</v>
      </c>
      <c r="K518">
        <v>0.64396500000000001</v>
      </c>
      <c r="L518">
        <v>0.582152</v>
      </c>
      <c r="M518">
        <v>0.71515300000000004</v>
      </c>
      <c r="N518">
        <v>0.65856000000000003</v>
      </c>
      <c r="O518" s="8">
        <f>VLOOKUP($B518,floorspace!$B$4:$O$12,'shell factors calc'!O$2+1,FALSE)</f>
        <v>909.66033900000002</v>
      </c>
      <c r="P518" s="8">
        <f>VLOOKUP($B518,floorspace!$B$4:$O$12,'shell factors calc'!P$2+1,FALSE)</f>
        <v>881.97393799999998</v>
      </c>
      <c r="Q518" s="8">
        <f>VLOOKUP($B518,floorspace!$B$4:$O$12,'shell factors calc'!Q$2+1,FALSE)</f>
        <v>94.492217999999994</v>
      </c>
      <c r="R518" s="8">
        <f>VLOOKUP($B518,floorspace!$B$4:$O$12,'shell factors calc'!R$2+1,FALSE)</f>
        <v>206.62240600000001</v>
      </c>
      <c r="S518" s="8">
        <f>VLOOKUP($B518,floorspace!$B$4:$O$12,'shell factors calc'!S$2+1,FALSE)</f>
        <v>171.98699999999999</v>
      </c>
      <c r="T518" s="8">
        <f>VLOOKUP($B518,floorspace!$B$4:$O$12,'shell factors calc'!T$2+1,FALSE)</f>
        <v>684.67663600000003</v>
      </c>
      <c r="U518" s="8">
        <f>VLOOKUP($B518,floorspace!$B$4:$O$12,'shell factors calc'!U$2+1,FALSE)</f>
        <v>875.10882600000002</v>
      </c>
      <c r="V518" s="8">
        <f>VLOOKUP($B518,floorspace!$B$4:$O$12,'shell factors calc'!V$2+1,FALSE)</f>
        <v>703.37530500000003</v>
      </c>
      <c r="W518" s="8">
        <f>VLOOKUP($B518,floorspace!$B$4:$O$12,'shell factors calc'!W$2+1,FALSE)</f>
        <v>1558.8479</v>
      </c>
      <c r="X518" s="8">
        <f>VLOOKUP($B518,floorspace!$B$4:$O$12,'shell factors calc'!X$2+1,FALSE)</f>
        <v>1048.3610839999999</v>
      </c>
      <c r="Y518" s="8">
        <f>VLOOKUP($B518,floorspace!$B$4:$O$12,'shell factors calc'!Y$2+1,FALSE)</f>
        <v>336.39016700000002</v>
      </c>
      <c r="Z518">
        <f t="shared" si="8"/>
        <v>0.64751676604501973</v>
      </c>
    </row>
    <row r="519" spans="1:26" x14ac:dyDescent="0.2">
      <c r="A519" s="5" t="s">
        <v>46</v>
      </c>
      <c r="B519" s="5" t="s">
        <v>43</v>
      </c>
      <c r="C519" s="6" t="s">
        <v>9</v>
      </c>
      <c r="D519" s="7">
        <v>0.58709199999999995</v>
      </c>
      <c r="E519">
        <v>0.58504900000000004</v>
      </c>
      <c r="F519">
        <v>0.85612200000000005</v>
      </c>
      <c r="G519">
        <v>0.80884900000000004</v>
      </c>
      <c r="H519">
        <v>0.69175600000000004</v>
      </c>
      <c r="I519">
        <v>0.67377900000000002</v>
      </c>
      <c r="J519">
        <v>0.68248600000000004</v>
      </c>
      <c r="K519">
        <v>0.63666400000000001</v>
      </c>
      <c r="L519">
        <v>0.57270399999999999</v>
      </c>
      <c r="M519">
        <v>0.70755800000000002</v>
      </c>
      <c r="N519">
        <v>0.650501</v>
      </c>
      <c r="O519" s="8">
        <f>VLOOKUP($B519,floorspace!$B$4:$O$12,'shell factors calc'!O$2+1,FALSE)</f>
        <v>909.66033900000002</v>
      </c>
      <c r="P519" s="8">
        <f>VLOOKUP($B519,floorspace!$B$4:$O$12,'shell factors calc'!P$2+1,FALSE)</f>
        <v>881.97393799999998</v>
      </c>
      <c r="Q519" s="8">
        <f>VLOOKUP($B519,floorspace!$B$4:$O$12,'shell factors calc'!Q$2+1,FALSE)</f>
        <v>94.492217999999994</v>
      </c>
      <c r="R519" s="8">
        <f>VLOOKUP($B519,floorspace!$B$4:$O$12,'shell factors calc'!R$2+1,FALSE)</f>
        <v>206.62240600000001</v>
      </c>
      <c r="S519" s="8">
        <f>VLOOKUP($B519,floorspace!$B$4:$O$12,'shell factors calc'!S$2+1,FALSE)</f>
        <v>171.98699999999999</v>
      </c>
      <c r="T519" s="8">
        <f>VLOOKUP($B519,floorspace!$B$4:$O$12,'shell factors calc'!T$2+1,FALSE)</f>
        <v>684.67663600000003</v>
      </c>
      <c r="U519" s="8">
        <f>VLOOKUP($B519,floorspace!$B$4:$O$12,'shell factors calc'!U$2+1,FALSE)</f>
        <v>875.10882600000002</v>
      </c>
      <c r="V519" s="8">
        <f>VLOOKUP($B519,floorspace!$B$4:$O$12,'shell factors calc'!V$2+1,FALSE)</f>
        <v>703.37530500000003</v>
      </c>
      <c r="W519" s="8">
        <f>VLOOKUP($B519,floorspace!$B$4:$O$12,'shell factors calc'!W$2+1,FALSE)</f>
        <v>1558.8479</v>
      </c>
      <c r="X519" s="8">
        <f>VLOOKUP($B519,floorspace!$B$4:$O$12,'shell factors calc'!X$2+1,FALSE)</f>
        <v>1048.3610839999999</v>
      </c>
      <c r="Y519" s="8">
        <f>VLOOKUP($B519,floorspace!$B$4:$O$12,'shell factors calc'!Y$2+1,FALSE)</f>
        <v>336.39016700000002</v>
      </c>
      <c r="Z519">
        <f t="shared" si="8"/>
        <v>0.63933507591620564</v>
      </c>
    </row>
    <row r="520" spans="1:26" x14ac:dyDescent="0.2">
      <c r="A520" s="5" t="s">
        <v>46</v>
      </c>
      <c r="B520" s="5" t="s">
        <v>43</v>
      </c>
      <c r="C520" s="6" t="s">
        <v>10</v>
      </c>
      <c r="D520" s="7">
        <v>0.57854799999999995</v>
      </c>
      <c r="E520">
        <v>0.576403</v>
      </c>
      <c r="F520">
        <v>0.84952300000000003</v>
      </c>
      <c r="G520">
        <v>0.80512899999999998</v>
      </c>
      <c r="H520">
        <v>0.684222</v>
      </c>
      <c r="I520">
        <v>0.66551499999999997</v>
      </c>
      <c r="J520">
        <v>0.67510700000000001</v>
      </c>
      <c r="K520">
        <v>0.62944500000000003</v>
      </c>
      <c r="L520">
        <v>0.56340800000000002</v>
      </c>
      <c r="M520">
        <v>0.70004299999999997</v>
      </c>
      <c r="N520">
        <v>0.64254</v>
      </c>
      <c r="O520" s="8">
        <f>VLOOKUP($B520,floorspace!$B$4:$O$12,'shell factors calc'!O$2+1,FALSE)</f>
        <v>909.66033900000002</v>
      </c>
      <c r="P520" s="8">
        <f>VLOOKUP($B520,floorspace!$B$4:$O$12,'shell factors calc'!P$2+1,FALSE)</f>
        <v>881.97393799999998</v>
      </c>
      <c r="Q520" s="8">
        <f>VLOOKUP($B520,floorspace!$B$4:$O$12,'shell factors calc'!Q$2+1,FALSE)</f>
        <v>94.492217999999994</v>
      </c>
      <c r="R520" s="8">
        <f>VLOOKUP($B520,floorspace!$B$4:$O$12,'shell factors calc'!R$2+1,FALSE)</f>
        <v>206.62240600000001</v>
      </c>
      <c r="S520" s="8">
        <f>VLOOKUP($B520,floorspace!$B$4:$O$12,'shell factors calc'!S$2+1,FALSE)</f>
        <v>171.98699999999999</v>
      </c>
      <c r="T520" s="8">
        <f>VLOOKUP($B520,floorspace!$B$4:$O$12,'shell factors calc'!T$2+1,FALSE)</f>
        <v>684.67663600000003</v>
      </c>
      <c r="U520" s="8">
        <f>VLOOKUP($B520,floorspace!$B$4:$O$12,'shell factors calc'!U$2+1,FALSE)</f>
        <v>875.10882600000002</v>
      </c>
      <c r="V520" s="8">
        <f>VLOOKUP($B520,floorspace!$B$4:$O$12,'shell factors calc'!V$2+1,FALSE)</f>
        <v>703.37530500000003</v>
      </c>
      <c r="W520" s="8">
        <f>VLOOKUP($B520,floorspace!$B$4:$O$12,'shell factors calc'!W$2+1,FALSE)</f>
        <v>1558.8479</v>
      </c>
      <c r="X520" s="8">
        <f>VLOOKUP($B520,floorspace!$B$4:$O$12,'shell factors calc'!X$2+1,FALSE)</f>
        <v>1048.3610839999999</v>
      </c>
      <c r="Y520" s="8">
        <f>VLOOKUP($B520,floorspace!$B$4:$O$12,'shell factors calc'!Y$2+1,FALSE)</f>
        <v>336.39016700000002</v>
      </c>
      <c r="Z520">
        <f t="shared" si="8"/>
        <v>0.63126087318109125</v>
      </c>
    </row>
    <row r="521" spans="1:26" x14ac:dyDescent="0.2">
      <c r="A521" s="5" t="s">
        <v>46</v>
      </c>
      <c r="B521" s="5" t="s">
        <v>43</v>
      </c>
      <c r="C521" s="6" t="s">
        <v>11</v>
      </c>
      <c r="D521" s="7">
        <v>0.57012700000000005</v>
      </c>
      <c r="E521">
        <v>0.567886</v>
      </c>
      <c r="F521">
        <v>0.842974</v>
      </c>
      <c r="G521">
        <v>0.801427</v>
      </c>
      <c r="H521">
        <v>0.67676999999999998</v>
      </c>
      <c r="I521">
        <v>0.65735299999999997</v>
      </c>
      <c r="J521">
        <v>0.66780799999999996</v>
      </c>
      <c r="K521">
        <v>0.62230799999999997</v>
      </c>
      <c r="L521">
        <v>0.55426399999999998</v>
      </c>
      <c r="M521">
        <v>0.692608</v>
      </c>
      <c r="N521">
        <v>0.63467700000000005</v>
      </c>
      <c r="O521" s="8">
        <f>VLOOKUP($B521,floorspace!$B$4:$O$12,'shell factors calc'!O$2+1,FALSE)</f>
        <v>909.66033900000002</v>
      </c>
      <c r="P521" s="8">
        <f>VLOOKUP($B521,floorspace!$B$4:$O$12,'shell factors calc'!P$2+1,FALSE)</f>
        <v>881.97393799999998</v>
      </c>
      <c r="Q521" s="8">
        <f>VLOOKUP($B521,floorspace!$B$4:$O$12,'shell factors calc'!Q$2+1,FALSE)</f>
        <v>94.492217999999994</v>
      </c>
      <c r="R521" s="8">
        <f>VLOOKUP($B521,floorspace!$B$4:$O$12,'shell factors calc'!R$2+1,FALSE)</f>
        <v>206.62240600000001</v>
      </c>
      <c r="S521" s="8">
        <f>VLOOKUP($B521,floorspace!$B$4:$O$12,'shell factors calc'!S$2+1,FALSE)</f>
        <v>171.98699999999999</v>
      </c>
      <c r="T521" s="8">
        <f>VLOOKUP($B521,floorspace!$B$4:$O$12,'shell factors calc'!T$2+1,FALSE)</f>
        <v>684.67663600000003</v>
      </c>
      <c r="U521" s="8">
        <f>VLOOKUP($B521,floorspace!$B$4:$O$12,'shell factors calc'!U$2+1,FALSE)</f>
        <v>875.10882600000002</v>
      </c>
      <c r="V521" s="8">
        <f>VLOOKUP($B521,floorspace!$B$4:$O$12,'shell factors calc'!V$2+1,FALSE)</f>
        <v>703.37530500000003</v>
      </c>
      <c r="W521" s="8">
        <f>VLOOKUP($B521,floorspace!$B$4:$O$12,'shell factors calc'!W$2+1,FALSE)</f>
        <v>1558.8479</v>
      </c>
      <c r="X521" s="8">
        <f>VLOOKUP($B521,floorspace!$B$4:$O$12,'shell factors calc'!X$2+1,FALSE)</f>
        <v>1048.3610839999999</v>
      </c>
      <c r="Y521" s="8">
        <f>VLOOKUP($B521,floorspace!$B$4:$O$12,'shell factors calc'!Y$2+1,FALSE)</f>
        <v>336.39016700000002</v>
      </c>
      <c r="Z521">
        <f t="shared" si="8"/>
        <v>0.62329367875182651</v>
      </c>
    </row>
    <row r="522" spans="1:26" x14ac:dyDescent="0.2">
      <c r="A522" s="5" t="s">
        <v>46</v>
      </c>
      <c r="B522" s="5" t="s">
        <v>43</v>
      </c>
      <c r="C522" s="6" t="s">
        <v>12</v>
      </c>
      <c r="D522" s="7">
        <v>0.56183000000000005</v>
      </c>
      <c r="E522">
        <v>0.55949400000000005</v>
      </c>
      <c r="F522">
        <v>0.836476</v>
      </c>
      <c r="G522">
        <v>0.79774199999999995</v>
      </c>
      <c r="H522">
        <v>0.66939899999999997</v>
      </c>
      <c r="I522">
        <v>0.64929099999999995</v>
      </c>
      <c r="J522">
        <v>0.66058799999999995</v>
      </c>
      <c r="K522">
        <v>0.61525200000000002</v>
      </c>
      <c r="L522">
        <v>0.54526799999999997</v>
      </c>
      <c r="M522">
        <v>0.68525100000000005</v>
      </c>
      <c r="N522">
        <v>0.62690999999999997</v>
      </c>
      <c r="O522" s="8">
        <f>VLOOKUP($B522,floorspace!$B$4:$O$12,'shell factors calc'!O$2+1,FALSE)</f>
        <v>909.66033900000002</v>
      </c>
      <c r="P522" s="8">
        <f>VLOOKUP($B522,floorspace!$B$4:$O$12,'shell factors calc'!P$2+1,FALSE)</f>
        <v>881.97393799999998</v>
      </c>
      <c r="Q522" s="8">
        <f>VLOOKUP($B522,floorspace!$B$4:$O$12,'shell factors calc'!Q$2+1,FALSE)</f>
        <v>94.492217999999994</v>
      </c>
      <c r="R522" s="8">
        <f>VLOOKUP($B522,floorspace!$B$4:$O$12,'shell factors calc'!R$2+1,FALSE)</f>
        <v>206.62240600000001</v>
      </c>
      <c r="S522" s="8">
        <f>VLOOKUP($B522,floorspace!$B$4:$O$12,'shell factors calc'!S$2+1,FALSE)</f>
        <v>171.98699999999999</v>
      </c>
      <c r="T522" s="8">
        <f>VLOOKUP($B522,floorspace!$B$4:$O$12,'shell factors calc'!T$2+1,FALSE)</f>
        <v>684.67663600000003</v>
      </c>
      <c r="U522" s="8">
        <f>VLOOKUP($B522,floorspace!$B$4:$O$12,'shell factors calc'!U$2+1,FALSE)</f>
        <v>875.10882600000002</v>
      </c>
      <c r="V522" s="8">
        <f>VLOOKUP($B522,floorspace!$B$4:$O$12,'shell factors calc'!V$2+1,FALSE)</f>
        <v>703.37530500000003</v>
      </c>
      <c r="W522" s="8">
        <f>VLOOKUP($B522,floorspace!$B$4:$O$12,'shell factors calc'!W$2+1,FALSE)</f>
        <v>1558.8479</v>
      </c>
      <c r="X522" s="8">
        <f>VLOOKUP($B522,floorspace!$B$4:$O$12,'shell factors calc'!X$2+1,FALSE)</f>
        <v>1048.3610839999999</v>
      </c>
      <c r="Y522" s="8">
        <f>VLOOKUP($B522,floorspace!$B$4:$O$12,'shell factors calc'!Y$2+1,FALSE)</f>
        <v>336.39016700000002</v>
      </c>
      <c r="Z522">
        <f t="shared" si="8"/>
        <v>0.6154315043941323</v>
      </c>
    </row>
    <row r="523" spans="1:26" x14ac:dyDescent="0.2">
      <c r="A523" s="5" t="s">
        <v>46</v>
      </c>
      <c r="B523" s="5" t="s">
        <v>43</v>
      </c>
      <c r="C523" s="6" t="s">
        <v>13</v>
      </c>
      <c r="D523" s="7">
        <v>0.55365299999999995</v>
      </c>
      <c r="E523">
        <v>0.55122700000000002</v>
      </c>
      <c r="F523">
        <v>0.83002799999999999</v>
      </c>
      <c r="G523">
        <v>0.79407399999999995</v>
      </c>
      <c r="H523">
        <v>0.66210899999999995</v>
      </c>
      <c r="I523">
        <v>0.64132800000000001</v>
      </c>
      <c r="J523">
        <v>0.65344599999999997</v>
      </c>
      <c r="K523">
        <v>0.60827699999999996</v>
      </c>
      <c r="L523">
        <v>0.53641799999999995</v>
      </c>
      <c r="M523">
        <v>0.67797300000000005</v>
      </c>
      <c r="N523">
        <v>0.61923700000000004</v>
      </c>
      <c r="O523" s="8">
        <f>VLOOKUP($B523,floorspace!$B$4:$O$12,'shell factors calc'!O$2+1,FALSE)</f>
        <v>909.66033900000002</v>
      </c>
      <c r="P523" s="8">
        <f>VLOOKUP($B523,floorspace!$B$4:$O$12,'shell factors calc'!P$2+1,FALSE)</f>
        <v>881.97393799999998</v>
      </c>
      <c r="Q523" s="8">
        <f>VLOOKUP($B523,floorspace!$B$4:$O$12,'shell factors calc'!Q$2+1,FALSE)</f>
        <v>94.492217999999994</v>
      </c>
      <c r="R523" s="8">
        <f>VLOOKUP($B523,floorspace!$B$4:$O$12,'shell factors calc'!R$2+1,FALSE)</f>
        <v>206.62240600000001</v>
      </c>
      <c r="S523" s="8">
        <f>VLOOKUP($B523,floorspace!$B$4:$O$12,'shell factors calc'!S$2+1,FALSE)</f>
        <v>171.98699999999999</v>
      </c>
      <c r="T523" s="8">
        <f>VLOOKUP($B523,floorspace!$B$4:$O$12,'shell factors calc'!T$2+1,FALSE)</f>
        <v>684.67663600000003</v>
      </c>
      <c r="U523" s="8">
        <f>VLOOKUP($B523,floorspace!$B$4:$O$12,'shell factors calc'!U$2+1,FALSE)</f>
        <v>875.10882600000002</v>
      </c>
      <c r="V523" s="8">
        <f>VLOOKUP($B523,floorspace!$B$4:$O$12,'shell factors calc'!V$2+1,FALSE)</f>
        <v>703.37530500000003</v>
      </c>
      <c r="W523" s="8">
        <f>VLOOKUP($B523,floorspace!$B$4:$O$12,'shell factors calc'!W$2+1,FALSE)</f>
        <v>1558.8479</v>
      </c>
      <c r="X523" s="8">
        <f>VLOOKUP($B523,floorspace!$B$4:$O$12,'shell factors calc'!X$2+1,FALSE)</f>
        <v>1048.3610839999999</v>
      </c>
      <c r="Y523" s="8">
        <f>VLOOKUP($B523,floorspace!$B$4:$O$12,'shell factors calc'!Y$2+1,FALSE)</f>
        <v>336.39016700000002</v>
      </c>
      <c r="Z523">
        <f t="shared" si="8"/>
        <v>0.60767327468291521</v>
      </c>
    </row>
    <row r="524" spans="1:26" x14ac:dyDescent="0.2">
      <c r="A524" s="5" t="s">
        <v>46</v>
      </c>
      <c r="B524" s="5" t="s">
        <v>43</v>
      </c>
      <c r="C524" s="6" t="s">
        <v>14</v>
      </c>
      <c r="D524" s="7">
        <v>0.54559500000000005</v>
      </c>
      <c r="E524">
        <v>0.54308100000000004</v>
      </c>
      <c r="F524">
        <v>0.82362899999999994</v>
      </c>
      <c r="G524">
        <v>0.79042199999999996</v>
      </c>
      <c r="H524">
        <v>0.65489799999999998</v>
      </c>
      <c r="I524">
        <v>0.633463</v>
      </c>
      <c r="J524">
        <v>0.64638099999999998</v>
      </c>
      <c r="K524">
        <v>0.60138000000000003</v>
      </c>
      <c r="L524">
        <v>0.52771100000000004</v>
      </c>
      <c r="M524">
        <v>0.67077299999999995</v>
      </c>
      <c r="N524">
        <v>0.61165899999999995</v>
      </c>
      <c r="O524" s="8">
        <f>VLOOKUP($B524,floorspace!$B$4:$O$12,'shell factors calc'!O$2+1,FALSE)</f>
        <v>909.66033900000002</v>
      </c>
      <c r="P524" s="8">
        <f>VLOOKUP($B524,floorspace!$B$4:$O$12,'shell factors calc'!P$2+1,FALSE)</f>
        <v>881.97393799999998</v>
      </c>
      <c r="Q524" s="8">
        <f>VLOOKUP($B524,floorspace!$B$4:$O$12,'shell factors calc'!Q$2+1,FALSE)</f>
        <v>94.492217999999994</v>
      </c>
      <c r="R524" s="8">
        <f>VLOOKUP($B524,floorspace!$B$4:$O$12,'shell factors calc'!R$2+1,FALSE)</f>
        <v>206.62240600000001</v>
      </c>
      <c r="S524" s="8">
        <f>VLOOKUP($B524,floorspace!$B$4:$O$12,'shell factors calc'!S$2+1,FALSE)</f>
        <v>171.98699999999999</v>
      </c>
      <c r="T524" s="8">
        <f>VLOOKUP($B524,floorspace!$B$4:$O$12,'shell factors calc'!T$2+1,FALSE)</f>
        <v>684.67663600000003</v>
      </c>
      <c r="U524" s="8">
        <f>VLOOKUP($B524,floorspace!$B$4:$O$12,'shell factors calc'!U$2+1,FALSE)</f>
        <v>875.10882600000002</v>
      </c>
      <c r="V524" s="8">
        <f>VLOOKUP($B524,floorspace!$B$4:$O$12,'shell factors calc'!V$2+1,FALSE)</f>
        <v>703.37530500000003</v>
      </c>
      <c r="W524" s="8">
        <f>VLOOKUP($B524,floorspace!$B$4:$O$12,'shell factors calc'!W$2+1,FALSE)</f>
        <v>1558.8479</v>
      </c>
      <c r="X524" s="8">
        <f>VLOOKUP($B524,floorspace!$B$4:$O$12,'shell factors calc'!X$2+1,FALSE)</f>
        <v>1048.3610839999999</v>
      </c>
      <c r="Y524" s="8">
        <f>VLOOKUP($B524,floorspace!$B$4:$O$12,'shell factors calc'!Y$2+1,FALSE)</f>
        <v>336.39016700000002</v>
      </c>
      <c r="Z524">
        <f t="shared" si="8"/>
        <v>0.60001709694888272</v>
      </c>
    </row>
    <row r="525" spans="1:26" x14ac:dyDescent="0.2">
      <c r="A525" s="5" t="s">
        <v>46</v>
      </c>
      <c r="B525" s="5" t="s">
        <v>43</v>
      </c>
      <c r="C525" s="6" t="s">
        <v>15</v>
      </c>
      <c r="D525" s="7">
        <v>0.53765499999999999</v>
      </c>
      <c r="E525">
        <v>0.53505599999999998</v>
      </c>
      <c r="F525">
        <v>0.81728000000000001</v>
      </c>
      <c r="G525">
        <v>0.78678800000000004</v>
      </c>
      <c r="H525">
        <v>0.64776500000000004</v>
      </c>
      <c r="I525">
        <v>0.62569399999999997</v>
      </c>
      <c r="J525">
        <v>0.63939299999999999</v>
      </c>
      <c r="K525">
        <v>0.59456100000000001</v>
      </c>
      <c r="L525">
        <v>0.519146</v>
      </c>
      <c r="M525">
        <v>0.66364800000000002</v>
      </c>
      <c r="N525">
        <v>0.60417399999999999</v>
      </c>
      <c r="O525" s="8">
        <f>VLOOKUP($B525,floorspace!$B$4:$O$12,'shell factors calc'!O$2+1,FALSE)</f>
        <v>909.66033900000002</v>
      </c>
      <c r="P525" s="8">
        <f>VLOOKUP($B525,floorspace!$B$4:$O$12,'shell factors calc'!P$2+1,FALSE)</f>
        <v>881.97393799999998</v>
      </c>
      <c r="Q525" s="8">
        <f>VLOOKUP($B525,floorspace!$B$4:$O$12,'shell factors calc'!Q$2+1,FALSE)</f>
        <v>94.492217999999994</v>
      </c>
      <c r="R525" s="8">
        <f>VLOOKUP($B525,floorspace!$B$4:$O$12,'shell factors calc'!R$2+1,FALSE)</f>
        <v>206.62240600000001</v>
      </c>
      <c r="S525" s="8">
        <f>VLOOKUP($B525,floorspace!$B$4:$O$12,'shell factors calc'!S$2+1,FALSE)</f>
        <v>171.98699999999999</v>
      </c>
      <c r="T525" s="8">
        <f>VLOOKUP($B525,floorspace!$B$4:$O$12,'shell factors calc'!T$2+1,FALSE)</f>
        <v>684.67663600000003</v>
      </c>
      <c r="U525" s="8">
        <f>VLOOKUP($B525,floorspace!$B$4:$O$12,'shell factors calc'!U$2+1,FALSE)</f>
        <v>875.10882600000002</v>
      </c>
      <c r="V525" s="8">
        <f>VLOOKUP($B525,floorspace!$B$4:$O$12,'shell factors calc'!V$2+1,FALSE)</f>
        <v>703.37530500000003</v>
      </c>
      <c r="W525" s="8">
        <f>VLOOKUP($B525,floorspace!$B$4:$O$12,'shell factors calc'!W$2+1,FALSE)</f>
        <v>1558.8479</v>
      </c>
      <c r="X525" s="8">
        <f>VLOOKUP($B525,floorspace!$B$4:$O$12,'shell factors calc'!X$2+1,FALSE)</f>
        <v>1048.3610839999999</v>
      </c>
      <c r="Y525" s="8">
        <f>VLOOKUP($B525,floorspace!$B$4:$O$12,'shell factors calc'!Y$2+1,FALSE)</f>
        <v>336.39016700000002</v>
      </c>
      <c r="Z525">
        <f t="shared" si="8"/>
        <v>0.59246199147187617</v>
      </c>
    </row>
    <row r="526" spans="1:26" x14ac:dyDescent="0.2">
      <c r="A526" s="5" t="s">
        <v>46</v>
      </c>
      <c r="B526" s="5" t="s">
        <v>43</v>
      </c>
      <c r="C526" s="6" t="s">
        <v>16</v>
      </c>
      <c r="D526" s="7">
        <v>0.52983000000000002</v>
      </c>
      <c r="E526">
        <v>0.52715000000000001</v>
      </c>
      <c r="F526">
        <v>0.81098000000000003</v>
      </c>
      <c r="G526">
        <v>0.78317000000000003</v>
      </c>
      <c r="H526">
        <v>0.64071</v>
      </c>
      <c r="I526">
        <v>0.61802000000000001</v>
      </c>
      <c r="J526">
        <v>0.63248000000000004</v>
      </c>
      <c r="K526">
        <v>0.58782000000000001</v>
      </c>
      <c r="L526">
        <v>0.51071999999999995</v>
      </c>
      <c r="M526">
        <v>0.65659999999999996</v>
      </c>
      <c r="N526">
        <v>0.59677999999999998</v>
      </c>
      <c r="O526" s="8">
        <f>VLOOKUP($B526,floorspace!$B$4:$O$12,'shell factors calc'!O$2+1,FALSE)</f>
        <v>909.66033900000002</v>
      </c>
      <c r="P526" s="8">
        <f>VLOOKUP($B526,floorspace!$B$4:$O$12,'shell factors calc'!P$2+1,FALSE)</f>
        <v>881.97393799999998</v>
      </c>
      <c r="Q526" s="8">
        <f>VLOOKUP($B526,floorspace!$B$4:$O$12,'shell factors calc'!Q$2+1,FALSE)</f>
        <v>94.492217999999994</v>
      </c>
      <c r="R526" s="8">
        <f>VLOOKUP($B526,floorspace!$B$4:$O$12,'shell factors calc'!R$2+1,FALSE)</f>
        <v>206.62240600000001</v>
      </c>
      <c r="S526" s="8">
        <f>VLOOKUP($B526,floorspace!$B$4:$O$12,'shell factors calc'!S$2+1,FALSE)</f>
        <v>171.98699999999999</v>
      </c>
      <c r="T526" s="8">
        <f>VLOOKUP($B526,floorspace!$B$4:$O$12,'shell factors calc'!T$2+1,FALSE)</f>
        <v>684.67663600000003</v>
      </c>
      <c r="U526" s="8">
        <f>VLOOKUP($B526,floorspace!$B$4:$O$12,'shell factors calc'!U$2+1,FALSE)</f>
        <v>875.10882600000002</v>
      </c>
      <c r="V526" s="8">
        <f>VLOOKUP($B526,floorspace!$B$4:$O$12,'shell factors calc'!V$2+1,FALSE)</f>
        <v>703.37530500000003</v>
      </c>
      <c r="W526" s="8">
        <f>VLOOKUP($B526,floorspace!$B$4:$O$12,'shell factors calc'!W$2+1,FALSE)</f>
        <v>1558.8479</v>
      </c>
      <c r="X526" s="8">
        <f>VLOOKUP($B526,floorspace!$B$4:$O$12,'shell factors calc'!X$2+1,FALSE)</f>
        <v>1048.3610839999999</v>
      </c>
      <c r="Y526" s="8">
        <f>VLOOKUP($B526,floorspace!$B$4:$O$12,'shell factors calc'!Y$2+1,FALSE)</f>
        <v>336.39016700000002</v>
      </c>
      <c r="Z526">
        <f t="shared" si="8"/>
        <v>0.58500652772682604</v>
      </c>
    </row>
    <row r="527" spans="1:26" x14ac:dyDescent="0.2">
      <c r="A527" s="5" t="s">
        <v>46</v>
      </c>
      <c r="B527" s="5" t="s">
        <v>43</v>
      </c>
      <c r="C527" s="6" t="s">
        <v>17</v>
      </c>
      <c r="D527" s="7">
        <v>0.52085099999999995</v>
      </c>
      <c r="E527">
        <v>0.51805500000000004</v>
      </c>
      <c r="F527">
        <v>0.80694399999999999</v>
      </c>
      <c r="G527">
        <v>0.77941499999999997</v>
      </c>
      <c r="H527">
        <v>0.63291900000000001</v>
      </c>
      <c r="I527">
        <v>0.60942499999999999</v>
      </c>
      <c r="J527">
        <v>0.62485199999999996</v>
      </c>
      <c r="K527">
        <v>0.580341</v>
      </c>
      <c r="L527">
        <v>0.50087199999999998</v>
      </c>
      <c r="M527">
        <v>0.64883800000000003</v>
      </c>
      <c r="N527">
        <v>0.58850100000000005</v>
      </c>
      <c r="O527" s="8">
        <f>VLOOKUP($B527,floorspace!$B$4:$O$12,'shell factors calc'!O$2+1,FALSE)</f>
        <v>909.66033900000002</v>
      </c>
      <c r="P527" s="8">
        <f>VLOOKUP($B527,floorspace!$B$4:$O$12,'shell factors calc'!P$2+1,FALSE)</f>
        <v>881.97393799999998</v>
      </c>
      <c r="Q527" s="8">
        <f>VLOOKUP($B527,floorspace!$B$4:$O$12,'shell factors calc'!Q$2+1,FALSE)</f>
        <v>94.492217999999994</v>
      </c>
      <c r="R527" s="8">
        <f>VLOOKUP($B527,floorspace!$B$4:$O$12,'shell factors calc'!R$2+1,FALSE)</f>
        <v>206.62240600000001</v>
      </c>
      <c r="S527" s="8">
        <f>VLOOKUP($B527,floorspace!$B$4:$O$12,'shell factors calc'!S$2+1,FALSE)</f>
        <v>171.98699999999999</v>
      </c>
      <c r="T527" s="8">
        <f>VLOOKUP($B527,floorspace!$B$4:$O$12,'shell factors calc'!T$2+1,FALSE)</f>
        <v>684.67663600000003</v>
      </c>
      <c r="U527" s="8">
        <f>VLOOKUP($B527,floorspace!$B$4:$O$12,'shell factors calc'!U$2+1,FALSE)</f>
        <v>875.10882600000002</v>
      </c>
      <c r="V527" s="8">
        <f>VLOOKUP($B527,floorspace!$B$4:$O$12,'shell factors calc'!V$2+1,FALSE)</f>
        <v>703.37530500000003</v>
      </c>
      <c r="W527" s="8">
        <f>VLOOKUP($B527,floorspace!$B$4:$O$12,'shell factors calc'!W$2+1,FALSE)</f>
        <v>1558.8479</v>
      </c>
      <c r="X527" s="8">
        <f>VLOOKUP($B527,floorspace!$B$4:$O$12,'shell factors calc'!X$2+1,FALSE)</f>
        <v>1048.3610839999999</v>
      </c>
      <c r="Y527" s="8">
        <f>VLOOKUP($B527,floorspace!$B$4:$O$12,'shell factors calc'!Y$2+1,FALSE)</f>
        <v>336.39016700000002</v>
      </c>
      <c r="Z527">
        <f t="shared" si="8"/>
        <v>0.57660377413138675</v>
      </c>
    </row>
    <row r="528" spans="1:26" x14ac:dyDescent="0.2">
      <c r="A528" s="5" t="s">
        <v>46</v>
      </c>
      <c r="B528" s="5" t="s">
        <v>43</v>
      </c>
      <c r="C528" s="6" t="s">
        <v>18</v>
      </c>
      <c r="D528" s="7">
        <v>0.51202499999999995</v>
      </c>
      <c r="E528">
        <v>0.50911799999999996</v>
      </c>
      <c r="F528">
        <v>0.80292799999999998</v>
      </c>
      <c r="G528">
        <v>0.77567799999999998</v>
      </c>
      <c r="H528">
        <v>0.62522299999999997</v>
      </c>
      <c r="I528">
        <v>0.60094899999999996</v>
      </c>
      <c r="J528">
        <v>0.61731599999999998</v>
      </c>
      <c r="K528">
        <v>0.57295700000000005</v>
      </c>
      <c r="L528">
        <v>0.49121399999999998</v>
      </c>
      <c r="M528">
        <v>0.64116700000000004</v>
      </c>
      <c r="N528">
        <v>0.58033699999999999</v>
      </c>
      <c r="O528" s="8">
        <f>VLOOKUP($B528,floorspace!$B$4:$O$12,'shell factors calc'!O$2+1,FALSE)</f>
        <v>909.66033900000002</v>
      </c>
      <c r="P528" s="8">
        <f>VLOOKUP($B528,floorspace!$B$4:$O$12,'shell factors calc'!P$2+1,FALSE)</f>
        <v>881.97393799999998</v>
      </c>
      <c r="Q528" s="8">
        <f>VLOOKUP($B528,floorspace!$B$4:$O$12,'shell factors calc'!Q$2+1,FALSE)</f>
        <v>94.492217999999994</v>
      </c>
      <c r="R528" s="8">
        <f>VLOOKUP($B528,floorspace!$B$4:$O$12,'shell factors calc'!R$2+1,FALSE)</f>
        <v>206.62240600000001</v>
      </c>
      <c r="S528" s="8">
        <f>VLOOKUP($B528,floorspace!$B$4:$O$12,'shell factors calc'!S$2+1,FALSE)</f>
        <v>171.98699999999999</v>
      </c>
      <c r="T528" s="8">
        <f>VLOOKUP($B528,floorspace!$B$4:$O$12,'shell factors calc'!T$2+1,FALSE)</f>
        <v>684.67663600000003</v>
      </c>
      <c r="U528" s="8">
        <f>VLOOKUP($B528,floorspace!$B$4:$O$12,'shell factors calc'!U$2+1,FALSE)</f>
        <v>875.10882600000002</v>
      </c>
      <c r="V528" s="8">
        <f>VLOOKUP($B528,floorspace!$B$4:$O$12,'shell factors calc'!V$2+1,FALSE)</f>
        <v>703.37530500000003</v>
      </c>
      <c r="W528" s="8">
        <f>VLOOKUP($B528,floorspace!$B$4:$O$12,'shell factors calc'!W$2+1,FALSE)</f>
        <v>1558.8479</v>
      </c>
      <c r="X528" s="8">
        <f>VLOOKUP($B528,floorspace!$B$4:$O$12,'shell factors calc'!X$2+1,FALSE)</f>
        <v>1048.3610839999999</v>
      </c>
      <c r="Y528" s="8">
        <f>VLOOKUP($B528,floorspace!$B$4:$O$12,'shell factors calc'!Y$2+1,FALSE)</f>
        <v>336.39016700000002</v>
      </c>
      <c r="Z528">
        <f t="shared" si="8"/>
        <v>0.56832944886736636</v>
      </c>
    </row>
    <row r="529" spans="1:26" x14ac:dyDescent="0.2">
      <c r="A529" s="5" t="s">
        <v>46</v>
      </c>
      <c r="B529" s="5" t="s">
        <v>43</v>
      </c>
      <c r="C529" s="6" t="s">
        <v>19</v>
      </c>
      <c r="D529" s="7">
        <v>0.50334800000000002</v>
      </c>
      <c r="E529">
        <v>0.50033399999999995</v>
      </c>
      <c r="F529">
        <v>0.79893199999999998</v>
      </c>
      <c r="G529">
        <v>0.77195899999999995</v>
      </c>
      <c r="H529">
        <v>0.61762099999999998</v>
      </c>
      <c r="I529">
        <v>0.59259099999999998</v>
      </c>
      <c r="J529">
        <v>0.60987100000000005</v>
      </c>
      <c r="K529">
        <v>0.56566700000000003</v>
      </c>
      <c r="L529">
        <v>0.481742</v>
      </c>
      <c r="M529">
        <v>0.63358800000000004</v>
      </c>
      <c r="N529">
        <v>0.57228500000000004</v>
      </c>
      <c r="O529" s="8">
        <f>VLOOKUP($B529,floorspace!$B$4:$O$12,'shell factors calc'!O$2+1,FALSE)</f>
        <v>909.66033900000002</v>
      </c>
      <c r="P529" s="8">
        <f>VLOOKUP($B529,floorspace!$B$4:$O$12,'shell factors calc'!P$2+1,FALSE)</f>
        <v>881.97393799999998</v>
      </c>
      <c r="Q529" s="8">
        <f>VLOOKUP($B529,floorspace!$B$4:$O$12,'shell factors calc'!Q$2+1,FALSE)</f>
        <v>94.492217999999994</v>
      </c>
      <c r="R529" s="8">
        <f>VLOOKUP($B529,floorspace!$B$4:$O$12,'shell factors calc'!R$2+1,FALSE)</f>
        <v>206.62240600000001</v>
      </c>
      <c r="S529" s="8">
        <f>VLOOKUP($B529,floorspace!$B$4:$O$12,'shell factors calc'!S$2+1,FALSE)</f>
        <v>171.98699999999999</v>
      </c>
      <c r="T529" s="8">
        <f>VLOOKUP($B529,floorspace!$B$4:$O$12,'shell factors calc'!T$2+1,FALSE)</f>
        <v>684.67663600000003</v>
      </c>
      <c r="U529" s="8">
        <f>VLOOKUP($B529,floorspace!$B$4:$O$12,'shell factors calc'!U$2+1,FALSE)</f>
        <v>875.10882600000002</v>
      </c>
      <c r="V529" s="8">
        <f>VLOOKUP($B529,floorspace!$B$4:$O$12,'shell factors calc'!V$2+1,FALSE)</f>
        <v>703.37530500000003</v>
      </c>
      <c r="W529" s="8">
        <f>VLOOKUP($B529,floorspace!$B$4:$O$12,'shell factors calc'!W$2+1,FALSE)</f>
        <v>1558.8479</v>
      </c>
      <c r="X529" s="8">
        <f>VLOOKUP($B529,floorspace!$B$4:$O$12,'shell factors calc'!X$2+1,FALSE)</f>
        <v>1048.3610839999999</v>
      </c>
      <c r="Y529" s="8">
        <f>VLOOKUP($B529,floorspace!$B$4:$O$12,'shell factors calc'!Y$2+1,FALSE)</f>
        <v>336.39016700000002</v>
      </c>
      <c r="Z529">
        <f t="shared" si="8"/>
        <v>0.56018131946883942</v>
      </c>
    </row>
    <row r="530" spans="1:26" x14ac:dyDescent="0.2">
      <c r="A530" s="5" t="s">
        <v>46</v>
      </c>
      <c r="B530" s="5" t="s">
        <v>43</v>
      </c>
      <c r="C530" s="6" t="s">
        <v>20</v>
      </c>
      <c r="D530" s="7">
        <v>0.49481799999999998</v>
      </c>
      <c r="E530">
        <v>0.49170199999999997</v>
      </c>
      <c r="F530">
        <v>0.79495499999999997</v>
      </c>
      <c r="G530">
        <v>0.768258</v>
      </c>
      <c r="H530">
        <v>0.61011099999999996</v>
      </c>
      <c r="I530">
        <v>0.58434900000000001</v>
      </c>
      <c r="J530">
        <v>0.60251600000000005</v>
      </c>
      <c r="K530">
        <v>0.55847000000000002</v>
      </c>
      <c r="L530">
        <v>0.47245300000000001</v>
      </c>
      <c r="M530">
        <v>0.62609800000000004</v>
      </c>
      <c r="N530">
        <v>0.56434600000000001</v>
      </c>
      <c r="O530" s="8">
        <f>VLOOKUP($B530,floorspace!$B$4:$O$12,'shell factors calc'!O$2+1,FALSE)</f>
        <v>909.66033900000002</v>
      </c>
      <c r="P530" s="8">
        <f>VLOOKUP($B530,floorspace!$B$4:$O$12,'shell factors calc'!P$2+1,FALSE)</f>
        <v>881.97393799999998</v>
      </c>
      <c r="Q530" s="8">
        <f>VLOOKUP($B530,floorspace!$B$4:$O$12,'shell factors calc'!Q$2+1,FALSE)</f>
        <v>94.492217999999994</v>
      </c>
      <c r="R530" s="8">
        <f>VLOOKUP($B530,floorspace!$B$4:$O$12,'shell factors calc'!R$2+1,FALSE)</f>
        <v>206.62240600000001</v>
      </c>
      <c r="S530" s="8">
        <f>VLOOKUP($B530,floorspace!$B$4:$O$12,'shell factors calc'!S$2+1,FALSE)</f>
        <v>171.98699999999999</v>
      </c>
      <c r="T530" s="8">
        <f>VLOOKUP($B530,floorspace!$B$4:$O$12,'shell factors calc'!T$2+1,FALSE)</f>
        <v>684.67663600000003</v>
      </c>
      <c r="U530" s="8">
        <f>VLOOKUP($B530,floorspace!$B$4:$O$12,'shell factors calc'!U$2+1,FALSE)</f>
        <v>875.10882600000002</v>
      </c>
      <c r="V530" s="8">
        <f>VLOOKUP($B530,floorspace!$B$4:$O$12,'shell factors calc'!V$2+1,FALSE)</f>
        <v>703.37530500000003</v>
      </c>
      <c r="W530" s="8">
        <f>VLOOKUP($B530,floorspace!$B$4:$O$12,'shell factors calc'!W$2+1,FALSE)</f>
        <v>1558.8479</v>
      </c>
      <c r="X530" s="8">
        <f>VLOOKUP($B530,floorspace!$B$4:$O$12,'shell factors calc'!X$2+1,FALSE)</f>
        <v>1048.3610839999999</v>
      </c>
      <c r="Y530" s="8">
        <f>VLOOKUP($B530,floorspace!$B$4:$O$12,'shell factors calc'!Y$2+1,FALSE)</f>
        <v>336.39016700000002</v>
      </c>
      <c r="Z530">
        <f t="shared" si="8"/>
        <v>0.55215756932031812</v>
      </c>
    </row>
    <row r="531" spans="1:26" x14ac:dyDescent="0.2">
      <c r="A531" s="5" t="s">
        <v>46</v>
      </c>
      <c r="B531" s="5" t="s">
        <v>43</v>
      </c>
      <c r="C531" s="6" t="s">
        <v>21</v>
      </c>
      <c r="D531" s="7">
        <v>0.486433</v>
      </c>
      <c r="E531">
        <v>0.48321999999999998</v>
      </c>
      <c r="F531">
        <v>0.79099900000000001</v>
      </c>
      <c r="G531">
        <v>0.76457399999999998</v>
      </c>
      <c r="H531">
        <v>0.60269200000000001</v>
      </c>
      <c r="I531">
        <v>0.57622200000000001</v>
      </c>
      <c r="J531">
        <v>0.59524900000000003</v>
      </c>
      <c r="K531">
        <v>0.55136499999999999</v>
      </c>
      <c r="L531">
        <v>0.46334199999999998</v>
      </c>
      <c r="M531">
        <v>0.61869600000000002</v>
      </c>
      <c r="N531">
        <v>0.55651700000000004</v>
      </c>
      <c r="O531" s="8">
        <f>VLOOKUP($B531,floorspace!$B$4:$O$12,'shell factors calc'!O$2+1,FALSE)</f>
        <v>909.66033900000002</v>
      </c>
      <c r="P531" s="8">
        <f>VLOOKUP($B531,floorspace!$B$4:$O$12,'shell factors calc'!P$2+1,FALSE)</f>
        <v>881.97393799999998</v>
      </c>
      <c r="Q531" s="8">
        <f>VLOOKUP($B531,floorspace!$B$4:$O$12,'shell factors calc'!Q$2+1,FALSE)</f>
        <v>94.492217999999994</v>
      </c>
      <c r="R531" s="8">
        <f>VLOOKUP($B531,floorspace!$B$4:$O$12,'shell factors calc'!R$2+1,FALSE)</f>
        <v>206.62240600000001</v>
      </c>
      <c r="S531" s="8">
        <f>VLOOKUP($B531,floorspace!$B$4:$O$12,'shell factors calc'!S$2+1,FALSE)</f>
        <v>171.98699999999999</v>
      </c>
      <c r="T531" s="8">
        <f>VLOOKUP($B531,floorspace!$B$4:$O$12,'shell factors calc'!T$2+1,FALSE)</f>
        <v>684.67663600000003</v>
      </c>
      <c r="U531" s="8">
        <f>VLOOKUP($B531,floorspace!$B$4:$O$12,'shell factors calc'!U$2+1,FALSE)</f>
        <v>875.10882600000002</v>
      </c>
      <c r="V531" s="8">
        <f>VLOOKUP($B531,floorspace!$B$4:$O$12,'shell factors calc'!V$2+1,FALSE)</f>
        <v>703.37530500000003</v>
      </c>
      <c r="W531" s="8">
        <f>VLOOKUP($B531,floorspace!$B$4:$O$12,'shell factors calc'!W$2+1,FALSE)</f>
        <v>1558.8479</v>
      </c>
      <c r="X531" s="8">
        <f>VLOOKUP($B531,floorspace!$B$4:$O$12,'shell factors calc'!X$2+1,FALSE)</f>
        <v>1048.3610839999999</v>
      </c>
      <c r="Y531" s="8">
        <f>VLOOKUP($B531,floorspace!$B$4:$O$12,'shell factors calc'!Y$2+1,FALSE)</f>
        <v>336.39016700000002</v>
      </c>
      <c r="Z531">
        <f t="shared" si="8"/>
        <v>0.54425595483703582</v>
      </c>
    </row>
    <row r="532" spans="1:26" x14ac:dyDescent="0.2">
      <c r="A532" s="5" t="s">
        <v>46</v>
      </c>
      <c r="B532" s="5" t="s">
        <v>43</v>
      </c>
      <c r="C532" s="6" t="s">
        <v>22</v>
      </c>
      <c r="D532" s="7">
        <v>0.47818899999999998</v>
      </c>
      <c r="E532">
        <v>0.474883</v>
      </c>
      <c r="F532">
        <v>0.78706200000000004</v>
      </c>
      <c r="G532">
        <v>0.76090800000000003</v>
      </c>
      <c r="H532">
        <v>0.595364</v>
      </c>
      <c r="I532">
        <v>0.56820700000000002</v>
      </c>
      <c r="J532">
        <v>0.58806999999999998</v>
      </c>
      <c r="K532">
        <v>0.54434899999999997</v>
      </c>
      <c r="L532">
        <v>0.45440799999999998</v>
      </c>
      <c r="M532">
        <v>0.61138199999999998</v>
      </c>
      <c r="N532">
        <v>0.54879599999999995</v>
      </c>
      <c r="O532" s="8">
        <f>VLOOKUP($B532,floorspace!$B$4:$O$12,'shell factors calc'!O$2+1,FALSE)</f>
        <v>909.66033900000002</v>
      </c>
      <c r="P532" s="8">
        <f>VLOOKUP($B532,floorspace!$B$4:$O$12,'shell factors calc'!P$2+1,FALSE)</f>
        <v>881.97393799999998</v>
      </c>
      <c r="Q532" s="8">
        <f>VLOOKUP($B532,floorspace!$B$4:$O$12,'shell factors calc'!Q$2+1,FALSE)</f>
        <v>94.492217999999994</v>
      </c>
      <c r="R532" s="8">
        <f>VLOOKUP($B532,floorspace!$B$4:$O$12,'shell factors calc'!R$2+1,FALSE)</f>
        <v>206.62240600000001</v>
      </c>
      <c r="S532" s="8">
        <f>VLOOKUP($B532,floorspace!$B$4:$O$12,'shell factors calc'!S$2+1,FALSE)</f>
        <v>171.98699999999999</v>
      </c>
      <c r="T532" s="8">
        <f>VLOOKUP($B532,floorspace!$B$4:$O$12,'shell factors calc'!T$2+1,FALSE)</f>
        <v>684.67663600000003</v>
      </c>
      <c r="U532" s="8">
        <f>VLOOKUP($B532,floorspace!$B$4:$O$12,'shell factors calc'!U$2+1,FALSE)</f>
        <v>875.10882600000002</v>
      </c>
      <c r="V532" s="8">
        <f>VLOOKUP($B532,floorspace!$B$4:$O$12,'shell factors calc'!V$2+1,FALSE)</f>
        <v>703.37530500000003</v>
      </c>
      <c r="W532" s="8">
        <f>VLOOKUP($B532,floorspace!$B$4:$O$12,'shell factors calc'!W$2+1,FALSE)</f>
        <v>1558.8479</v>
      </c>
      <c r="X532" s="8">
        <f>VLOOKUP($B532,floorspace!$B$4:$O$12,'shell factors calc'!X$2+1,FALSE)</f>
        <v>1048.3610839999999</v>
      </c>
      <c r="Y532" s="8">
        <f>VLOOKUP($B532,floorspace!$B$4:$O$12,'shell factors calc'!Y$2+1,FALSE)</f>
        <v>336.39016700000002</v>
      </c>
      <c r="Z532">
        <f t="shared" si="8"/>
        <v>0.53647454512623949</v>
      </c>
    </row>
    <row r="533" spans="1:26" x14ac:dyDescent="0.2">
      <c r="A533" s="5" t="s">
        <v>46</v>
      </c>
      <c r="B533" s="5" t="s">
        <v>43</v>
      </c>
      <c r="C533" s="6" t="s">
        <v>23</v>
      </c>
      <c r="D533" s="7">
        <v>0.470086</v>
      </c>
      <c r="E533">
        <v>0.46668999999999999</v>
      </c>
      <c r="F533">
        <v>0.78314499999999998</v>
      </c>
      <c r="G533">
        <v>0.75726000000000004</v>
      </c>
      <c r="H533">
        <v>0.58812399999999998</v>
      </c>
      <c r="I533">
        <v>0.56030500000000005</v>
      </c>
      <c r="J533">
        <v>0.58097799999999999</v>
      </c>
      <c r="K533">
        <v>0.53742299999999998</v>
      </c>
      <c r="L533">
        <v>0.44564599999999999</v>
      </c>
      <c r="M533">
        <v>0.60415399999999997</v>
      </c>
      <c r="N533">
        <v>0.54118299999999997</v>
      </c>
      <c r="O533" s="8">
        <f>VLOOKUP($B533,floorspace!$B$4:$O$12,'shell factors calc'!O$2+1,FALSE)</f>
        <v>909.66033900000002</v>
      </c>
      <c r="P533" s="8">
        <f>VLOOKUP($B533,floorspace!$B$4:$O$12,'shell factors calc'!P$2+1,FALSE)</f>
        <v>881.97393799999998</v>
      </c>
      <c r="Q533" s="8">
        <f>VLOOKUP($B533,floorspace!$B$4:$O$12,'shell factors calc'!Q$2+1,FALSE)</f>
        <v>94.492217999999994</v>
      </c>
      <c r="R533" s="8">
        <f>VLOOKUP($B533,floorspace!$B$4:$O$12,'shell factors calc'!R$2+1,FALSE)</f>
        <v>206.62240600000001</v>
      </c>
      <c r="S533" s="8">
        <f>VLOOKUP($B533,floorspace!$B$4:$O$12,'shell factors calc'!S$2+1,FALSE)</f>
        <v>171.98699999999999</v>
      </c>
      <c r="T533" s="8">
        <f>VLOOKUP($B533,floorspace!$B$4:$O$12,'shell factors calc'!T$2+1,FALSE)</f>
        <v>684.67663600000003</v>
      </c>
      <c r="U533" s="8">
        <f>VLOOKUP($B533,floorspace!$B$4:$O$12,'shell factors calc'!U$2+1,FALSE)</f>
        <v>875.10882600000002</v>
      </c>
      <c r="V533" s="8">
        <f>VLOOKUP($B533,floorspace!$B$4:$O$12,'shell factors calc'!V$2+1,FALSE)</f>
        <v>703.37530500000003</v>
      </c>
      <c r="W533" s="8">
        <f>VLOOKUP($B533,floorspace!$B$4:$O$12,'shell factors calc'!W$2+1,FALSE)</f>
        <v>1558.8479</v>
      </c>
      <c r="X533" s="8">
        <f>VLOOKUP($B533,floorspace!$B$4:$O$12,'shell factors calc'!X$2+1,FALSE)</f>
        <v>1048.3610839999999</v>
      </c>
      <c r="Y533" s="8">
        <f>VLOOKUP($B533,floorspace!$B$4:$O$12,'shell factors calc'!Y$2+1,FALSE)</f>
        <v>336.39016700000002</v>
      </c>
      <c r="Z533">
        <f t="shared" si="8"/>
        <v>0.52881191055970844</v>
      </c>
    </row>
    <row r="534" spans="1:26" x14ac:dyDescent="0.2">
      <c r="A534" s="5" t="s">
        <v>46</v>
      </c>
      <c r="B534" s="5" t="s">
        <v>43</v>
      </c>
      <c r="C534" s="6" t="s">
        <v>24</v>
      </c>
      <c r="D534" s="7">
        <v>0.46211999999999998</v>
      </c>
      <c r="E534">
        <v>0.45863900000000002</v>
      </c>
      <c r="F534">
        <v>0.77924700000000002</v>
      </c>
      <c r="G534">
        <v>0.75362899999999999</v>
      </c>
      <c r="H534">
        <v>0.58097299999999996</v>
      </c>
      <c r="I534">
        <v>0.552512</v>
      </c>
      <c r="J534">
        <v>0.57397100000000001</v>
      </c>
      <c r="K534">
        <v>0.530586</v>
      </c>
      <c r="L534">
        <v>0.437052</v>
      </c>
      <c r="M534">
        <v>0.59701199999999999</v>
      </c>
      <c r="N534">
        <v>0.53367500000000001</v>
      </c>
      <c r="O534" s="8">
        <f>VLOOKUP($B534,floorspace!$B$4:$O$12,'shell factors calc'!O$2+1,FALSE)</f>
        <v>909.66033900000002</v>
      </c>
      <c r="P534" s="8">
        <f>VLOOKUP($B534,floorspace!$B$4:$O$12,'shell factors calc'!P$2+1,FALSE)</f>
        <v>881.97393799999998</v>
      </c>
      <c r="Q534" s="8">
        <f>VLOOKUP($B534,floorspace!$B$4:$O$12,'shell factors calc'!Q$2+1,FALSE)</f>
        <v>94.492217999999994</v>
      </c>
      <c r="R534" s="8">
        <f>VLOOKUP($B534,floorspace!$B$4:$O$12,'shell factors calc'!R$2+1,FALSE)</f>
        <v>206.62240600000001</v>
      </c>
      <c r="S534" s="8">
        <f>VLOOKUP($B534,floorspace!$B$4:$O$12,'shell factors calc'!S$2+1,FALSE)</f>
        <v>171.98699999999999</v>
      </c>
      <c r="T534" s="8">
        <f>VLOOKUP($B534,floorspace!$B$4:$O$12,'shell factors calc'!T$2+1,FALSE)</f>
        <v>684.67663600000003</v>
      </c>
      <c r="U534" s="8">
        <f>VLOOKUP($B534,floorspace!$B$4:$O$12,'shell factors calc'!U$2+1,FALSE)</f>
        <v>875.10882600000002</v>
      </c>
      <c r="V534" s="8">
        <f>VLOOKUP($B534,floorspace!$B$4:$O$12,'shell factors calc'!V$2+1,FALSE)</f>
        <v>703.37530500000003</v>
      </c>
      <c r="W534" s="8">
        <f>VLOOKUP($B534,floorspace!$B$4:$O$12,'shell factors calc'!W$2+1,FALSE)</f>
        <v>1558.8479</v>
      </c>
      <c r="X534" s="8">
        <f>VLOOKUP($B534,floorspace!$B$4:$O$12,'shell factors calc'!X$2+1,FALSE)</f>
        <v>1048.3610839999999</v>
      </c>
      <c r="Y534" s="8">
        <f>VLOOKUP($B534,floorspace!$B$4:$O$12,'shell factors calc'!Y$2+1,FALSE)</f>
        <v>336.39016700000002</v>
      </c>
      <c r="Z534">
        <f t="shared" si="8"/>
        <v>0.52126564618682847</v>
      </c>
    </row>
    <row r="535" spans="1:26" x14ac:dyDescent="0.2">
      <c r="A535" s="5" t="s">
        <v>46</v>
      </c>
      <c r="B535" s="5" t="s">
        <v>43</v>
      </c>
      <c r="C535" s="6" t="s">
        <v>25</v>
      </c>
      <c r="D535" s="7">
        <v>0.45428800000000003</v>
      </c>
      <c r="E535">
        <v>0.45072600000000002</v>
      </c>
      <c r="F535">
        <v>0.77536899999999997</v>
      </c>
      <c r="G535">
        <v>0.75001600000000002</v>
      </c>
      <c r="H535">
        <v>0.57390799999999997</v>
      </c>
      <c r="I535">
        <v>0.54482799999999998</v>
      </c>
      <c r="J535">
        <v>0.56704900000000003</v>
      </c>
      <c r="K535">
        <v>0.52383500000000005</v>
      </c>
      <c r="L535">
        <v>0.42862499999999998</v>
      </c>
      <c r="M535">
        <v>0.58995399999999998</v>
      </c>
      <c r="N535">
        <v>0.52627100000000004</v>
      </c>
      <c r="O535" s="8">
        <f>VLOOKUP($B535,floorspace!$B$4:$O$12,'shell factors calc'!O$2+1,FALSE)</f>
        <v>909.66033900000002</v>
      </c>
      <c r="P535" s="8">
        <f>VLOOKUP($B535,floorspace!$B$4:$O$12,'shell factors calc'!P$2+1,FALSE)</f>
        <v>881.97393799999998</v>
      </c>
      <c r="Q535" s="8">
        <f>VLOOKUP($B535,floorspace!$B$4:$O$12,'shell factors calc'!Q$2+1,FALSE)</f>
        <v>94.492217999999994</v>
      </c>
      <c r="R535" s="8">
        <f>VLOOKUP($B535,floorspace!$B$4:$O$12,'shell factors calc'!R$2+1,FALSE)</f>
        <v>206.62240600000001</v>
      </c>
      <c r="S535" s="8">
        <f>VLOOKUP($B535,floorspace!$B$4:$O$12,'shell factors calc'!S$2+1,FALSE)</f>
        <v>171.98699999999999</v>
      </c>
      <c r="T535" s="8">
        <f>VLOOKUP($B535,floorspace!$B$4:$O$12,'shell factors calc'!T$2+1,FALSE)</f>
        <v>684.67663600000003</v>
      </c>
      <c r="U535" s="8">
        <f>VLOOKUP($B535,floorspace!$B$4:$O$12,'shell factors calc'!U$2+1,FALSE)</f>
        <v>875.10882600000002</v>
      </c>
      <c r="V535" s="8">
        <f>VLOOKUP($B535,floorspace!$B$4:$O$12,'shell factors calc'!V$2+1,FALSE)</f>
        <v>703.37530500000003</v>
      </c>
      <c r="W535" s="8">
        <f>VLOOKUP($B535,floorspace!$B$4:$O$12,'shell factors calc'!W$2+1,FALSE)</f>
        <v>1558.8479</v>
      </c>
      <c r="X535" s="8">
        <f>VLOOKUP($B535,floorspace!$B$4:$O$12,'shell factors calc'!X$2+1,FALSE)</f>
        <v>1048.3610839999999</v>
      </c>
      <c r="Y535" s="8">
        <f>VLOOKUP($B535,floorspace!$B$4:$O$12,'shell factors calc'!Y$2+1,FALSE)</f>
        <v>336.39016700000002</v>
      </c>
      <c r="Z535">
        <f t="shared" si="8"/>
        <v>0.51383406910372087</v>
      </c>
    </row>
    <row r="536" spans="1:26" x14ac:dyDescent="0.2">
      <c r="A536" s="5" t="s">
        <v>46</v>
      </c>
      <c r="B536" s="5" t="s">
        <v>43</v>
      </c>
      <c r="C536" s="6" t="s">
        <v>26</v>
      </c>
      <c r="D536" s="7">
        <v>0.44658999999999999</v>
      </c>
      <c r="E536">
        <v>0.44295000000000001</v>
      </c>
      <c r="F536">
        <v>0.77151000000000003</v>
      </c>
      <c r="G536">
        <v>0.74641999999999997</v>
      </c>
      <c r="H536">
        <v>0.56693000000000005</v>
      </c>
      <c r="I536">
        <v>0.53725000000000001</v>
      </c>
      <c r="J536">
        <v>0.56020999999999999</v>
      </c>
      <c r="K536">
        <v>0.51717000000000002</v>
      </c>
      <c r="L536">
        <v>0.42036000000000001</v>
      </c>
      <c r="M536">
        <v>0.58298000000000005</v>
      </c>
      <c r="N536">
        <v>0.51897000000000004</v>
      </c>
      <c r="O536" s="8">
        <f>VLOOKUP($B536,floorspace!$B$4:$O$12,'shell factors calc'!O$2+1,FALSE)</f>
        <v>909.66033900000002</v>
      </c>
      <c r="P536" s="8">
        <f>VLOOKUP($B536,floorspace!$B$4:$O$12,'shell factors calc'!P$2+1,FALSE)</f>
        <v>881.97393799999998</v>
      </c>
      <c r="Q536" s="8">
        <f>VLOOKUP($B536,floorspace!$B$4:$O$12,'shell factors calc'!Q$2+1,FALSE)</f>
        <v>94.492217999999994</v>
      </c>
      <c r="R536" s="8">
        <f>VLOOKUP($B536,floorspace!$B$4:$O$12,'shell factors calc'!R$2+1,FALSE)</f>
        <v>206.62240600000001</v>
      </c>
      <c r="S536" s="8">
        <f>VLOOKUP($B536,floorspace!$B$4:$O$12,'shell factors calc'!S$2+1,FALSE)</f>
        <v>171.98699999999999</v>
      </c>
      <c r="T536" s="8">
        <f>VLOOKUP($B536,floorspace!$B$4:$O$12,'shell factors calc'!T$2+1,FALSE)</f>
        <v>684.67663600000003</v>
      </c>
      <c r="U536" s="8">
        <f>VLOOKUP($B536,floorspace!$B$4:$O$12,'shell factors calc'!U$2+1,FALSE)</f>
        <v>875.10882600000002</v>
      </c>
      <c r="V536" s="8">
        <f>VLOOKUP($B536,floorspace!$B$4:$O$12,'shell factors calc'!V$2+1,FALSE)</f>
        <v>703.37530500000003</v>
      </c>
      <c r="W536" s="8">
        <f>VLOOKUP($B536,floorspace!$B$4:$O$12,'shell factors calc'!W$2+1,FALSE)</f>
        <v>1558.8479</v>
      </c>
      <c r="X536" s="8">
        <f>VLOOKUP($B536,floorspace!$B$4:$O$12,'shell factors calc'!X$2+1,FALSE)</f>
        <v>1048.3610839999999</v>
      </c>
      <c r="Y536" s="8">
        <f>VLOOKUP($B536,floorspace!$B$4:$O$12,'shell factors calc'!Y$2+1,FALSE)</f>
        <v>336.39016700000002</v>
      </c>
      <c r="Z536">
        <f t="shared" si="8"/>
        <v>0.50651544659459435</v>
      </c>
    </row>
    <row r="537" spans="1:26" x14ac:dyDescent="0.2">
      <c r="A537" s="5" t="s">
        <v>46</v>
      </c>
      <c r="B537" s="5" t="s">
        <v>43</v>
      </c>
      <c r="C537" s="6" t="s">
        <v>27</v>
      </c>
      <c r="D537" s="7">
        <v>0.43752200000000002</v>
      </c>
      <c r="E537">
        <v>0.43375900000000001</v>
      </c>
      <c r="F537">
        <v>0.76766999999999996</v>
      </c>
      <c r="G537">
        <v>0.74267899999999998</v>
      </c>
      <c r="H537">
        <v>0.55912099999999998</v>
      </c>
      <c r="I537">
        <v>0.528613</v>
      </c>
      <c r="J537">
        <v>0.55256499999999997</v>
      </c>
      <c r="K537">
        <v>0.50966800000000001</v>
      </c>
      <c r="L537">
        <v>0.41036299999999998</v>
      </c>
      <c r="M537">
        <v>0.57520300000000002</v>
      </c>
      <c r="N537">
        <v>0.51065199999999999</v>
      </c>
      <c r="O537" s="8">
        <f>VLOOKUP($B537,floorspace!$B$4:$O$12,'shell factors calc'!O$2+1,FALSE)</f>
        <v>909.66033900000002</v>
      </c>
      <c r="P537" s="8">
        <f>VLOOKUP($B537,floorspace!$B$4:$O$12,'shell factors calc'!P$2+1,FALSE)</f>
        <v>881.97393799999998</v>
      </c>
      <c r="Q537" s="8">
        <f>VLOOKUP($B537,floorspace!$B$4:$O$12,'shell factors calc'!Q$2+1,FALSE)</f>
        <v>94.492217999999994</v>
      </c>
      <c r="R537" s="8">
        <f>VLOOKUP($B537,floorspace!$B$4:$O$12,'shell factors calc'!R$2+1,FALSE)</f>
        <v>206.62240600000001</v>
      </c>
      <c r="S537" s="8">
        <f>VLOOKUP($B537,floorspace!$B$4:$O$12,'shell factors calc'!S$2+1,FALSE)</f>
        <v>171.98699999999999</v>
      </c>
      <c r="T537" s="8">
        <f>VLOOKUP($B537,floorspace!$B$4:$O$12,'shell factors calc'!T$2+1,FALSE)</f>
        <v>684.67663600000003</v>
      </c>
      <c r="U537" s="8">
        <f>VLOOKUP($B537,floorspace!$B$4:$O$12,'shell factors calc'!U$2+1,FALSE)</f>
        <v>875.10882600000002</v>
      </c>
      <c r="V537" s="8">
        <f>VLOOKUP($B537,floorspace!$B$4:$O$12,'shell factors calc'!V$2+1,FALSE)</f>
        <v>703.37530500000003</v>
      </c>
      <c r="W537" s="8">
        <f>VLOOKUP($B537,floorspace!$B$4:$O$12,'shell factors calc'!W$2+1,FALSE)</f>
        <v>1558.8479</v>
      </c>
      <c r="X537" s="8">
        <f>VLOOKUP($B537,floorspace!$B$4:$O$12,'shell factors calc'!X$2+1,FALSE)</f>
        <v>1048.3610839999999</v>
      </c>
      <c r="Y537" s="8">
        <f>VLOOKUP($B537,floorspace!$B$4:$O$12,'shell factors calc'!Y$2+1,FALSE)</f>
        <v>336.39016700000002</v>
      </c>
      <c r="Z537">
        <f t="shared" si="8"/>
        <v>0.49805002339084725</v>
      </c>
    </row>
    <row r="538" spans="1:26" x14ac:dyDescent="0.2">
      <c r="A538" s="5" t="s">
        <v>46</v>
      </c>
      <c r="B538" s="5" t="s">
        <v>43</v>
      </c>
      <c r="C538" s="6" t="s">
        <v>28</v>
      </c>
      <c r="D538" s="7">
        <v>0.42863800000000002</v>
      </c>
      <c r="E538">
        <v>0.42475800000000002</v>
      </c>
      <c r="F538">
        <v>0.763849</v>
      </c>
      <c r="G538">
        <v>0.73895599999999995</v>
      </c>
      <c r="H538">
        <v>0.55142000000000002</v>
      </c>
      <c r="I538">
        <v>0.52011499999999999</v>
      </c>
      <c r="J538">
        <v>0.54502499999999998</v>
      </c>
      <c r="K538">
        <v>0.502274</v>
      </c>
      <c r="L538">
        <v>0.40060400000000002</v>
      </c>
      <c r="M538">
        <v>0.56753100000000001</v>
      </c>
      <c r="N538">
        <v>0.502467</v>
      </c>
      <c r="O538" s="8">
        <f>VLOOKUP($B538,floorspace!$B$4:$O$12,'shell factors calc'!O$2+1,FALSE)</f>
        <v>909.66033900000002</v>
      </c>
      <c r="P538" s="8">
        <f>VLOOKUP($B538,floorspace!$B$4:$O$12,'shell factors calc'!P$2+1,FALSE)</f>
        <v>881.97393799999998</v>
      </c>
      <c r="Q538" s="8">
        <f>VLOOKUP($B538,floorspace!$B$4:$O$12,'shell factors calc'!Q$2+1,FALSE)</f>
        <v>94.492217999999994</v>
      </c>
      <c r="R538" s="8">
        <f>VLOOKUP($B538,floorspace!$B$4:$O$12,'shell factors calc'!R$2+1,FALSE)</f>
        <v>206.62240600000001</v>
      </c>
      <c r="S538" s="8">
        <f>VLOOKUP($B538,floorspace!$B$4:$O$12,'shell factors calc'!S$2+1,FALSE)</f>
        <v>171.98699999999999</v>
      </c>
      <c r="T538" s="8">
        <f>VLOOKUP($B538,floorspace!$B$4:$O$12,'shell factors calc'!T$2+1,FALSE)</f>
        <v>684.67663600000003</v>
      </c>
      <c r="U538" s="8">
        <f>VLOOKUP($B538,floorspace!$B$4:$O$12,'shell factors calc'!U$2+1,FALSE)</f>
        <v>875.10882600000002</v>
      </c>
      <c r="V538" s="8">
        <f>VLOOKUP($B538,floorspace!$B$4:$O$12,'shell factors calc'!V$2+1,FALSE)</f>
        <v>703.37530500000003</v>
      </c>
      <c r="W538" s="8">
        <f>VLOOKUP($B538,floorspace!$B$4:$O$12,'shell factors calc'!W$2+1,FALSE)</f>
        <v>1558.8479</v>
      </c>
      <c r="X538" s="8">
        <f>VLOOKUP($B538,floorspace!$B$4:$O$12,'shell factors calc'!X$2+1,FALSE)</f>
        <v>1048.3610839999999</v>
      </c>
      <c r="Y538" s="8">
        <f>VLOOKUP($B538,floorspace!$B$4:$O$12,'shell factors calc'!Y$2+1,FALSE)</f>
        <v>336.39016700000002</v>
      </c>
      <c r="Z538">
        <f t="shared" si="8"/>
        <v>0.48973823559668328</v>
      </c>
    </row>
    <row r="539" spans="1:26" x14ac:dyDescent="0.2">
      <c r="A539" s="5" t="s">
        <v>46</v>
      </c>
      <c r="B539" s="5" t="s">
        <v>43</v>
      </c>
      <c r="C539" s="6" t="s">
        <v>29</v>
      </c>
      <c r="D539" s="7">
        <v>0.41993399999999997</v>
      </c>
      <c r="E539">
        <v>0.41594399999999998</v>
      </c>
      <c r="F539">
        <v>0.76004799999999995</v>
      </c>
      <c r="G539">
        <v>0.73525200000000002</v>
      </c>
      <c r="H539">
        <v>0.543825</v>
      </c>
      <c r="I539">
        <v>0.51175400000000004</v>
      </c>
      <c r="J539">
        <v>0.53758700000000004</v>
      </c>
      <c r="K539">
        <v>0.49498799999999998</v>
      </c>
      <c r="L539">
        <v>0.39107700000000001</v>
      </c>
      <c r="M539">
        <v>0.55996000000000001</v>
      </c>
      <c r="N539">
        <v>0.49441400000000002</v>
      </c>
      <c r="O539" s="8">
        <f>VLOOKUP($B539,floorspace!$B$4:$O$12,'shell factors calc'!O$2+1,FALSE)</f>
        <v>909.66033900000002</v>
      </c>
      <c r="P539" s="8">
        <f>VLOOKUP($B539,floorspace!$B$4:$O$12,'shell factors calc'!P$2+1,FALSE)</f>
        <v>881.97393799999998</v>
      </c>
      <c r="Q539" s="8">
        <f>VLOOKUP($B539,floorspace!$B$4:$O$12,'shell factors calc'!Q$2+1,FALSE)</f>
        <v>94.492217999999994</v>
      </c>
      <c r="R539" s="8">
        <f>VLOOKUP($B539,floorspace!$B$4:$O$12,'shell factors calc'!R$2+1,FALSE)</f>
        <v>206.62240600000001</v>
      </c>
      <c r="S539" s="8">
        <f>VLOOKUP($B539,floorspace!$B$4:$O$12,'shell factors calc'!S$2+1,FALSE)</f>
        <v>171.98699999999999</v>
      </c>
      <c r="T539" s="8">
        <f>VLOOKUP($B539,floorspace!$B$4:$O$12,'shell factors calc'!T$2+1,FALSE)</f>
        <v>684.67663600000003</v>
      </c>
      <c r="U539" s="8">
        <f>VLOOKUP($B539,floorspace!$B$4:$O$12,'shell factors calc'!U$2+1,FALSE)</f>
        <v>875.10882600000002</v>
      </c>
      <c r="V539" s="8">
        <f>VLOOKUP($B539,floorspace!$B$4:$O$12,'shell factors calc'!V$2+1,FALSE)</f>
        <v>703.37530500000003</v>
      </c>
      <c r="W539" s="8">
        <f>VLOOKUP($B539,floorspace!$B$4:$O$12,'shell factors calc'!W$2+1,FALSE)</f>
        <v>1558.8479</v>
      </c>
      <c r="X539" s="8">
        <f>VLOOKUP($B539,floorspace!$B$4:$O$12,'shell factors calc'!X$2+1,FALSE)</f>
        <v>1048.3610839999999</v>
      </c>
      <c r="Y539" s="8">
        <f>VLOOKUP($B539,floorspace!$B$4:$O$12,'shell factors calc'!Y$2+1,FALSE)</f>
        <v>336.39016700000002</v>
      </c>
      <c r="Z539">
        <f t="shared" si="8"/>
        <v>0.48157684356307046</v>
      </c>
    </row>
    <row r="540" spans="1:26" x14ac:dyDescent="0.2">
      <c r="A540" s="5" t="s">
        <v>46</v>
      </c>
      <c r="B540" s="5" t="s">
        <v>43</v>
      </c>
      <c r="C540" s="6" t="s">
        <v>30</v>
      </c>
      <c r="D540" s="7">
        <v>0.41140700000000002</v>
      </c>
      <c r="E540">
        <v>0.40731299999999998</v>
      </c>
      <c r="F540">
        <v>0.75626499999999997</v>
      </c>
      <c r="G540">
        <v>0.73156699999999997</v>
      </c>
      <c r="H540">
        <v>0.53633500000000001</v>
      </c>
      <c r="I540">
        <v>0.50352699999999995</v>
      </c>
      <c r="J540">
        <v>0.53025100000000003</v>
      </c>
      <c r="K540">
        <v>0.48780800000000002</v>
      </c>
      <c r="L540">
        <v>0.38177699999999998</v>
      </c>
      <c r="M540">
        <v>0.55249099999999995</v>
      </c>
      <c r="N540">
        <v>0.486489</v>
      </c>
      <c r="O540" s="8">
        <f>VLOOKUP($B540,floorspace!$B$4:$O$12,'shell factors calc'!O$2+1,FALSE)</f>
        <v>909.66033900000002</v>
      </c>
      <c r="P540" s="8">
        <f>VLOOKUP($B540,floorspace!$B$4:$O$12,'shell factors calc'!P$2+1,FALSE)</f>
        <v>881.97393799999998</v>
      </c>
      <c r="Q540" s="8">
        <f>VLOOKUP($B540,floorspace!$B$4:$O$12,'shell factors calc'!Q$2+1,FALSE)</f>
        <v>94.492217999999994</v>
      </c>
      <c r="R540" s="8">
        <f>VLOOKUP($B540,floorspace!$B$4:$O$12,'shell factors calc'!R$2+1,FALSE)</f>
        <v>206.62240600000001</v>
      </c>
      <c r="S540" s="8">
        <f>VLOOKUP($B540,floorspace!$B$4:$O$12,'shell factors calc'!S$2+1,FALSE)</f>
        <v>171.98699999999999</v>
      </c>
      <c r="T540" s="8">
        <f>VLOOKUP($B540,floorspace!$B$4:$O$12,'shell factors calc'!T$2+1,FALSE)</f>
        <v>684.67663600000003</v>
      </c>
      <c r="U540" s="8">
        <f>VLOOKUP($B540,floorspace!$B$4:$O$12,'shell factors calc'!U$2+1,FALSE)</f>
        <v>875.10882600000002</v>
      </c>
      <c r="V540" s="8">
        <f>VLOOKUP($B540,floorspace!$B$4:$O$12,'shell factors calc'!V$2+1,FALSE)</f>
        <v>703.37530500000003</v>
      </c>
      <c r="W540" s="8">
        <f>VLOOKUP($B540,floorspace!$B$4:$O$12,'shell factors calc'!W$2+1,FALSE)</f>
        <v>1558.8479</v>
      </c>
      <c r="X540" s="8">
        <f>VLOOKUP($B540,floorspace!$B$4:$O$12,'shell factors calc'!X$2+1,FALSE)</f>
        <v>1048.3610839999999</v>
      </c>
      <c r="Y540" s="8">
        <f>VLOOKUP($B540,floorspace!$B$4:$O$12,'shell factors calc'!Y$2+1,FALSE)</f>
        <v>336.39016700000002</v>
      </c>
      <c r="Z540">
        <f t="shared" si="8"/>
        <v>0.47356341537165536</v>
      </c>
    </row>
    <row r="541" spans="1:26" x14ac:dyDescent="0.2">
      <c r="A541" s="5" t="s">
        <v>46</v>
      </c>
      <c r="B541" s="5" t="s">
        <v>43</v>
      </c>
      <c r="C541" s="6" t="s">
        <v>31</v>
      </c>
      <c r="D541" s="7">
        <v>0.40305299999999999</v>
      </c>
      <c r="E541">
        <v>0.39886100000000002</v>
      </c>
      <c r="F541">
        <v>0.75250099999999998</v>
      </c>
      <c r="G541">
        <v>0.72789999999999999</v>
      </c>
      <c r="H541">
        <v>0.52894799999999997</v>
      </c>
      <c r="I541">
        <v>0.49543199999999998</v>
      </c>
      <c r="J541">
        <v>0.52301500000000001</v>
      </c>
      <c r="K541">
        <v>0.48073100000000002</v>
      </c>
      <c r="L541">
        <v>0.37269799999999997</v>
      </c>
      <c r="M541">
        <v>0.54512099999999997</v>
      </c>
      <c r="N541">
        <v>0.47869200000000001</v>
      </c>
      <c r="O541" s="8">
        <f>VLOOKUP($B541,floorspace!$B$4:$O$12,'shell factors calc'!O$2+1,FALSE)</f>
        <v>909.66033900000002</v>
      </c>
      <c r="P541" s="8">
        <f>VLOOKUP($B541,floorspace!$B$4:$O$12,'shell factors calc'!P$2+1,FALSE)</f>
        <v>881.97393799999998</v>
      </c>
      <c r="Q541" s="8">
        <f>VLOOKUP($B541,floorspace!$B$4:$O$12,'shell factors calc'!Q$2+1,FALSE)</f>
        <v>94.492217999999994</v>
      </c>
      <c r="R541" s="8">
        <f>VLOOKUP($B541,floorspace!$B$4:$O$12,'shell factors calc'!R$2+1,FALSE)</f>
        <v>206.62240600000001</v>
      </c>
      <c r="S541" s="8">
        <f>VLOOKUP($B541,floorspace!$B$4:$O$12,'shell factors calc'!S$2+1,FALSE)</f>
        <v>171.98699999999999</v>
      </c>
      <c r="T541" s="8">
        <f>VLOOKUP($B541,floorspace!$B$4:$O$12,'shell factors calc'!T$2+1,FALSE)</f>
        <v>684.67663600000003</v>
      </c>
      <c r="U541" s="8">
        <f>VLOOKUP($B541,floorspace!$B$4:$O$12,'shell factors calc'!U$2+1,FALSE)</f>
        <v>875.10882600000002</v>
      </c>
      <c r="V541" s="8">
        <f>VLOOKUP($B541,floorspace!$B$4:$O$12,'shell factors calc'!V$2+1,FALSE)</f>
        <v>703.37530500000003</v>
      </c>
      <c r="W541" s="8">
        <f>VLOOKUP($B541,floorspace!$B$4:$O$12,'shell factors calc'!W$2+1,FALSE)</f>
        <v>1558.8479</v>
      </c>
      <c r="X541" s="8">
        <f>VLOOKUP($B541,floorspace!$B$4:$O$12,'shell factors calc'!X$2+1,FALSE)</f>
        <v>1048.3610839999999</v>
      </c>
      <c r="Y541" s="8">
        <f>VLOOKUP($B541,floorspace!$B$4:$O$12,'shell factors calc'!Y$2+1,FALSE)</f>
        <v>336.39016700000002</v>
      </c>
      <c r="Z541">
        <f t="shared" si="8"/>
        <v>0.46569455805944909</v>
      </c>
    </row>
    <row r="542" spans="1:26" x14ac:dyDescent="0.2">
      <c r="A542" s="5" t="s">
        <v>46</v>
      </c>
      <c r="B542" s="5" t="s">
        <v>43</v>
      </c>
      <c r="C542" s="6" t="s">
        <v>32</v>
      </c>
      <c r="D542" s="7">
        <v>0.39486900000000003</v>
      </c>
      <c r="E542">
        <v>0.39058399999999999</v>
      </c>
      <c r="F542">
        <v>0.74875499999999995</v>
      </c>
      <c r="G542">
        <v>0.72425200000000001</v>
      </c>
      <c r="H542">
        <v>0.52166199999999996</v>
      </c>
      <c r="I542">
        <v>0.48746800000000001</v>
      </c>
      <c r="J542">
        <v>0.51587799999999995</v>
      </c>
      <c r="K542">
        <v>0.47375800000000001</v>
      </c>
      <c r="L542">
        <v>0.36383500000000002</v>
      </c>
      <c r="M542">
        <v>0.53784900000000002</v>
      </c>
      <c r="N542">
        <v>0.47101999999999999</v>
      </c>
      <c r="O542" s="8">
        <f>VLOOKUP($B542,floorspace!$B$4:$O$12,'shell factors calc'!O$2+1,FALSE)</f>
        <v>909.66033900000002</v>
      </c>
      <c r="P542" s="8">
        <f>VLOOKUP($B542,floorspace!$B$4:$O$12,'shell factors calc'!P$2+1,FALSE)</f>
        <v>881.97393799999998</v>
      </c>
      <c r="Q542" s="8">
        <f>VLOOKUP($B542,floorspace!$B$4:$O$12,'shell factors calc'!Q$2+1,FALSE)</f>
        <v>94.492217999999994</v>
      </c>
      <c r="R542" s="8">
        <f>VLOOKUP($B542,floorspace!$B$4:$O$12,'shell factors calc'!R$2+1,FALSE)</f>
        <v>206.62240600000001</v>
      </c>
      <c r="S542" s="8">
        <f>VLOOKUP($B542,floorspace!$B$4:$O$12,'shell factors calc'!S$2+1,FALSE)</f>
        <v>171.98699999999999</v>
      </c>
      <c r="T542" s="8">
        <f>VLOOKUP($B542,floorspace!$B$4:$O$12,'shell factors calc'!T$2+1,FALSE)</f>
        <v>684.67663600000003</v>
      </c>
      <c r="U542" s="8">
        <f>VLOOKUP($B542,floorspace!$B$4:$O$12,'shell factors calc'!U$2+1,FALSE)</f>
        <v>875.10882600000002</v>
      </c>
      <c r="V542" s="8">
        <f>VLOOKUP($B542,floorspace!$B$4:$O$12,'shell factors calc'!V$2+1,FALSE)</f>
        <v>703.37530500000003</v>
      </c>
      <c r="W542" s="8">
        <f>VLOOKUP($B542,floorspace!$B$4:$O$12,'shell factors calc'!W$2+1,FALSE)</f>
        <v>1558.8479</v>
      </c>
      <c r="X542" s="8">
        <f>VLOOKUP($B542,floorspace!$B$4:$O$12,'shell factors calc'!X$2+1,FALSE)</f>
        <v>1048.3610839999999</v>
      </c>
      <c r="Y542" s="8">
        <f>VLOOKUP($B542,floorspace!$B$4:$O$12,'shell factors calc'!Y$2+1,FALSE)</f>
        <v>336.39016700000002</v>
      </c>
      <c r="Z542">
        <f t="shared" si="8"/>
        <v>0.45796796995858774</v>
      </c>
    </row>
    <row r="543" spans="1:26" x14ac:dyDescent="0.2">
      <c r="A543" s="5" t="s">
        <v>46</v>
      </c>
      <c r="B543" s="5" t="s">
        <v>43</v>
      </c>
      <c r="C543" s="6" t="s">
        <v>33</v>
      </c>
      <c r="D543" s="7">
        <v>0.38685000000000003</v>
      </c>
      <c r="E543">
        <v>0.38247900000000001</v>
      </c>
      <c r="F543">
        <v>0.74502900000000005</v>
      </c>
      <c r="G543">
        <v>0.72062199999999998</v>
      </c>
      <c r="H543">
        <v>0.51447699999999996</v>
      </c>
      <c r="I543">
        <v>0.479632</v>
      </c>
      <c r="J543">
        <v>0.50883800000000001</v>
      </c>
      <c r="K543">
        <v>0.46688499999999999</v>
      </c>
      <c r="L543">
        <v>0.355182</v>
      </c>
      <c r="M543">
        <v>0.53067500000000001</v>
      </c>
      <c r="N543">
        <v>0.46346999999999999</v>
      </c>
      <c r="O543" s="8">
        <f>VLOOKUP($B543,floorspace!$B$4:$O$12,'shell factors calc'!O$2+1,FALSE)</f>
        <v>909.66033900000002</v>
      </c>
      <c r="P543" s="8">
        <f>VLOOKUP($B543,floorspace!$B$4:$O$12,'shell factors calc'!P$2+1,FALSE)</f>
        <v>881.97393799999998</v>
      </c>
      <c r="Q543" s="8">
        <f>VLOOKUP($B543,floorspace!$B$4:$O$12,'shell factors calc'!Q$2+1,FALSE)</f>
        <v>94.492217999999994</v>
      </c>
      <c r="R543" s="8">
        <f>VLOOKUP($B543,floorspace!$B$4:$O$12,'shell factors calc'!R$2+1,FALSE)</f>
        <v>206.62240600000001</v>
      </c>
      <c r="S543" s="8">
        <f>VLOOKUP($B543,floorspace!$B$4:$O$12,'shell factors calc'!S$2+1,FALSE)</f>
        <v>171.98699999999999</v>
      </c>
      <c r="T543" s="8">
        <f>VLOOKUP($B543,floorspace!$B$4:$O$12,'shell factors calc'!T$2+1,FALSE)</f>
        <v>684.67663600000003</v>
      </c>
      <c r="U543" s="8">
        <f>VLOOKUP($B543,floorspace!$B$4:$O$12,'shell factors calc'!U$2+1,FALSE)</f>
        <v>875.10882600000002</v>
      </c>
      <c r="V543" s="8">
        <f>VLOOKUP($B543,floorspace!$B$4:$O$12,'shell factors calc'!V$2+1,FALSE)</f>
        <v>703.37530500000003</v>
      </c>
      <c r="W543" s="8">
        <f>VLOOKUP($B543,floorspace!$B$4:$O$12,'shell factors calc'!W$2+1,FALSE)</f>
        <v>1558.8479</v>
      </c>
      <c r="X543" s="8">
        <f>VLOOKUP($B543,floorspace!$B$4:$O$12,'shell factors calc'!X$2+1,FALSE)</f>
        <v>1048.3610839999999</v>
      </c>
      <c r="Y543" s="8">
        <f>VLOOKUP($B543,floorspace!$B$4:$O$12,'shell factors calc'!Y$2+1,FALSE)</f>
        <v>336.39016700000002</v>
      </c>
      <c r="Z543">
        <f t="shared" si="8"/>
        <v>0.45038041318086974</v>
      </c>
    </row>
    <row r="544" spans="1:26" x14ac:dyDescent="0.2">
      <c r="A544" s="5" t="s">
        <v>46</v>
      </c>
      <c r="B544" s="5" t="s">
        <v>43</v>
      </c>
      <c r="C544" s="6" t="s">
        <v>34</v>
      </c>
      <c r="D544" s="7">
        <v>0.37899500000000003</v>
      </c>
      <c r="E544">
        <v>0.37454300000000001</v>
      </c>
      <c r="F544">
        <v>0.74132100000000001</v>
      </c>
      <c r="G544">
        <v>0.71701000000000004</v>
      </c>
      <c r="H544">
        <v>0.50739100000000004</v>
      </c>
      <c r="I544">
        <v>0.47192099999999998</v>
      </c>
      <c r="J544">
        <v>0.50189499999999998</v>
      </c>
      <c r="K544">
        <v>0.46011200000000002</v>
      </c>
      <c r="L544">
        <v>0.34673599999999999</v>
      </c>
      <c r="M544">
        <v>0.52359599999999995</v>
      </c>
      <c r="N544">
        <v>0.456042</v>
      </c>
      <c r="O544" s="8">
        <f>VLOOKUP($B544,floorspace!$B$4:$O$12,'shell factors calc'!O$2+1,FALSE)</f>
        <v>909.66033900000002</v>
      </c>
      <c r="P544" s="8">
        <f>VLOOKUP($B544,floorspace!$B$4:$O$12,'shell factors calc'!P$2+1,FALSE)</f>
        <v>881.97393799999998</v>
      </c>
      <c r="Q544" s="8">
        <f>VLOOKUP($B544,floorspace!$B$4:$O$12,'shell factors calc'!Q$2+1,FALSE)</f>
        <v>94.492217999999994</v>
      </c>
      <c r="R544" s="8">
        <f>VLOOKUP($B544,floorspace!$B$4:$O$12,'shell factors calc'!R$2+1,FALSE)</f>
        <v>206.62240600000001</v>
      </c>
      <c r="S544" s="8">
        <f>VLOOKUP($B544,floorspace!$B$4:$O$12,'shell factors calc'!S$2+1,FALSE)</f>
        <v>171.98699999999999</v>
      </c>
      <c r="T544" s="8">
        <f>VLOOKUP($B544,floorspace!$B$4:$O$12,'shell factors calc'!T$2+1,FALSE)</f>
        <v>684.67663600000003</v>
      </c>
      <c r="U544" s="8">
        <f>VLOOKUP($B544,floorspace!$B$4:$O$12,'shell factors calc'!U$2+1,FALSE)</f>
        <v>875.10882600000002</v>
      </c>
      <c r="V544" s="8">
        <f>VLOOKUP($B544,floorspace!$B$4:$O$12,'shell factors calc'!V$2+1,FALSE)</f>
        <v>703.37530500000003</v>
      </c>
      <c r="W544" s="8">
        <f>VLOOKUP($B544,floorspace!$B$4:$O$12,'shell factors calc'!W$2+1,FALSE)</f>
        <v>1558.8479</v>
      </c>
      <c r="X544" s="8">
        <f>VLOOKUP($B544,floorspace!$B$4:$O$12,'shell factors calc'!X$2+1,FALSE)</f>
        <v>1048.3610839999999</v>
      </c>
      <c r="Y544" s="8">
        <f>VLOOKUP($B544,floorspace!$B$4:$O$12,'shell factors calc'!Y$2+1,FALSE)</f>
        <v>336.39016700000002</v>
      </c>
      <c r="Z544">
        <f t="shared" si="8"/>
        <v>0.44293001873007409</v>
      </c>
    </row>
    <row r="545" spans="1:26" x14ac:dyDescent="0.2">
      <c r="A545" s="5" t="s">
        <v>46</v>
      </c>
      <c r="B545" s="5" t="s">
        <v>43</v>
      </c>
      <c r="C545" s="6" t="s">
        <v>35</v>
      </c>
      <c r="D545" s="7">
        <v>0.37129899999999999</v>
      </c>
      <c r="E545">
        <v>0.36677100000000001</v>
      </c>
      <c r="F545">
        <v>0.73763100000000004</v>
      </c>
      <c r="G545">
        <v>0.71341600000000005</v>
      </c>
      <c r="H545">
        <v>0.50040200000000001</v>
      </c>
      <c r="I545">
        <v>0.464335</v>
      </c>
      <c r="J545">
        <v>0.49504599999999999</v>
      </c>
      <c r="K545">
        <v>0.45343800000000001</v>
      </c>
      <c r="L545">
        <v>0.33849000000000001</v>
      </c>
      <c r="M545">
        <v>0.51661100000000004</v>
      </c>
      <c r="N545">
        <v>0.44873200000000002</v>
      </c>
      <c r="O545" s="8">
        <f>VLOOKUP($B545,floorspace!$B$4:$O$12,'shell factors calc'!O$2+1,FALSE)</f>
        <v>909.66033900000002</v>
      </c>
      <c r="P545" s="8">
        <f>VLOOKUP($B545,floorspace!$B$4:$O$12,'shell factors calc'!P$2+1,FALSE)</f>
        <v>881.97393799999998</v>
      </c>
      <c r="Q545" s="8">
        <f>VLOOKUP($B545,floorspace!$B$4:$O$12,'shell factors calc'!Q$2+1,FALSE)</f>
        <v>94.492217999999994</v>
      </c>
      <c r="R545" s="8">
        <f>VLOOKUP($B545,floorspace!$B$4:$O$12,'shell factors calc'!R$2+1,FALSE)</f>
        <v>206.62240600000001</v>
      </c>
      <c r="S545" s="8">
        <f>VLOOKUP($B545,floorspace!$B$4:$O$12,'shell factors calc'!S$2+1,FALSE)</f>
        <v>171.98699999999999</v>
      </c>
      <c r="T545" s="8">
        <f>VLOOKUP($B545,floorspace!$B$4:$O$12,'shell factors calc'!T$2+1,FALSE)</f>
        <v>684.67663600000003</v>
      </c>
      <c r="U545" s="8">
        <f>VLOOKUP($B545,floorspace!$B$4:$O$12,'shell factors calc'!U$2+1,FALSE)</f>
        <v>875.10882600000002</v>
      </c>
      <c r="V545" s="8">
        <f>VLOOKUP($B545,floorspace!$B$4:$O$12,'shell factors calc'!V$2+1,FALSE)</f>
        <v>703.37530500000003</v>
      </c>
      <c r="W545" s="8">
        <f>VLOOKUP($B545,floorspace!$B$4:$O$12,'shell factors calc'!W$2+1,FALSE)</f>
        <v>1558.8479</v>
      </c>
      <c r="X545" s="8">
        <f>VLOOKUP($B545,floorspace!$B$4:$O$12,'shell factors calc'!X$2+1,FALSE)</f>
        <v>1048.3610839999999</v>
      </c>
      <c r="Y545" s="8">
        <f>VLOOKUP($B545,floorspace!$B$4:$O$12,'shell factors calc'!Y$2+1,FALSE)</f>
        <v>336.39016700000002</v>
      </c>
      <c r="Z545">
        <f t="shared" si="8"/>
        <v>0.43561331518563834</v>
      </c>
    </row>
    <row r="546" spans="1:26" x14ac:dyDescent="0.2">
      <c r="A546" s="5" t="s">
        <v>46</v>
      </c>
      <c r="B546" s="1" t="s">
        <v>43</v>
      </c>
      <c r="C546" s="2" t="s">
        <v>36</v>
      </c>
      <c r="D546" s="4">
        <v>0.36375999999999997</v>
      </c>
      <c r="E546">
        <v>0.35915999999999998</v>
      </c>
      <c r="F546">
        <v>0.73395999999999995</v>
      </c>
      <c r="G546">
        <v>0.70984000000000003</v>
      </c>
      <c r="H546">
        <v>0.49351</v>
      </c>
      <c r="I546">
        <v>0.45687</v>
      </c>
      <c r="J546">
        <v>0.48829</v>
      </c>
      <c r="K546">
        <v>0.44685999999999998</v>
      </c>
      <c r="L546">
        <v>0.33044000000000001</v>
      </c>
      <c r="M546">
        <v>0.50971999999999995</v>
      </c>
      <c r="N546">
        <v>0.44153999999999999</v>
      </c>
      <c r="O546" s="8">
        <f>VLOOKUP($B546,floorspace!$B$4:$O$12,'shell factors calc'!O$2+1,FALSE)</f>
        <v>909.66033900000002</v>
      </c>
      <c r="P546" s="8">
        <f>VLOOKUP($B546,floorspace!$B$4:$O$12,'shell factors calc'!P$2+1,FALSE)</f>
        <v>881.97393799999998</v>
      </c>
      <c r="Q546" s="8">
        <f>VLOOKUP($B546,floorspace!$B$4:$O$12,'shell factors calc'!Q$2+1,FALSE)</f>
        <v>94.492217999999994</v>
      </c>
      <c r="R546" s="8">
        <f>VLOOKUP($B546,floorspace!$B$4:$O$12,'shell factors calc'!R$2+1,FALSE)</f>
        <v>206.62240600000001</v>
      </c>
      <c r="S546" s="8">
        <f>VLOOKUP($B546,floorspace!$B$4:$O$12,'shell factors calc'!S$2+1,FALSE)</f>
        <v>171.98699999999999</v>
      </c>
      <c r="T546" s="8">
        <f>VLOOKUP($B546,floorspace!$B$4:$O$12,'shell factors calc'!T$2+1,FALSE)</f>
        <v>684.67663600000003</v>
      </c>
      <c r="U546" s="8">
        <f>VLOOKUP($B546,floorspace!$B$4:$O$12,'shell factors calc'!U$2+1,FALSE)</f>
        <v>875.10882600000002</v>
      </c>
      <c r="V546" s="8">
        <f>VLOOKUP($B546,floorspace!$B$4:$O$12,'shell factors calc'!V$2+1,FALSE)</f>
        <v>703.37530500000003</v>
      </c>
      <c r="W546" s="8">
        <f>VLOOKUP($B546,floorspace!$B$4:$O$12,'shell factors calc'!W$2+1,FALSE)</f>
        <v>1558.8479</v>
      </c>
      <c r="X546" s="8">
        <f>VLOOKUP($B546,floorspace!$B$4:$O$12,'shell factors calc'!X$2+1,FALSE)</f>
        <v>1048.3610839999999</v>
      </c>
      <c r="Y546" s="8">
        <f>VLOOKUP($B546,floorspace!$B$4:$O$12,'shell factors calc'!Y$2+1,FALSE)</f>
        <v>336.39016700000002</v>
      </c>
      <c r="Z546">
        <f t="shared" si="8"/>
        <v>0.42842811689644866</v>
      </c>
    </row>
    <row r="547" spans="1:26" x14ac:dyDescent="0.2">
      <c r="A547" s="5" t="s">
        <v>46</v>
      </c>
      <c r="B547" s="5" t="s">
        <v>44</v>
      </c>
      <c r="C547" s="6" t="s">
        <v>5</v>
      </c>
      <c r="D547" s="7">
        <v>0.60702199999999995</v>
      </c>
      <c r="E547">
        <v>0.60286499999999998</v>
      </c>
      <c r="F547">
        <v>0.89162300000000005</v>
      </c>
      <c r="G547">
        <v>0.81334600000000001</v>
      </c>
      <c r="H547">
        <v>0.73472599999999999</v>
      </c>
      <c r="I547">
        <v>0.743811</v>
      </c>
      <c r="J547">
        <v>0.69045500000000004</v>
      </c>
      <c r="K547">
        <v>0.67610000000000003</v>
      </c>
      <c r="L547">
        <v>0.59419900000000003</v>
      </c>
      <c r="M547">
        <v>0.73536699999999999</v>
      </c>
      <c r="N547">
        <v>0.67624799999999996</v>
      </c>
      <c r="O547" s="8">
        <f>VLOOKUP($B547,floorspace!$B$4:$O$12,'shell factors calc'!O$2+1,FALSE)</f>
        <v>1426.487427</v>
      </c>
      <c r="P547" s="8">
        <f>VLOOKUP($B547,floorspace!$B$4:$O$12,'shell factors calc'!P$2+1,FALSE)</f>
        <v>1360.7664789999999</v>
      </c>
      <c r="Q547" s="8">
        <f>VLOOKUP($B547,floorspace!$B$4:$O$12,'shell factors calc'!Q$2+1,FALSE)</f>
        <v>115.483704</v>
      </c>
      <c r="R547" s="8">
        <f>VLOOKUP($B547,floorspace!$B$4:$O$12,'shell factors calc'!R$2+1,FALSE)</f>
        <v>190.85375999999999</v>
      </c>
      <c r="S547" s="8">
        <f>VLOOKUP($B547,floorspace!$B$4:$O$12,'shell factors calc'!S$2+1,FALSE)</f>
        <v>325.72094700000002</v>
      </c>
      <c r="T547" s="8">
        <f>VLOOKUP($B547,floorspace!$B$4:$O$12,'shell factors calc'!T$2+1,FALSE)</f>
        <v>885.83789100000001</v>
      </c>
      <c r="U547" s="8">
        <f>VLOOKUP($B547,floorspace!$B$4:$O$12,'shell factors calc'!U$2+1,FALSE)</f>
        <v>1391.6861570000001</v>
      </c>
      <c r="V547" s="8">
        <f>VLOOKUP($B547,floorspace!$B$4:$O$12,'shell factors calc'!V$2+1,FALSE)</f>
        <v>952.37109399999997</v>
      </c>
      <c r="W547" s="8">
        <f>VLOOKUP($B547,floorspace!$B$4:$O$12,'shell factors calc'!W$2+1,FALSE)</f>
        <v>1766.4886469999999</v>
      </c>
      <c r="X547" s="8">
        <f>VLOOKUP($B547,floorspace!$B$4:$O$12,'shell factors calc'!X$2+1,FALSE)</f>
        <v>2912.772461</v>
      </c>
      <c r="Y547" s="8">
        <f>VLOOKUP($B547,floorspace!$B$4:$O$12,'shell factors calc'!Y$2+1,FALSE)</f>
        <v>529.23895300000004</v>
      </c>
      <c r="Z547">
        <f t="shared" si="8"/>
        <v>0.67441126248790484</v>
      </c>
    </row>
    <row r="548" spans="1:26" x14ac:dyDescent="0.2">
      <c r="A548" s="5" t="s">
        <v>46</v>
      </c>
      <c r="B548" s="5" t="s">
        <v>44</v>
      </c>
      <c r="C548" s="6" t="s">
        <v>6</v>
      </c>
      <c r="D548" s="7">
        <v>0.59836</v>
      </c>
      <c r="E548">
        <v>0.59406000000000003</v>
      </c>
      <c r="F548">
        <v>0.88207999999999998</v>
      </c>
      <c r="G548">
        <v>0.80942999999999998</v>
      </c>
      <c r="H548">
        <v>0.72765999999999997</v>
      </c>
      <c r="I548">
        <v>0.73672000000000004</v>
      </c>
      <c r="J548">
        <v>0.68266000000000004</v>
      </c>
      <c r="K548">
        <v>0.66923999999999995</v>
      </c>
      <c r="L548">
        <v>0.58477999999999997</v>
      </c>
      <c r="M548">
        <v>0.72790999999999995</v>
      </c>
      <c r="N548">
        <v>0.66830999999999996</v>
      </c>
      <c r="O548" s="8">
        <f>VLOOKUP($B548,floorspace!$B$4:$O$12,'shell factors calc'!O$2+1,FALSE)</f>
        <v>1426.487427</v>
      </c>
      <c r="P548" s="8">
        <f>VLOOKUP($B548,floorspace!$B$4:$O$12,'shell factors calc'!P$2+1,FALSE)</f>
        <v>1360.7664789999999</v>
      </c>
      <c r="Q548" s="8">
        <f>VLOOKUP($B548,floorspace!$B$4:$O$12,'shell factors calc'!Q$2+1,FALSE)</f>
        <v>115.483704</v>
      </c>
      <c r="R548" s="8">
        <f>VLOOKUP($B548,floorspace!$B$4:$O$12,'shell factors calc'!R$2+1,FALSE)</f>
        <v>190.85375999999999</v>
      </c>
      <c r="S548" s="8">
        <f>VLOOKUP($B548,floorspace!$B$4:$O$12,'shell factors calc'!S$2+1,FALSE)</f>
        <v>325.72094700000002</v>
      </c>
      <c r="T548" s="8">
        <f>VLOOKUP($B548,floorspace!$B$4:$O$12,'shell factors calc'!T$2+1,FALSE)</f>
        <v>885.83789100000001</v>
      </c>
      <c r="U548" s="8">
        <f>VLOOKUP($B548,floorspace!$B$4:$O$12,'shell factors calc'!U$2+1,FALSE)</f>
        <v>1391.6861570000001</v>
      </c>
      <c r="V548" s="8">
        <f>VLOOKUP($B548,floorspace!$B$4:$O$12,'shell factors calc'!V$2+1,FALSE)</f>
        <v>952.37109399999997</v>
      </c>
      <c r="W548" s="8">
        <f>VLOOKUP($B548,floorspace!$B$4:$O$12,'shell factors calc'!W$2+1,FALSE)</f>
        <v>1766.4886469999999</v>
      </c>
      <c r="X548" s="8">
        <f>VLOOKUP($B548,floorspace!$B$4:$O$12,'shell factors calc'!X$2+1,FALSE)</f>
        <v>2912.772461</v>
      </c>
      <c r="Y548" s="8">
        <f>VLOOKUP($B548,floorspace!$B$4:$O$12,'shell factors calc'!Y$2+1,FALSE)</f>
        <v>529.23895300000004</v>
      </c>
      <c r="Z548">
        <f t="shared" si="8"/>
        <v>0.66642389168255523</v>
      </c>
    </row>
    <row r="549" spans="1:26" x14ac:dyDescent="0.2">
      <c r="A549" s="5" t="s">
        <v>46</v>
      </c>
      <c r="B549" s="5" t="s">
        <v>44</v>
      </c>
      <c r="C549" s="6" t="s">
        <v>7</v>
      </c>
      <c r="D549" s="7">
        <v>0.58903399999999995</v>
      </c>
      <c r="E549">
        <v>0.58455999999999997</v>
      </c>
      <c r="F549">
        <v>0.87463299999999999</v>
      </c>
      <c r="G549">
        <v>0.80542800000000003</v>
      </c>
      <c r="H549">
        <v>0.72024699999999997</v>
      </c>
      <c r="I549">
        <v>0.72928499999999996</v>
      </c>
      <c r="J549">
        <v>0.67440599999999995</v>
      </c>
      <c r="K549">
        <v>0.662022</v>
      </c>
      <c r="L549">
        <v>0.57454400000000005</v>
      </c>
      <c r="M549">
        <v>0.72006899999999996</v>
      </c>
      <c r="N549">
        <v>0.65988800000000003</v>
      </c>
      <c r="O549" s="8">
        <f>VLOOKUP($B549,floorspace!$B$4:$O$12,'shell factors calc'!O$2+1,FALSE)</f>
        <v>1426.487427</v>
      </c>
      <c r="P549" s="8">
        <f>VLOOKUP($B549,floorspace!$B$4:$O$12,'shell factors calc'!P$2+1,FALSE)</f>
        <v>1360.7664789999999</v>
      </c>
      <c r="Q549" s="8">
        <f>VLOOKUP($B549,floorspace!$B$4:$O$12,'shell factors calc'!Q$2+1,FALSE)</f>
        <v>115.483704</v>
      </c>
      <c r="R549" s="8">
        <f>VLOOKUP($B549,floorspace!$B$4:$O$12,'shell factors calc'!R$2+1,FALSE)</f>
        <v>190.85375999999999</v>
      </c>
      <c r="S549" s="8">
        <f>VLOOKUP($B549,floorspace!$B$4:$O$12,'shell factors calc'!S$2+1,FALSE)</f>
        <v>325.72094700000002</v>
      </c>
      <c r="T549" s="8">
        <f>VLOOKUP($B549,floorspace!$B$4:$O$12,'shell factors calc'!T$2+1,FALSE)</f>
        <v>885.83789100000001</v>
      </c>
      <c r="U549" s="8">
        <f>VLOOKUP($B549,floorspace!$B$4:$O$12,'shell factors calc'!U$2+1,FALSE)</f>
        <v>1391.6861570000001</v>
      </c>
      <c r="V549" s="8">
        <f>VLOOKUP($B549,floorspace!$B$4:$O$12,'shell factors calc'!V$2+1,FALSE)</f>
        <v>952.37109399999997</v>
      </c>
      <c r="W549" s="8">
        <f>VLOOKUP($B549,floorspace!$B$4:$O$12,'shell factors calc'!W$2+1,FALSE)</f>
        <v>1766.4886469999999</v>
      </c>
      <c r="X549" s="8">
        <f>VLOOKUP($B549,floorspace!$B$4:$O$12,'shell factors calc'!X$2+1,FALSE)</f>
        <v>2912.772461</v>
      </c>
      <c r="Y549" s="8">
        <f>VLOOKUP($B549,floorspace!$B$4:$O$12,'shell factors calc'!Y$2+1,FALSE)</f>
        <v>529.23895300000004</v>
      </c>
      <c r="Z549">
        <f t="shared" si="8"/>
        <v>0.65794041793083169</v>
      </c>
    </row>
    <row r="550" spans="1:26" x14ac:dyDescent="0.2">
      <c r="A550" s="5" t="s">
        <v>46</v>
      </c>
      <c r="B550" s="5" t="s">
        <v>44</v>
      </c>
      <c r="C550" s="6" t="s">
        <v>8</v>
      </c>
      <c r="D550" s="7">
        <v>0.57985399999999998</v>
      </c>
      <c r="E550">
        <v>0.57521100000000003</v>
      </c>
      <c r="F550">
        <v>0.86724999999999997</v>
      </c>
      <c r="G550">
        <v>0.80144599999999999</v>
      </c>
      <c r="H550">
        <v>0.71291000000000004</v>
      </c>
      <c r="I550">
        <v>0.72192599999999996</v>
      </c>
      <c r="J550">
        <v>0.66625199999999996</v>
      </c>
      <c r="K550">
        <v>0.65488100000000005</v>
      </c>
      <c r="L550">
        <v>0.56448799999999999</v>
      </c>
      <c r="M550">
        <v>0.71231199999999995</v>
      </c>
      <c r="N550">
        <v>0.65157200000000004</v>
      </c>
      <c r="O550" s="8">
        <f>VLOOKUP($B550,floorspace!$B$4:$O$12,'shell factors calc'!O$2+1,FALSE)</f>
        <v>1426.487427</v>
      </c>
      <c r="P550" s="8">
        <f>VLOOKUP($B550,floorspace!$B$4:$O$12,'shell factors calc'!P$2+1,FALSE)</f>
        <v>1360.7664789999999</v>
      </c>
      <c r="Q550" s="8">
        <f>VLOOKUP($B550,floorspace!$B$4:$O$12,'shell factors calc'!Q$2+1,FALSE)</f>
        <v>115.483704</v>
      </c>
      <c r="R550" s="8">
        <f>VLOOKUP($B550,floorspace!$B$4:$O$12,'shell factors calc'!R$2+1,FALSE)</f>
        <v>190.85375999999999</v>
      </c>
      <c r="S550" s="8">
        <f>VLOOKUP($B550,floorspace!$B$4:$O$12,'shell factors calc'!S$2+1,FALSE)</f>
        <v>325.72094700000002</v>
      </c>
      <c r="T550" s="8">
        <f>VLOOKUP($B550,floorspace!$B$4:$O$12,'shell factors calc'!T$2+1,FALSE)</f>
        <v>885.83789100000001</v>
      </c>
      <c r="U550" s="8">
        <f>VLOOKUP($B550,floorspace!$B$4:$O$12,'shell factors calc'!U$2+1,FALSE)</f>
        <v>1391.6861570000001</v>
      </c>
      <c r="V550" s="8">
        <f>VLOOKUP($B550,floorspace!$B$4:$O$12,'shell factors calc'!V$2+1,FALSE)</f>
        <v>952.37109399999997</v>
      </c>
      <c r="W550" s="8">
        <f>VLOOKUP($B550,floorspace!$B$4:$O$12,'shell factors calc'!W$2+1,FALSE)</f>
        <v>1766.4886469999999</v>
      </c>
      <c r="X550" s="8">
        <f>VLOOKUP($B550,floorspace!$B$4:$O$12,'shell factors calc'!X$2+1,FALSE)</f>
        <v>2912.772461</v>
      </c>
      <c r="Y550" s="8">
        <f>VLOOKUP($B550,floorspace!$B$4:$O$12,'shell factors calc'!Y$2+1,FALSE)</f>
        <v>529.23895300000004</v>
      </c>
      <c r="Z550">
        <f t="shared" si="8"/>
        <v>0.64957064834717604</v>
      </c>
    </row>
    <row r="551" spans="1:26" x14ac:dyDescent="0.2">
      <c r="A551" s="5" t="s">
        <v>46</v>
      </c>
      <c r="B551" s="5" t="s">
        <v>44</v>
      </c>
      <c r="C551" s="6" t="s">
        <v>9</v>
      </c>
      <c r="D551" s="7">
        <v>0.57081700000000002</v>
      </c>
      <c r="E551">
        <v>0.56601199999999996</v>
      </c>
      <c r="F551">
        <v>0.85992800000000003</v>
      </c>
      <c r="G551">
        <v>0.79748399999999997</v>
      </c>
      <c r="H551">
        <v>0.70564800000000005</v>
      </c>
      <c r="I551">
        <v>0.71464000000000005</v>
      </c>
      <c r="J551">
        <v>0.658196</v>
      </c>
      <c r="K551">
        <v>0.64781699999999998</v>
      </c>
      <c r="L551">
        <v>0.55460699999999996</v>
      </c>
      <c r="M551">
        <v>0.70463799999999999</v>
      </c>
      <c r="N551">
        <v>0.64336099999999996</v>
      </c>
      <c r="O551" s="8">
        <f>VLOOKUP($B551,floorspace!$B$4:$O$12,'shell factors calc'!O$2+1,FALSE)</f>
        <v>1426.487427</v>
      </c>
      <c r="P551" s="8">
        <f>VLOOKUP($B551,floorspace!$B$4:$O$12,'shell factors calc'!P$2+1,FALSE)</f>
        <v>1360.7664789999999</v>
      </c>
      <c r="Q551" s="8">
        <f>VLOOKUP($B551,floorspace!$B$4:$O$12,'shell factors calc'!Q$2+1,FALSE)</f>
        <v>115.483704</v>
      </c>
      <c r="R551" s="8">
        <f>VLOOKUP($B551,floorspace!$B$4:$O$12,'shell factors calc'!R$2+1,FALSE)</f>
        <v>190.85375999999999</v>
      </c>
      <c r="S551" s="8">
        <f>VLOOKUP($B551,floorspace!$B$4:$O$12,'shell factors calc'!S$2+1,FALSE)</f>
        <v>325.72094700000002</v>
      </c>
      <c r="T551" s="8">
        <f>VLOOKUP($B551,floorspace!$B$4:$O$12,'shell factors calc'!T$2+1,FALSE)</f>
        <v>885.83789100000001</v>
      </c>
      <c r="U551" s="8">
        <f>VLOOKUP($B551,floorspace!$B$4:$O$12,'shell factors calc'!U$2+1,FALSE)</f>
        <v>1391.6861570000001</v>
      </c>
      <c r="V551" s="8">
        <f>VLOOKUP($B551,floorspace!$B$4:$O$12,'shell factors calc'!V$2+1,FALSE)</f>
        <v>952.37109399999997</v>
      </c>
      <c r="W551" s="8">
        <f>VLOOKUP($B551,floorspace!$B$4:$O$12,'shell factors calc'!W$2+1,FALSE)</f>
        <v>1766.4886469999999</v>
      </c>
      <c r="X551" s="8">
        <f>VLOOKUP($B551,floorspace!$B$4:$O$12,'shell factors calc'!X$2+1,FALSE)</f>
        <v>2912.772461</v>
      </c>
      <c r="Y551" s="8">
        <f>VLOOKUP($B551,floorspace!$B$4:$O$12,'shell factors calc'!Y$2+1,FALSE)</f>
        <v>529.23895300000004</v>
      </c>
      <c r="Z551">
        <f t="shared" si="8"/>
        <v>0.64131255659206088</v>
      </c>
    </row>
    <row r="552" spans="1:26" x14ac:dyDescent="0.2">
      <c r="A552" s="5" t="s">
        <v>46</v>
      </c>
      <c r="B552" s="5" t="s">
        <v>44</v>
      </c>
      <c r="C552" s="6" t="s">
        <v>10</v>
      </c>
      <c r="D552" s="7">
        <v>0.561921</v>
      </c>
      <c r="E552">
        <v>0.55696100000000004</v>
      </c>
      <c r="F552">
        <v>0.85266900000000001</v>
      </c>
      <c r="G552">
        <v>0.79354100000000005</v>
      </c>
      <c r="H552">
        <v>0.69845900000000005</v>
      </c>
      <c r="I552">
        <v>0.70742799999999995</v>
      </c>
      <c r="J552">
        <v>0.65023799999999998</v>
      </c>
      <c r="K552">
        <v>0.64083000000000001</v>
      </c>
      <c r="L552">
        <v>0.54490000000000005</v>
      </c>
      <c r="M552">
        <v>0.697048</v>
      </c>
      <c r="N552">
        <v>0.63525399999999999</v>
      </c>
      <c r="O552" s="8">
        <f>VLOOKUP($B552,floorspace!$B$4:$O$12,'shell factors calc'!O$2+1,FALSE)</f>
        <v>1426.487427</v>
      </c>
      <c r="P552" s="8">
        <f>VLOOKUP($B552,floorspace!$B$4:$O$12,'shell factors calc'!P$2+1,FALSE)</f>
        <v>1360.7664789999999</v>
      </c>
      <c r="Q552" s="8">
        <f>VLOOKUP($B552,floorspace!$B$4:$O$12,'shell factors calc'!Q$2+1,FALSE)</f>
        <v>115.483704</v>
      </c>
      <c r="R552" s="8">
        <f>VLOOKUP($B552,floorspace!$B$4:$O$12,'shell factors calc'!R$2+1,FALSE)</f>
        <v>190.85375999999999</v>
      </c>
      <c r="S552" s="8">
        <f>VLOOKUP($B552,floorspace!$B$4:$O$12,'shell factors calc'!S$2+1,FALSE)</f>
        <v>325.72094700000002</v>
      </c>
      <c r="T552" s="8">
        <f>VLOOKUP($B552,floorspace!$B$4:$O$12,'shell factors calc'!T$2+1,FALSE)</f>
        <v>885.83789100000001</v>
      </c>
      <c r="U552" s="8">
        <f>VLOOKUP($B552,floorspace!$B$4:$O$12,'shell factors calc'!U$2+1,FALSE)</f>
        <v>1391.6861570000001</v>
      </c>
      <c r="V552" s="8">
        <f>VLOOKUP($B552,floorspace!$B$4:$O$12,'shell factors calc'!V$2+1,FALSE)</f>
        <v>952.37109399999997</v>
      </c>
      <c r="W552" s="8">
        <f>VLOOKUP($B552,floorspace!$B$4:$O$12,'shell factors calc'!W$2+1,FALSE)</f>
        <v>1766.4886469999999</v>
      </c>
      <c r="X552" s="8">
        <f>VLOOKUP($B552,floorspace!$B$4:$O$12,'shell factors calc'!X$2+1,FALSE)</f>
        <v>2912.772461</v>
      </c>
      <c r="Y552" s="8">
        <f>VLOOKUP($B552,floorspace!$B$4:$O$12,'shell factors calc'!Y$2+1,FALSE)</f>
        <v>529.23895300000004</v>
      </c>
      <c r="Z552">
        <f t="shared" si="8"/>
        <v>0.6331657477364242</v>
      </c>
    </row>
    <row r="553" spans="1:26" x14ac:dyDescent="0.2">
      <c r="A553" s="5" t="s">
        <v>46</v>
      </c>
      <c r="B553" s="5" t="s">
        <v>44</v>
      </c>
      <c r="C553" s="6" t="s">
        <v>11</v>
      </c>
      <c r="D553" s="7">
        <v>0.55316299999999996</v>
      </c>
      <c r="E553">
        <v>0.54805400000000004</v>
      </c>
      <c r="F553">
        <v>0.84547000000000005</v>
      </c>
      <c r="G553">
        <v>0.78961700000000001</v>
      </c>
      <c r="H553">
        <v>0.69134399999999996</v>
      </c>
      <c r="I553">
        <v>0.70028900000000005</v>
      </c>
      <c r="J553">
        <v>0.64237599999999995</v>
      </c>
      <c r="K553">
        <v>0.63391799999999998</v>
      </c>
      <c r="L553">
        <v>0.535362</v>
      </c>
      <c r="M553">
        <v>0.68953900000000001</v>
      </c>
      <c r="N553">
        <v>0.62724899999999995</v>
      </c>
      <c r="O553" s="8">
        <f>VLOOKUP($B553,floorspace!$B$4:$O$12,'shell factors calc'!O$2+1,FALSE)</f>
        <v>1426.487427</v>
      </c>
      <c r="P553" s="8">
        <f>VLOOKUP($B553,floorspace!$B$4:$O$12,'shell factors calc'!P$2+1,FALSE)</f>
        <v>1360.7664789999999</v>
      </c>
      <c r="Q553" s="8">
        <f>VLOOKUP($B553,floorspace!$B$4:$O$12,'shell factors calc'!Q$2+1,FALSE)</f>
        <v>115.483704</v>
      </c>
      <c r="R553" s="8">
        <f>VLOOKUP($B553,floorspace!$B$4:$O$12,'shell factors calc'!R$2+1,FALSE)</f>
        <v>190.85375999999999</v>
      </c>
      <c r="S553" s="8">
        <f>VLOOKUP($B553,floorspace!$B$4:$O$12,'shell factors calc'!S$2+1,FALSE)</f>
        <v>325.72094700000002</v>
      </c>
      <c r="T553" s="8">
        <f>VLOOKUP($B553,floorspace!$B$4:$O$12,'shell factors calc'!T$2+1,FALSE)</f>
        <v>885.83789100000001</v>
      </c>
      <c r="U553" s="8">
        <f>VLOOKUP($B553,floorspace!$B$4:$O$12,'shell factors calc'!U$2+1,FALSE)</f>
        <v>1391.6861570000001</v>
      </c>
      <c r="V553" s="8">
        <f>VLOOKUP($B553,floorspace!$B$4:$O$12,'shell factors calc'!V$2+1,FALSE)</f>
        <v>952.37109399999997</v>
      </c>
      <c r="W553" s="8">
        <f>VLOOKUP($B553,floorspace!$B$4:$O$12,'shell factors calc'!W$2+1,FALSE)</f>
        <v>1766.4886469999999</v>
      </c>
      <c r="X553" s="8">
        <f>VLOOKUP($B553,floorspace!$B$4:$O$12,'shell factors calc'!X$2+1,FALSE)</f>
        <v>2912.772461</v>
      </c>
      <c r="Y553" s="8">
        <f>VLOOKUP($B553,floorspace!$B$4:$O$12,'shell factors calc'!Y$2+1,FALSE)</f>
        <v>529.23895300000004</v>
      </c>
      <c r="Z553">
        <f t="shared" si="8"/>
        <v>0.62512735896304583</v>
      </c>
    </row>
    <row r="554" spans="1:26" x14ac:dyDescent="0.2">
      <c r="A554" s="5" t="s">
        <v>46</v>
      </c>
      <c r="B554" s="5" t="s">
        <v>44</v>
      </c>
      <c r="C554" s="6" t="s">
        <v>12</v>
      </c>
      <c r="D554" s="7">
        <v>0.54454199999999997</v>
      </c>
      <c r="E554">
        <v>0.53928900000000002</v>
      </c>
      <c r="F554">
        <v>0.83833299999999999</v>
      </c>
      <c r="G554">
        <v>0.78571299999999999</v>
      </c>
      <c r="H554">
        <v>0.68430100000000005</v>
      </c>
      <c r="I554">
        <v>0.693222</v>
      </c>
      <c r="J554">
        <v>0.63461000000000001</v>
      </c>
      <c r="K554">
        <v>0.62707999999999997</v>
      </c>
      <c r="L554">
        <v>0.52599099999999999</v>
      </c>
      <c r="M554">
        <v>0.68211100000000002</v>
      </c>
      <c r="N554">
        <v>0.61934400000000001</v>
      </c>
      <c r="O554" s="8">
        <f>VLOOKUP($B554,floorspace!$B$4:$O$12,'shell factors calc'!O$2+1,FALSE)</f>
        <v>1426.487427</v>
      </c>
      <c r="P554" s="8">
        <f>VLOOKUP($B554,floorspace!$B$4:$O$12,'shell factors calc'!P$2+1,FALSE)</f>
        <v>1360.7664789999999</v>
      </c>
      <c r="Q554" s="8">
        <f>VLOOKUP($B554,floorspace!$B$4:$O$12,'shell factors calc'!Q$2+1,FALSE)</f>
        <v>115.483704</v>
      </c>
      <c r="R554" s="8">
        <f>VLOOKUP($B554,floorspace!$B$4:$O$12,'shell factors calc'!R$2+1,FALSE)</f>
        <v>190.85375999999999</v>
      </c>
      <c r="S554" s="8">
        <f>VLOOKUP($B554,floorspace!$B$4:$O$12,'shell factors calc'!S$2+1,FALSE)</f>
        <v>325.72094700000002</v>
      </c>
      <c r="T554" s="8">
        <f>VLOOKUP($B554,floorspace!$B$4:$O$12,'shell factors calc'!T$2+1,FALSE)</f>
        <v>885.83789100000001</v>
      </c>
      <c r="U554" s="8">
        <f>VLOOKUP($B554,floorspace!$B$4:$O$12,'shell factors calc'!U$2+1,FALSE)</f>
        <v>1391.6861570000001</v>
      </c>
      <c r="V554" s="8">
        <f>VLOOKUP($B554,floorspace!$B$4:$O$12,'shell factors calc'!V$2+1,FALSE)</f>
        <v>952.37109399999997</v>
      </c>
      <c r="W554" s="8">
        <f>VLOOKUP($B554,floorspace!$B$4:$O$12,'shell factors calc'!W$2+1,FALSE)</f>
        <v>1766.4886469999999</v>
      </c>
      <c r="X554" s="8">
        <f>VLOOKUP($B554,floorspace!$B$4:$O$12,'shell factors calc'!X$2+1,FALSE)</f>
        <v>2912.772461</v>
      </c>
      <c r="Y554" s="8">
        <f>VLOOKUP($B554,floorspace!$B$4:$O$12,'shell factors calc'!Y$2+1,FALSE)</f>
        <v>529.23895300000004</v>
      </c>
      <c r="Z554">
        <f t="shared" si="8"/>
        <v>0.61719647885584683</v>
      </c>
    </row>
    <row r="555" spans="1:26" x14ac:dyDescent="0.2">
      <c r="A555" s="5" t="s">
        <v>46</v>
      </c>
      <c r="B555" s="5" t="s">
        <v>44</v>
      </c>
      <c r="C555" s="6" t="s">
        <v>13</v>
      </c>
      <c r="D555" s="7">
        <v>0.53605499999999995</v>
      </c>
      <c r="E555">
        <v>0.53066500000000005</v>
      </c>
      <c r="F555">
        <v>0.83125499999999997</v>
      </c>
      <c r="G555">
        <v>0.781829</v>
      </c>
      <c r="H555">
        <v>0.67732999999999999</v>
      </c>
      <c r="I555">
        <v>0.68622700000000003</v>
      </c>
      <c r="J555">
        <v>0.62693699999999997</v>
      </c>
      <c r="K555">
        <v>0.62031700000000001</v>
      </c>
      <c r="L555">
        <v>0.51678400000000002</v>
      </c>
      <c r="M555">
        <v>0.674763</v>
      </c>
      <c r="N555">
        <v>0.61153900000000005</v>
      </c>
      <c r="O555" s="8">
        <f>VLOOKUP($B555,floorspace!$B$4:$O$12,'shell factors calc'!O$2+1,FALSE)</f>
        <v>1426.487427</v>
      </c>
      <c r="P555" s="8">
        <f>VLOOKUP($B555,floorspace!$B$4:$O$12,'shell factors calc'!P$2+1,FALSE)</f>
        <v>1360.7664789999999</v>
      </c>
      <c r="Q555" s="8">
        <f>VLOOKUP($B555,floorspace!$B$4:$O$12,'shell factors calc'!Q$2+1,FALSE)</f>
        <v>115.483704</v>
      </c>
      <c r="R555" s="8">
        <f>VLOOKUP($B555,floorspace!$B$4:$O$12,'shell factors calc'!R$2+1,FALSE)</f>
        <v>190.85375999999999</v>
      </c>
      <c r="S555" s="8">
        <f>VLOOKUP($B555,floorspace!$B$4:$O$12,'shell factors calc'!S$2+1,FALSE)</f>
        <v>325.72094700000002</v>
      </c>
      <c r="T555" s="8">
        <f>VLOOKUP($B555,floorspace!$B$4:$O$12,'shell factors calc'!T$2+1,FALSE)</f>
        <v>885.83789100000001</v>
      </c>
      <c r="U555" s="8">
        <f>VLOOKUP($B555,floorspace!$B$4:$O$12,'shell factors calc'!U$2+1,FALSE)</f>
        <v>1391.6861570000001</v>
      </c>
      <c r="V555" s="8">
        <f>VLOOKUP($B555,floorspace!$B$4:$O$12,'shell factors calc'!V$2+1,FALSE)</f>
        <v>952.37109399999997</v>
      </c>
      <c r="W555" s="8">
        <f>VLOOKUP($B555,floorspace!$B$4:$O$12,'shell factors calc'!W$2+1,FALSE)</f>
        <v>1766.4886469999999</v>
      </c>
      <c r="X555" s="8">
        <f>VLOOKUP($B555,floorspace!$B$4:$O$12,'shell factors calc'!X$2+1,FALSE)</f>
        <v>2912.772461</v>
      </c>
      <c r="Y555" s="8">
        <f>VLOOKUP($B555,floorspace!$B$4:$O$12,'shell factors calc'!Y$2+1,FALSE)</f>
        <v>529.23895300000004</v>
      </c>
      <c r="Z555">
        <f t="shared" si="8"/>
        <v>0.60937163819275186</v>
      </c>
    </row>
    <row r="556" spans="1:26" x14ac:dyDescent="0.2">
      <c r="A556" s="5" t="s">
        <v>46</v>
      </c>
      <c r="B556" s="5" t="s">
        <v>44</v>
      </c>
      <c r="C556" s="6" t="s">
        <v>14</v>
      </c>
      <c r="D556" s="7">
        <v>0.52769999999999995</v>
      </c>
      <c r="E556">
        <v>0.52217800000000003</v>
      </c>
      <c r="F556">
        <v>0.82423800000000003</v>
      </c>
      <c r="G556">
        <v>0.77796299999999996</v>
      </c>
      <c r="H556">
        <v>0.67042999999999997</v>
      </c>
      <c r="I556">
        <v>0.67930100000000004</v>
      </c>
      <c r="J556">
        <v>0.61935700000000005</v>
      </c>
      <c r="K556">
        <v>0.613626</v>
      </c>
      <c r="L556">
        <v>0.50773900000000005</v>
      </c>
      <c r="M556">
        <v>0.66749400000000003</v>
      </c>
      <c r="N556">
        <v>0.60383299999999995</v>
      </c>
      <c r="O556" s="8">
        <f>VLOOKUP($B556,floorspace!$B$4:$O$12,'shell factors calc'!O$2+1,FALSE)</f>
        <v>1426.487427</v>
      </c>
      <c r="P556" s="8">
        <f>VLOOKUP($B556,floorspace!$B$4:$O$12,'shell factors calc'!P$2+1,FALSE)</f>
        <v>1360.7664789999999</v>
      </c>
      <c r="Q556" s="8">
        <f>VLOOKUP($B556,floorspace!$B$4:$O$12,'shell factors calc'!Q$2+1,FALSE)</f>
        <v>115.483704</v>
      </c>
      <c r="R556" s="8">
        <f>VLOOKUP($B556,floorspace!$B$4:$O$12,'shell factors calc'!R$2+1,FALSE)</f>
        <v>190.85375999999999</v>
      </c>
      <c r="S556" s="8">
        <f>VLOOKUP($B556,floorspace!$B$4:$O$12,'shell factors calc'!S$2+1,FALSE)</f>
        <v>325.72094700000002</v>
      </c>
      <c r="T556" s="8">
        <f>VLOOKUP($B556,floorspace!$B$4:$O$12,'shell factors calc'!T$2+1,FALSE)</f>
        <v>885.83789100000001</v>
      </c>
      <c r="U556" s="8">
        <f>VLOOKUP($B556,floorspace!$B$4:$O$12,'shell factors calc'!U$2+1,FALSE)</f>
        <v>1391.6861570000001</v>
      </c>
      <c r="V556" s="8">
        <f>VLOOKUP($B556,floorspace!$B$4:$O$12,'shell factors calc'!V$2+1,FALSE)</f>
        <v>952.37109399999997</v>
      </c>
      <c r="W556" s="8">
        <f>VLOOKUP($B556,floorspace!$B$4:$O$12,'shell factors calc'!W$2+1,FALSE)</f>
        <v>1766.4886469999999</v>
      </c>
      <c r="X556" s="8">
        <f>VLOOKUP($B556,floorspace!$B$4:$O$12,'shell factors calc'!X$2+1,FALSE)</f>
        <v>2912.772461</v>
      </c>
      <c r="Y556" s="8">
        <f>VLOOKUP($B556,floorspace!$B$4:$O$12,'shell factors calc'!Y$2+1,FALSE)</f>
        <v>529.23895300000004</v>
      </c>
      <c r="Z556">
        <f t="shared" si="8"/>
        <v>0.60165104386852042</v>
      </c>
    </row>
    <row r="557" spans="1:26" x14ac:dyDescent="0.2">
      <c r="A557" s="5" t="s">
        <v>46</v>
      </c>
      <c r="B557" s="5" t="s">
        <v>44</v>
      </c>
      <c r="C557" s="6" t="s">
        <v>15</v>
      </c>
      <c r="D557" s="7">
        <v>0.51947600000000005</v>
      </c>
      <c r="E557">
        <v>0.51382700000000003</v>
      </c>
      <c r="F557">
        <v>0.81728000000000001</v>
      </c>
      <c r="G557">
        <v>0.77411700000000006</v>
      </c>
      <c r="H557">
        <v>0.66359999999999997</v>
      </c>
      <c r="I557">
        <v>0.67244599999999999</v>
      </c>
      <c r="J557">
        <v>0.61186799999999997</v>
      </c>
      <c r="K557">
        <v>0.60700699999999996</v>
      </c>
      <c r="L557">
        <v>0.49885200000000002</v>
      </c>
      <c r="M557">
        <v>0.66030299999999997</v>
      </c>
      <c r="N557">
        <v>0.59622399999999998</v>
      </c>
      <c r="O557" s="8">
        <f>VLOOKUP($B557,floorspace!$B$4:$O$12,'shell factors calc'!O$2+1,FALSE)</f>
        <v>1426.487427</v>
      </c>
      <c r="P557" s="8">
        <f>VLOOKUP($B557,floorspace!$B$4:$O$12,'shell factors calc'!P$2+1,FALSE)</f>
        <v>1360.7664789999999</v>
      </c>
      <c r="Q557" s="8">
        <f>VLOOKUP($B557,floorspace!$B$4:$O$12,'shell factors calc'!Q$2+1,FALSE)</f>
        <v>115.483704</v>
      </c>
      <c r="R557" s="8">
        <f>VLOOKUP($B557,floorspace!$B$4:$O$12,'shell factors calc'!R$2+1,FALSE)</f>
        <v>190.85375999999999</v>
      </c>
      <c r="S557" s="8">
        <f>VLOOKUP($B557,floorspace!$B$4:$O$12,'shell factors calc'!S$2+1,FALSE)</f>
        <v>325.72094700000002</v>
      </c>
      <c r="T557" s="8">
        <f>VLOOKUP($B557,floorspace!$B$4:$O$12,'shell factors calc'!T$2+1,FALSE)</f>
        <v>885.83789100000001</v>
      </c>
      <c r="U557" s="8">
        <f>VLOOKUP($B557,floorspace!$B$4:$O$12,'shell factors calc'!U$2+1,FALSE)</f>
        <v>1391.6861570000001</v>
      </c>
      <c r="V557" s="8">
        <f>VLOOKUP($B557,floorspace!$B$4:$O$12,'shell factors calc'!V$2+1,FALSE)</f>
        <v>952.37109399999997</v>
      </c>
      <c r="W557" s="8">
        <f>VLOOKUP($B557,floorspace!$B$4:$O$12,'shell factors calc'!W$2+1,FALSE)</f>
        <v>1766.4886469999999</v>
      </c>
      <c r="X557" s="8">
        <f>VLOOKUP($B557,floorspace!$B$4:$O$12,'shell factors calc'!X$2+1,FALSE)</f>
        <v>2912.772461</v>
      </c>
      <c r="Y557" s="8">
        <f>VLOOKUP($B557,floorspace!$B$4:$O$12,'shell factors calc'!Y$2+1,FALSE)</f>
        <v>529.23895300000004</v>
      </c>
      <c r="Z557">
        <f t="shared" si="8"/>
        <v>0.59403342994399855</v>
      </c>
    </row>
    <row r="558" spans="1:26" x14ac:dyDescent="0.2">
      <c r="A558" s="5" t="s">
        <v>46</v>
      </c>
      <c r="B558" s="5" t="s">
        <v>44</v>
      </c>
      <c r="C558" s="6" t="s">
        <v>16</v>
      </c>
      <c r="D558" s="7">
        <v>0.51137999999999995</v>
      </c>
      <c r="E558">
        <v>0.50561</v>
      </c>
      <c r="F558">
        <v>0.81037999999999999</v>
      </c>
      <c r="G558">
        <v>0.77029000000000003</v>
      </c>
      <c r="H558">
        <v>0.65683999999999998</v>
      </c>
      <c r="I558">
        <v>0.66566000000000003</v>
      </c>
      <c r="J558">
        <v>0.60446999999999995</v>
      </c>
      <c r="K558">
        <v>0.60045999999999999</v>
      </c>
      <c r="L558">
        <v>0.49012</v>
      </c>
      <c r="M558">
        <v>0.65319000000000005</v>
      </c>
      <c r="N558">
        <v>0.58870999999999996</v>
      </c>
      <c r="O558" s="8">
        <f>VLOOKUP($B558,floorspace!$B$4:$O$12,'shell factors calc'!O$2+1,FALSE)</f>
        <v>1426.487427</v>
      </c>
      <c r="P558" s="8">
        <f>VLOOKUP($B558,floorspace!$B$4:$O$12,'shell factors calc'!P$2+1,FALSE)</f>
        <v>1360.7664789999999</v>
      </c>
      <c r="Q558" s="8">
        <f>VLOOKUP($B558,floorspace!$B$4:$O$12,'shell factors calc'!Q$2+1,FALSE)</f>
        <v>115.483704</v>
      </c>
      <c r="R558" s="8">
        <f>VLOOKUP($B558,floorspace!$B$4:$O$12,'shell factors calc'!R$2+1,FALSE)</f>
        <v>190.85375999999999</v>
      </c>
      <c r="S558" s="8">
        <f>VLOOKUP($B558,floorspace!$B$4:$O$12,'shell factors calc'!S$2+1,FALSE)</f>
        <v>325.72094700000002</v>
      </c>
      <c r="T558" s="8">
        <f>VLOOKUP($B558,floorspace!$B$4:$O$12,'shell factors calc'!T$2+1,FALSE)</f>
        <v>885.83789100000001</v>
      </c>
      <c r="U558" s="8">
        <f>VLOOKUP($B558,floorspace!$B$4:$O$12,'shell factors calc'!U$2+1,FALSE)</f>
        <v>1391.6861570000001</v>
      </c>
      <c r="V558" s="8">
        <f>VLOOKUP($B558,floorspace!$B$4:$O$12,'shell factors calc'!V$2+1,FALSE)</f>
        <v>952.37109399999997</v>
      </c>
      <c r="W558" s="8">
        <f>VLOOKUP($B558,floorspace!$B$4:$O$12,'shell factors calc'!W$2+1,FALSE)</f>
        <v>1766.4886469999999</v>
      </c>
      <c r="X558" s="8">
        <f>VLOOKUP($B558,floorspace!$B$4:$O$12,'shell factors calc'!X$2+1,FALSE)</f>
        <v>2912.772461</v>
      </c>
      <c r="Y558" s="8">
        <f>VLOOKUP($B558,floorspace!$B$4:$O$12,'shell factors calc'!Y$2+1,FALSE)</f>
        <v>529.23895300000004</v>
      </c>
      <c r="Z558">
        <f t="shared" si="8"/>
        <v>0.5865174945695405</v>
      </c>
    </row>
    <row r="559" spans="1:26" x14ac:dyDescent="0.2">
      <c r="A559" s="5" t="s">
        <v>46</v>
      </c>
      <c r="B559" s="5" t="s">
        <v>44</v>
      </c>
      <c r="C559" s="6" t="s">
        <v>17</v>
      </c>
      <c r="D559" s="7">
        <v>0.50198399999999999</v>
      </c>
      <c r="E559">
        <v>0.496031</v>
      </c>
      <c r="F559">
        <v>0.80612399999999995</v>
      </c>
      <c r="G559">
        <v>0.76630399999999999</v>
      </c>
      <c r="H559">
        <v>0.64942800000000001</v>
      </c>
      <c r="I559">
        <v>0.65822800000000004</v>
      </c>
      <c r="J559">
        <v>0.59619900000000003</v>
      </c>
      <c r="K559">
        <v>0.59323800000000004</v>
      </c>
      <c r="L559">
        <v>0.479771</v>
      </c>
      <c r="M559">
        <v>0.64534400000000003</v>
      </c>
      <c r="N559">
        <v>0.58026299999999997</v>
      </c>
      <c r="O559" s="8">
        <f>VLOOKUP($B559,floorspace!$B$4:$O$12,'shell factors calc'!O$2+1,FALSE)</f>
        <v>1426.487427</v>
      </c>
      <c r="P559" s="8">
        <f>VLOOKUP($B559,floorspace!$B$4:$O$12,'shell factors calc'!P$2+1,FALSE)</f>
        <v>1360.7664789999999</v>
      </c>
      <c r="Q559" s="8">
        <f>VLOOKUP($B559,floorspace!$B$4:$O$12,'shell factors calc'!Q$2+1,FALSE)</f>
        <v>115.483704</v>
      </c>
      <c r="R559" s="8">
        <f>VLOOKUP($B559,floorspace!$B$4:$O$12,'shell factors calc'!R$2+1,FALSE)</f>
        <v>190.85375999999999</v>
      </c>
      <c r="S559" s="8">
        <f>VLOOKUP($B559,floorspace!$B$4:$O$12,'shell factors calc'!S$2+1,FALSE)</f>
        <v>325.72094700000002</v>
      </c>
      <c r="T559" s="8">
        <f>VLOOKUP($B559,floorspace!$B$4:$O$12,'shell factors calc'!T$2+1,FALSE)</f>
        <v>885.83789100000001</v>
      </c>
      <c r="U559" s="8">
        <f>VLOOKUP($B559,floorspace!$B$4:$O$12,'shell factors calc'!U$2+1,FALSE)</f>
        <v>1391.6861570000001</v>
      </c>
      <c r="V559" s="8">
        <f>VLOOKUP($B559,floorspace!$B$4:$O$12,'shell factors calc'!V$2+1,FALSE)</f>
        <v>952.37109399999997</v>
      </c>
      <c r="W559" s="8">
        <f>VLOOKUP($B559,floorspace!$B$4:$O$12,'shell factors calc'!W$2+1,FALSE)</f>
        <v>1766.4886469999999</v>
      </c>
      <c r="X559" s="8">
        <f>VLOOKUP($B559,floorspace!$B$4:$O$12,'shell factors calc'!X$2+1,FALSE)</f>
        <v>2912.772461</v>
      </c>
      <c r="Y559" s="8">
        <f>VLOOKUP($B559,floorspace!$B$4:$O$12,'shell factors calc'!Y$2+1,FALSE)</f>
        <v>529.23895300000004</v>
      </c>
      <c r="Z559">
        <f t="shared" si="8"/>
        <v>0.57802662600902921</v>
      </c>
    </row>
    <row r="560" spans="1:26" x14ac:dyDescent="0.2">
      <c r="A560" s="5" t="s">
        <v>46</v>
      </c>
      <c r="B560" s="5" t="s">
        <v>44</v>
      </c>
      <c r="C560" s="6" t="s">
        <v>18</v>
      </c>
      <c r="D560" s="7">
        <v>0.492761</v>
      </c>
      <c r="E560">
        <v>0.48663400000000001</v>
      </c>
      <c r="F560">
        <v>0.80188999999999999</v>
      </c>
      <c r="G560">
        <v>0.76234000000000002</v>
      </c>
      <c r="H560">
        <v>0.64209899999999998</v>
      </c>
      <c r="I560">
        <v>0.65087799999999996</v>
      </c>
      <c r="J560">
        <v>0.58804100000000004</v>
      </c>
      <c r="K560">
        <v>0.58610399999999996</v>
      </c>
      <c r="L560">
        <v>0.46964099999999998</v>
      </c>
      <c r="M560">
        <v>0.63759299999999997</v>
      </c>
      <c r="N560">
        <v>0.57193700000000003</v>
      </c>
      <c r="O560" s="8">
        <f>VLOOKUP($B560,floorspace!$B$4:$O$12,'shell factors calc'!O$2+1,FALSE)</f>
        <v>1426.487427</v>
      </c>
      <c r="P560" s="8">
        <f>VLOOKUP($B560,floorspace!$B$4:$O$12,'shell factors calc'!P$2+1,FALSE)</f>
        <v>1360.7664789999999</v>
      </c>
      <c r="Q560" s="8">
        <f>VLOOKUP($B560,floorspace!$B$4:$O$12,'shell factors calc'!Q$2+1,FALSE)</f>
        <v>115.483704</v>
      </c>
      <c r="R560" s="8">
        <f>VLOOKUP($B560,floorspace!$B$4:$O$12,'shell factors calc'!R$2+1,FALSE)</f>
        <v>190.85375999999999</v>
      </c>
      <c r="S560" s="8">
        <f>VLOOKUP($B560,floorspace!$B$4:$O$12,'shell factors calc'!S$2+1,FALSE)</f>
        <v>325.72094700000002</v>
      </c>
      <c r="T560" s="8">
        <f>VLOOKUP($B560,floorspace!$B$4:$O$12,'shell factors calc'!T$2+1,FALSE)</f>
        <v>885.83789100000001</v>
      </c>
      <c r="U560" s="8">
        <f>VLOOKUP($B560,floorspace!$B$4:$O$12,'shell factors calc'!U$2+1,FALSE)</f>
        <v>1391.6861570000001</v>
      </c>
      <c r="V560" s="8">
        <f>VLOOKUP($B560,floorspace!$B$4:$O$12,'shell factors calc'!V$2+1,FALSE)</f>
        <v>952.37109399999997</v>
      </c>
      <c r="W560" s="8">
        <f>VLOOKUP($B560,floorspace!$B$4:$O$12,'shell factors calc'!W$2+1,FALSE)</f>
        <v>1766.4886469999999</v>
      </c>
      <c r="X560" s="8">
        <f>VLOOKUP($B560,floorspace!$B$4:$O$12,'shell factors calc'!X$2+1,FALSE)</f>
        <v>2912.772461</v>
      </c>
      <c r="Y560" s="8">
        <f>VLOOKUP($B560,floorspace!$B$4:$O$12,'shell factors calc'!Y$2+1,FALSE)</f>
        <v>529.23895300000004</v>
      </c>
      <c r="Z560">
        <f t="shared" si="8"/>
        <v>0.56966812167609604</v>
      </c>
    </row>
    <row r="561" spans="1:26" x14ac:dyDescent="0.2">
      <c r="A561" s="5" t="s">
        <v>46</v>
      </c>
      <c r="B561" s="5" t="s">
        <v>44</v>
      </c>
      <c r="C561" s="6" t="s">
        <v>19</v>
      </c>
      <c r="D561" s="7">
        <v>0.483707</v>
      </c>
      <c r="E561">
        <v>0.47741499999999998</v>
      </c>
      <c r="F561">
        <v>0.797678</v>
      </c>
      <c r="G561">
        <v>0.75839500000000004</v>
      </c>
      <c r="H561">
        <v>0.634853</v>
      </c>
      <c r="I561">
        <v>0.64361000000000002</v>
      </c>
      <c r="J561">
        <v>0.57999500000000004</v>
      </c>
      <c r="K561">
        <v>0.57905499999999999</v>
      </c>
      <c r="L561">
        <v>0.45972400000000002</v>
      </c>
      <c r="M561">
        <v>0.62993399999999999</v>
      </c>
      <c r="N561">
        <v>0.56373099999999998</v>
      </c>
      <c r="O561" s="8">
        <f>VLOOKUP($B561,floorspace!$B$4:$O$12,'shell factors calc'!O$2+1,FALSE)</f>
        <v>1426.487427</v>
      </c>
      <c r="P561" s="8">
        <f>VLOOKUP($B561,floorspace!$B$4:$O$12,'shell factors calc'!P$2+1,FALSE)</f>
        <v>1360.7664789999999</v>
      </c>
      <c r="Q561" s="8">
        <f>VLOOKUP($B561,floorspace!$B$4:$O$12,'shell factors calc'!Q$2+1,FALSE)</f>
        <v>115.483704</v>
      </c>
      <c r="R561" s="8">
        <f>VLOOKUP($B561,floorspace!$B$4:$O$12,'shell factors calc'!R$2+1,FALSE)</f>
        <v>190.85375999999999</v>
      </c>
      <c r="S561" s="8">
        <f>VLOOKUP($B561,floorspace!$B$4:$O$12,'shell factors calc'!S$2+1,FALSE)</f>
        <v>325.72094700000002</v>
      </c>
      <c r="T561" s="8">
        <f>VLOOKUP($B561,floorspace!$B$4:$O$12,'shell factors calc'!T$2+1,FALSE)</f>
        <v>885.83789100000001</v>
      </c>
      <c r="U561" s="8">
        <f>VLOOKUP($B561,floorspace!$B$4:$O$12,'shell factors calc'!U$2+1,FALSE)</f>
        <v>1391.6861570000001</v>
      </c>
      <c r="V561" s="8">
        <f>VLOOKUP($B561,floorspace!$B$4:$O$12,'shell factors calc'!V$2+1,FALSE)</f>
        <v>952.37109399999997</v>
      </c>
      <c r="W561" s="8">
        <f>VLOOKUP($B561,floorspace!$B$4:$O$12,'shell factors calc'!W$2+1,FALSE)</f>
        <v>1766.4886469999999</v>
      </c>
      <c r="X561" s="8">
        <f>VLOOKUP($B561,floorspace!$B$4:$O$12,'shell factors calc'!X$2+1,FALSE)</f>
        <v>2912.772461</v>
      </c>
      <c r="Y561" s="8">
        <f>VLOOKUP($B561,floorspace!$B$4:$O$12,'shell factors calc'!Y$2+1,FALSE)</f>
        <v>529.23895300000004</v>
      </c>
      <c r="Z561">
        <f t="shared" si="8"/>
        <v>0.56143895932849908</v>
      </c>
    </row>
    <row r="562" spans="1:26" x14ac:dyDescent="0.2">
      <c r="A562" s="5" t="s">
        <v>46</v>
      </c>
      <c r="B562" s="5" t="s">
        <v>44</v>
      </c>
      <c r="C562" s="6" t="s">
        <v>20</v>
      </c>
      <c r="D562" s="7">
        <v>0.47481899999999999</v>
      </c>
      <c r="E562">
        <v>0.46837000000000001</v>
      </c>
      <c r="F562">
        <v>0.793489</v>
      </c>
      <c r="G562">
        <v>0.754471</v>
      </c>
      <c r="H562">
        <v>0.62768900000000005</v>
      </c>
      <c r="I562">
        <v>0.63642399999999999</v>
      </c>
      <c r="J562">
        <v>0.57205799999999996</v>
      </c>
      <c r="K562">
        <v>0.57209100000000002</v>
      </c>
      <c r="L562">
        <v>0.450017</v>
      </c>
      <c r="M562">
        <v>0.62236800000000003</v>
      </c>
      <c r="N562">
        <v>0.55564199999999997</v>
      </c>
      <c r="O562" s="8">
        <f>VLOOKUP($B562,floorspace!$B$4:$O$12,'shell factors calc'!O$2+1,FALSE)</f>
        <v>1426.487427</v>
      </c>
      <c r="P562" s="8">
        <f>VLOOKUP($B562,floorspace!$B$4:$O$12,'shell factors calc'!P$2+1,FALSE)</f>
        <v>1360.7664789999999</v>
      </c>
      <c r="Q562" s="8">
        <f>VLOOKUP($B562,floorspace!$B$4:$O$12,'shell factors calc'!Q$2+1,FALSE)</f>
        <v>115.483704</v>
      </c>
      <c r="R562" s="8">
        <f>VLOOKUP($B562,floorspace!$B$4:$O$12,'shell factors calc'!R$2+1,FALSE)</f>
        <v>190.85375999999999</v>
      </c>
      <c r="S562" s="8">
        <f>VLOOKUP($B562,floorspace!$B$4:$O$12,'shell factors calc'!S$2+1,FALSE)</f>
        <v>325.72094700000002</v>
      </c>
      <c r="T562" s="8">
        <f>VLOOKUP($B562,floorspace!$B$4:$O$12,'shell factors calc'!T$2+1,FALSE)</f>
        <v>885.83789100000001</v>
      </c>
      <c r="U562" s="8">
        <f>VLOOKUP($B562,floorspace!$B$4:$O$12,'shell factors calc'!U$2+1,FALSE)</f>
        <v>1391.6861570000001</v>
      </c>
      <c r="V562" s="8">
        <f>VLOOKUP($B562,floorspace!$B$4:$O$12,'shell factors calc'!V$2+1,FALSE)</f>
        <v>952.37109399999997</v>
      </c>
      <c r="W562" s="8">
        <f>VLOOKUP($B562,floorspace!$B$4:$O$12,'shell factors calc'!W$2+1,FALSE)</f>
        <v>1766.4886469999999</v>
      </c>
      <c r="X562" s="8">
        <f>VLOOKUP($B562,floorspace!$B$4:$O$12,'shell factors calc'!X$2+1,FALSE)</f>
        <v>2912.772461</v>
      </c>
      <c r="Y562" s="8">
        <f>VLOOKUP($B562,floorspace!$B$4:$O$12,'shell factors calc'!Y$2+1,FALSE)</f>
        <v>529.23895300000004</v>
      </c>
      <c r="Z562">
        <f t="shared" ref="Z562:Z578" si="9">SUMPRODUCT(D562:N562,O562:Y562)/SUM(O562:Y562)</f>
        <v>0.55333764622181869</v>
      </c>
    </row>
    <row r="563" spans="1:26" x14ac:dyDescent="0.2">
      <c r="A563" s="5" t="s">
        <v>46</v>
      </c>
      <c r="B563" s="5" t="s">
        <v>44</v>
      </c>
      <c r="C563" s="6" t="s">
        <v>21</v>
      </c>
      <c r="D563" s="7">
        <v>0.46609499999999998</v>
      </c>
      <c r="E563">
        <v>0.45949699999999999</v>
      </c>
      <c r="F563">
        <v>0.78932100000000005</v>
      </c>
      <c r="G563">
        <v>0.75056800000000001</v>
      </c>
      <c r="H563">
        <v>0.62060599999999999</v>
      </c>
      <c r="I563">
        <v>0.62931800000000004</v>
      </c>
      <c r="J563">
        <v>0.56423100000000004</v>
      </c>
      <c r="K563">
        <v>0.56520999999999999</v>
      </c>
      <c r="L563">
        <v>0.44051499999999999</v>
      </c>
      <c r="M563">
        <v>0.61489199999999999</v>
      </c>
      <c r="N563">
        <v>0.54766999999999999</v>
      </c>
      <c r="O563" s="8">
        <f>VLOOKUP($B563,floorspace!$B$4:$O$12,'shell factors calc'!O$2+1,FALSE)</f>
        <v>1426.487427</v>
      </c>
      <c r="P563" s="8">
        <f>VLOOKUP($B563,floorspace!$B$4:$O$12,'shell factors calc'!P$2+1,FALSE)</f>
        <v>1360.7664789999999</v>
      </c>
      <c r="Q563" s="8">
        <f>VLOOKUP($B563,floorspace!$B$4:$O$12,'shell factors calc'!Q$2+1,FALSE)</f>
        <v>115.483704</v>
      </c>
      <c r="R563" s="8">
        <f>VLOOKUP($B563,floorspace!$B$4:$O$12,'shell factors calc'!R$2+1,FALSE)</f>
        <v>190.85375999999999</v>
      </c>
      <c r="S563" s="8">
        <f>VLOOKUP($B563,floorspace!$B$4:$O$12,'shell factors calc'!S$2+1,FALSE)</f>
        <v>325.72094700000002</v>
      </c>
      <c r="T563" s="8">
        <f>VLOOKUP($B563,floorspace!$B$4:$O$12,'shell factors calc'!T$2+1,FALSE)</f>
        <v>885.83789100000001</v>
      </c>
      <c r="U563" s="8">
        <f>VLOOKUP($B563,floorspace!$B$4:$O$12,'shell factors calc'!U$2+1,FALSE)</f>
        <v>1391.6861570000001</v>
      </c>
      <c r="V563" s="8">
        <f>VLOOKUP($B563,floorspace!$B$4:$O$12,'shell factors calc'!V$2+1,FALSE)</f>
        <v>952.37109399999997</v>
      </c>
      <c r="W563" s="8">
        <f>VLOOKUP($B563,floorspace!$B$4:$O$12,'shell factors calc'!W$2+1,FALSE)</f>
        <v>1766.4886469999999</v>
      </c>
      <c r="X563" s="8">
        <f>VLOOKUP($B563,floorspace!$B$4:$O$12,'shell factors calc'!X$2+1,FALSE)</f>
        <v>2912.772461</v>
      </c>
      <c r="Y563" s="8">
        <f>VLOOKUP($B563,floorspace!$B$4:$O$12,'shell factors calc'!Y$2+1,FALSE)</f>
        <v>529.23895300000004</v>
      </c>
      <c r="Z563">
        <f t="shared" si="9"/>
        <v>0.54536199081198511</v>
      </c>
    </row>
    <row r="564" spans="1:26" x14ac:dyDescent="0.2">
      <c r="A564" s="5" t="s">
        <v>46</v>
      </c>
      <c r="B564" s="5" t="s">
        <v>44</v>
      </c>
      <c r="C564" s="6" t="s">
        <v>22</v>
      </c>
      <c r="D564" s="7">
        <v>0.45753100000000002</v>
      </c>
      <c r="E564">
        <v>0.45079200000000003</v>
      </c>
      <c r="F564">
        <v>0.78517599999999999</v>
      </c>
      <c r="G564">
        <v>0.74668400000000001</v>
      </c>
      <c r="H564">
        <v>0.61360199999999998</v>
      </c>
      <c r="I564">
        <v>0.62229100000000004</v>
      </c>
      <c r="J564">
        <v>0.55650999999999995</v>
      </c>
      <c r="K564">
        <v>0.55841300000000005</v>
      </c>
      <c r="L564">
        <v>0.43121300000000001</v>
      </c>
      <c r="M564">
        <v>0.60750700000000002</v>
      </c>
      <c r="N564">
        <v>0.53981100000000004</v>
      </c>
      <c r="O564" s="8">
        <f>VLOOKUP($B564,floorspace!$B$4:$O$12,'shell factors calc'!O$2+1,FALSE)</f>
        <v>1426.487427</v>
      </c>
      <c r="P564" s="8">
        <f>VLOOKUP($B564,floorspace!$B$4:$O$12,'shell factors calc'!P$2+1,FALSE)</f>
        <v>1360.7664789999999</v>
      </c>
      <c r="Q564" s="8">
        <f>VLOOKUP($B564,floorspace!$B$4:$O$12,'shell factors calc'!Q$2+1,FALSE)</f>
        <v>115.483704</v>
      </c>
      <c r="R564" s="8">
        <f>VLOOKUP($B564,floorspace!$B$4:$O$12,'shell factors calc'!R$2+1,FALSE)</f>
        <v>190.85375999999999</v>
      </c>
      <c r="S564" s="8">
        <f>VLOOKUP($B564,floorspace!$B$4:$O$12,'shell factors calc'!S$2+1,FALSE)</f>
        <v>325.72094700000002</v>
      </c>
      <c r="T564" s="8">
        <f>VLOOKUP($B564,floorspace!$B$4:$O$12,'shell factors calc'!T$2+1,FALSE)</f>
        <v>885.83789100000001</v>
      </c>
      <c r="U564" s="8">
        <f>VLOOKUP($B564,floorspace!$B$4:$O$12,'shell factors calc'!U$2+1,FALSE)</f>
        <v>1391.6861570000001</v>
      </c>
      <c r="V564" s="8">
        <f>VLOOKUP($B564,floorspace!$B$4:$O$12,'shell factors calc'!V$2+1,FALSE)</f>
        <v>952.37109399999997</v>
      </c>
      <c r="W564" s="8">
        <f>VLOOKUP($B564,floorspace!$B$4:$O$12,'shell factors calc'!W$2+1,FALSE)</f>
        <v>1766.4886469999999</v>
      </c>
      <c r="X564" s="8">
        <f>VLOOKUP($B564,floorspace!$B$4:$O$12,'shell factors calc'!X$2+1,FALSE)</f>
        <v>2912.772461</v>
      </c>
      <c r="Y564" s="8">
        <f>VLOOKUP($B564,floorspace!$B$4:$O$12,'shell factors calc'!Y$2+1,FALSE)</f>
        <v>529.23895300000004</v>
      </c>
      <c r="Z564">
        <f t="shared" si="9"/>
        <v>0.53750984360799414</v>
      </c>
    </row>
    <row r="565" spans="1:26" x14ac:dyDescent="0.2">
      <c r="A565" s="5" t="s">
        <v>46</v>
      </c>
      <c r="B565" s="5" t="s">
        <v>44</v>
      </c>
      <c r="C565" s="6" t="s">
        <v>23</v>
      </c>
      <c r="D565" s="7">
        <v>0.44912400000000002</v>
      </c>
      <c r="E565">
        <v>0.44225199999999998</v>
      </c>
      <c r="F565">
        <v>0.78105199999999997</v>
      </c>
      <c r="G565">
        <v>0.74282099999999995</v>
      </c>
      <c r="H565">
        <v>0.60667800000000005</v>
      </c>
      <c r="I565">
        <v>0.61534299999999997</v>
      </c>
      <c r="J565">
        <v>0.54889500000000002</v>
      </c>
      <c r="K565">
        <v>0.55169699999999999</v>
      </c>
      <c r="L565">
        <v>0.42210799999999998</v>
      </c>
      <c r="M565">
        <v>0.60020899999999999</v>
      </c>
      <c r="N565">
        <v>0.53206600000000004</v>
      </c>
      <c r="O565" s="8">
        <f>VLOOKUP($B565,floorspace!$B$4:$O$12,'shell factors calc'!O$2+1,FALSE)</f>
        <v>1426.487427</v>
      </c>
      <c r="P565" s="8">
        <f>VLOOKUP($B565,floorspace!$B$4:$O$12,'shell factors calc'!P$2+1,FALSE)</f>
        <v>1360.7664789999999</v>
      </c>
      <c r="Q565" s="8">
        <f>VLOOKUP($B565,floorspace!$B$4:$O$12,'shell factors calc'!Q$2+1,FALSE)</f>
        <v>115.483704</v>
      </c>
      <c r="R565" s="8">
        <f>VLOOKUP($B565,floorspace!$B$4:$O$12,'shell factors calc'!R$2+1,FALSE)</f>
        <v>190.85375999999999</v>
      </c>
      <c r="S565" s="8">
        <f>VLOOKUP($B565,floorspace!$B$4:$O$12,'shell factors calc'!S$2+1,FALSE)</f>
        <v>325.72094700000002</v>
      </c>
      <c r="T565" s="8">
        <f>VLOOKUP($B565,floorspace!$B$4:$O$12,'shell factors calc'!T$2+1,FALSE)</f>
        <v>885.83789100000001</v>
      </c>
      <c r="U565" s="8">
        <f>VLOOKUP($B565,floorspace!$B$4:$O$12,'shell factors calc'!U$2+1,FALSE)</f>
        <v>1391.6861570000001</v>
      </c>
      <c r="V565" s="8">
        <f>VLOOKUP($B565,floorspace!$B$4:$O$12,'shell factors calc'!V$2+1,FALSE)</f>
        <v>952.37109399999997</v>
      </c>
      <c r="W565" s="8">
        <f>VLOOKUP($B565,floorspace!$B$4:$O$12,'shell factors calc'!W$2+1,FALSE)</f>
        <v>1766.4886469999999</v>
      </c>
      <c r="X565" s="8">
        <f>VLOOKUP($B565,floorspace!$B$4:$O$12,'shell factors calc'!X$2+1,FALSE)</f>
        <v>2912.772461</v>
      </c>
      <c r="Y565" s="8">
        <f>VLOOKUP($B565,floorspace!$B$4:$O$12,'shell factors calc'!Y$2+1,FALSE)</f>
        <v>529.23895300000004</v>
      </c>
      <c r="Z565">
        <f t="shared" si="9"/>
        <v>0.52977891380188635</v>
      </c>
    </row>
    <row r="566" spans="1:26" x14ac:dyDescent="0.2">
      <c r="A566" s="5" t="s">
        <v>46</v>
      </c>
      <c r="B566" s="5" t="s">
        <v>44</v>
      </c>
      <c r="C566" s="6" t="s">
        <v>24</v>
      </c>
      <c r="D566" s="7">
        <v>0.44087199999999999</v>
      </c>
      <c r="E566">
        <v>0.43387399999999998</v>
      </c>
      <c r="F566">
        <v>0.77695000000000003</v>
      </c>
      <c r="G566">
        <v>0.73897699999999999</v>
      </c>
      <c r="H566">
        <v>0.59983200000000003</v>
      </c>
      <c r="I566">
        <v>0.60847200000000001</v>
      </c>
      <c r="J566">
        <v>0.54138399999999998</v>
      </c>
      <c r="K566">
        <v>0.54506200000000005</v>
      </c>
      <c r="L566">
        <v>0.41319499999999998</v>
      </c>
      <c r="M566">
        <v>0.59299999999999997</v>
      </c>
      <c r="N566">
        <v>0.52443200000000001</v>
      </c>
      <c r="O566" s="8">
        <f>VLOOKUP($B566,floorspace!$B$4:$O$12,'shell factors calc'!O$2+1,FALSE)</f>
        <v>1426.487427</v>
      </c>
      <c r="P566" s="8">
        <f>VLOOKUP($B566,floorspace!$B$4:$O$12,'shell factors calc'!P$2+1,FALSE)</f>
        <v>1360.7664789999999</v>
      </c>
      <c r="Q566" s="8">
        <f>VLOOKUP($B566,floorspace!$B$4:$O$12,'shell factors calc'!Q$2+1,FALSE)</f>
        <v>115.483704</v>
      </c>
      <c r="R566" s="8">
        <f>VLOOKUP($B566,floorspace!$B$4:$O$12,'shell factors calc'!R$2+1,FALSE)</f>
        <v>190.85375999999999</v>
      </c>
      <c r="S566" s="8">
        <f>VLOOKUP($B566,floorspace!$B$4:$O$12,'shell factors calc'!S$2+1,FALSE)</f>
        <v>325.72094700000002</v>
      </c>
      <c r="T566" s="8">
        <f>VLOOKUP($B566,floorspace!$B$4:$O$12,'shell factors calc'!T$2+1,FALSE)</f>
        <v>885.83789100000001</v>
      </c>
      <c r="U566" s="8">
        <f>VLOOKUP($B566,floorspace!$B$4:$O$12,'shell factors calc'!U$2+1,FALSE)</f>
        <v>1391.6861570000001</v>
      </c>
      <c r="V566" s="8">
        <f>VLOOKUP($B566,floorspace!$B$4:$O$12,'shell factors calc'!V$2+1,FALSE)</f>
        <v>952.37109399999997</v>
      </c>
      <c r="W566" s="8">
        <f>VLOOKUP($B566,floorspace!$B$4:$O$12,'shell factors calc'!W$2+1,FALSE)</f>
        <v>1766.4886469999999</v>
      </c>
      <c r="X566" s="8">
        <f>VLOOKUP($B566,floorspace!$B$4:$O$12,'shell factors calc'!X$2+1,FALSE)</f>
        <v>2912.772461</v>
      </c>
      <c r="Y566" s="8">
        <f>VLOOKUP($B566,floorspace!$B$4:$O$12,'shell factors calc'!Y$2+1,FALSE)</f>
        <v>529.23895300000004</v>
      </c>
      <c r="Z566">
        <f t="shared" si="9"/>
        <v>0.52216776750745353</v>
      </c>
    </row>
    <row r="567" spans="1:26" x14ac:dyDescent="0.2">
      <c r="A567" s="5" t="s">
        <v>46</v>
      </c>
      <c r="B567" s="5" t="s">
        <v>44</v>
      </c>
      <c r="C567" s="6" t="s">
        <v>25</v>
      </c>
      <c r="D567" s="7">
        <v>0.43277199999999999</v>
      </c>
      <c r="E567">
        <v>0.42565399999999998</v>
      </c>
      <c r="F567">
        <v>0.77286900000000003</v>
      </c>
      <c r="G567">
        <v>0.73515399999999997</v>
      </c>
      <c r="H567">
        <v>0.59306300000000001</v>
      </c>
      <c r="I567">
        <v>0.60167800000000005</v>
      </c>
      <c r="J567">
        <v>0.53397700000000003</v>
      </c>
      <c r="K567">
        <v>0.53850600000000004</v>
      </c>
      <c r="L567">
        <v>0.40447</v>
      </c>
      <c r="M567">
        <v>0.58587699999999998</v>
      </c>
      <c r="N567">
        <v>0.51690700000000001</v>
      </c>
      <c r="O567" s="8">
        <f>VLOOKUP($B567,floorspace!$B$4:$O$12,'shell factors calc'!O$2+1,FALSE)</f>
        <v>1426.487427</v>
      </c>
      <c r="P567" s="8">
        <f>VLOOKUP($B567,floorspace!$B$4:$O$12,'shell factors calc'!P$2+1,FALSE)</f>
        <v>1360.7664789999999</v>
      </c>
      <c r="Q567" s="8">
        <f>VLOOKUP($B567,floorspace!$B$4:$O$12,'shell factors calc'!Q$2+1,FALSE)</f>
        <v>115.483704</v>
      </c>
      <c r="R567" s="8">
        <f>VLOOKUP($B567,floorspace!$B$4:$O$12,'shell factors calc'!R$2+1,FALSE)</f>
        <v>190.85375999999999</v>
      </c>
      <c r="S567" s="8">
        <f>VLOOKUP($B567,floorspace!$B$4:$O$12,'shell factors calc'!S$2+1,FALSE)</f>
        <v>325.72094700000002</v>
      </c>
      <c r="T567" s="8">
        <f>VLOOKUP($B567,floorspace!$B$4:$O$12,'shell factors calc'!T$2+1,FALSE)</f>
        <v>885.83789100000001</v>
      </c>
      <c r="U567" s="8">
        <f>VLOOKUP($B567,floorspace!$B$4:$O$12,'shell factors calc'!U$2+1,FALSE)</f>
        <v>1391.6861570000001</v>
      </c>
      <c r="V567" s="8">
        <f>VLOOKUP($B567,floorspace!$B$4:$O$12,'shell factors calc'!V$2+1,FALSE)</f>
        <v>952.37109399999997</v>
      </c>
      <c r="W567" s="8">
        <f>VLOOKUP($B567,floorspace!$B$4:$O$12,'shell factors calc'!W$2+1,FALSE)</f>
        <v>1766.4886469999999</v>
      </c>
      <c r="X567" s="8">
        <f>VLOOKUP($B567,floorspace!$B$4:$O$12,'shell factors calc'!X$2+1,FALSE)</f>
        <v>2912.772461</v>
      </c>
      <c r="Y567" s="8">
        <f>VLOOKUP($B567,floorspace!$B$4:$O$12,'shell factors calc'!Y$2+1,FALSE)</f>
        <v>529.23895300000004</v>
      </c>
      <c r="Z567">
        <f t="shared" si="9"/>
        <v>0.51467399704873107</v>
      </c>
    </row>
    <row r="568" spans="1:26" x14ac:dyDescent="0.2">
      <c r="A568" s="5" t="s">
        <v>46</v>
      </c>
      <c r="B568" s="5" t="s">
        <v>44</v>
      </c>
      <c r="C568" s="6" t="s">
        <v>26</v>
      </c>
      <c r="D568" s="7">
        <v>0.42481999999999998</v>
      </c>
      <c r="E568">
        <v>0.41759000000000002</v>
      </c>
      <c r="F568">
        <v>0.76880999999999999</v>
      </c>
      <c r="G568">
        <v>0.73134999999999994</v>
      </c>
      <c r="H568">
        <v>0.58636999999999995</v>
      </c>
      <c r="I568">
        <v>0.59496000000000004</v>
      </c>
      <c r="J568">
        <v>0.52666999999999997</v>
      </c>
      <c r="K568">
        <v>0.53203</v>
      </c>
      <c r="L568">
        <v>0.39593</v>
      </c>
      <c r="M568">
        <v>0.57884000000000002</v>
      </c>
      <c r="N568">
        <v>0.50949</v>
      </c>
      <c r="O568" s="8">
        <f>VLOOKUP($B568,floorspace!$B$4:$O$12,'shell factors calc'!O$2+1,FALSE)</f>
        <v>1426.487427</v>
      </c>
      <c r="P568" s="8">
        <f>VLOOKUP($B568,floorspace!$B$4:$O$12,'shell factors calc'!P$2+1,FALSE)</f>
        <v>1360.7664789999999</v>
      </c>
      <c r="Q568" s="8">
        <f>VLOOKUP($B568,floorspace!$B$4:$O$12,'shell factors calc'!Q$2+1,FALSE)</f>
        <v>115.483704</v>
      </c>
      <c r="R568" s="8">
        <f>VLOOKUP($B568,floorspace!$B$4:$O$12,'shell factors calc'!R$2+1,FALSE)</f>
        <v>190.85375999999999</v>
      </c>
      <c r="S568" s="8">
        <f>VLOOKUP($B568,floorspace!$B$4:$O$12,'shell factors calc'!S$2+1,FALSE)</f>
        <v>325.72094700000002</v>
      </c>
      <c r="T568" s="8">
        <f>VLOOKUP($B568,floorspace!$B$4:$O$12,'shell factors calc'!T$2+1,FALSE)</f>
        <v>885.83789100000001</v>
      </c>
      <c r="U568" s="8">
        <f>VLOOKUP($B568,floorspace!$B$4:$O$12,'shell factors calc'!U$2+1,FALSE)</f>
        <v>1391.6861570000001</v>
      </c>
      <c r="V568" s="8">
        <f>VLOOKUP($B568,floorspace!$B$4:$O$12,'shell factors calc'!V$2+1,FALSE)</f>
        <v>952.37109399999997</v>
      </c>
      <c r="W568" s="8">
        <f>VLOOKUP($B568,floorspace!$B$4:$O$12,'shell factors calc'!W$2+1,FALSE)</f>
        <v>1766.4886469999999</v>
      </c>
      <c r="X568" s="8">
        <f>VLOOKUP($B568,floorspace!$B$4:$O$12,'shell factors calc'!X$2+1,FALSE)</f>
        <v>2912.772461</v>
      </c>
      <c r="Y568" s="8">
        <f>VLOOKUP($B568,floorspace!$B$4:$O$12,'shell factors calc'!Y$2+1,FALSE)</f>
        <v>529.23895300000004</v>
      </c>
      <c r="Z568">
        <f t="shared" si="9"/>
        <v>0.50729588638206435</v>
      </c>
    </row>
    <row r="569" spans="1:26" x14ac:dyDescent="0.2">
      <c r="A569" s="5" t="s">
        <v>46</v>
      </c>
      <c r="B569" s="5" t="s">
        <v>44</v>
      </c>
      <c r="C569" s="6" t="s">
        <v>27</v>
      </c>
      <c r="D569" s="7">
        <v>0.41530299999999998</v>
      </c>
      <c r="E569">
        <v>0.40787600000000002</v>
      </c>
      <c r="F569">
        <v>0.76477300000000004</v>
      </c>
      <c r="G569">
        <v>0.727379</v>
      </c>
      <c r="H569">
        <v>0.57894800000000002</v>
      </c>
      <c r="I569">
        <v>0.58751900000000001</v>
      </c>
      <c r="J569">
        <v>0.51836099999999996</v>
      </c>
      <c r="K569">
        <v>0.52479299999999995</v>
      </c>
      <c r="L569">
        <v>0.38537700000000003</v>
      </c>
      <c r="M569">
        <v>0.57097699999999996</v>
      </c>
      <c r="N569">
        <v>0.50099899999999997</v>
      </c>
      <c r="O569" s="8">
        <f>VLOOKUP($B569,floorspace!$B$4:$O$12,'shell factors calc'!O$2+1,FALSE)</f>
        <v>1426.487427</v>
      </c>
      <c r="P569" s="8">
        <f>VLOOKUP($B569,floorspace!$B$4:$O$12,'shell factors calc'!P$2+1,FALSE)</f>
        <v>1360.7664789999999</v>
      </c>
      <c r="Q569" s="8">
        <f>VLOOKUP($B569,floorspace!$B$4:$O$12,'shell factors calc'!Q$2+1,FALSE)</f>
        <v>115.483704</v>
      </c>
      <c r="R569" s="8">
        <f>VLOOKUP($B569,floorspace!$B$4:$O$12,'shell factors calc'!R$2+1,FALSE)</f>
        <v>190.85375999999999</v>
      </c>
      <c r="S569" s="8">
        <f>VLOOKUP($B569,floorspace!$B$4:$O$12,'shell factors calc'!S$2+1,FALSE)</f>
        <v>325.72094700000002</v>
      </c>
      <c r="T569" s="8">
        <f>VLOOKUP($B569,floorspace!$B$4:$O$12,'shell factors calc'!T$2+1,FALSE)</f>
        <v>885.83789100000001</v>
      </c>
      <c r="U569" s="8">
        <f>VLOOKUP($B569,floorspace!$B$4:$O$12,'shell factors calc'!U$2+1,FALSE)</f>
        <v>1391.6861570000001</v>
      </c>
      <c r="V569" s="8">
        <f>VLOOKUP($B569,floorspace!$B$4:$O$12,'shell factors calc'!V$2+1,FALSE)</f>
        <v>952.37109399999997</v>
      </c>
      <c r="W569" s="8">
        <f>VLOOKUP($B569,floorspace!$B$4:$O$12,'shell factors calc'!W$2+1,FALSE)</f>
        <v>1766.4886469999999</v>
      </c>
      <c r="X569" s="8">
        <f>VLOOKUP($B569,floorspace!$B$4:$O$12,'shell factors calc'!X$2+1,FALSE)</f>
        <v>2912.772461</v>
      </c>
      <c r="Y569" s="8">
        <f>VLOOKUP($B569,floorspace!$B$4:$O$12,'shell factors calc'!Y$2+1,FALSE)</f>
        <v>529.23895300000004</v>
      </c>
      <c r="Z569">
        <f t="shared" si="9"/>
        <v>0.49873420131381219</v>
      </c>
    </row>
    <row r="570" spans="1:26" x14ac:dyDescent="0.2">
      <c r="A570" s="5" t="s">
        <v>46</v>
      </c>
      <c r="B570" s="5" t="s">
        <v>44</v>
      </c>
      <c r="C570" s="6" t="s">
        <v>28</v>
      </c>
      <c r="D570" s="7">
        <v>0.405999</v>
      </c>
      <c r="E570">
        <v>0.39838699999999999</v>
      </c>
      <c r="F570">
        <v>0.76075700000000002</v>
      </c>
      <c r="G570">
        <v>0.72343000000000002</v>
      </c>
      <c r="H570">
        <v>0.57162000000000002</v>
      </c>
      <c r="I570">
        <v>0.58017099999999999</v>
      </c>
      <c r="J570">
        <v>0.51018399999999997</v>
      </c>
      <c r="K570">
        <v>0.51765399999999995</v>
      </c>
      <c r="L570">
        <v>0.37510599999999999</v>
      </c>
      <c r="M570">
        <v>0.563222</v>
      </c>
      <c r="N570">
        <v>0.492649</v>
      </c>
      <c r="O570" s="8">
        <f>VLOOKUP($B570,floorspace!$B$4:$O$12,'shell factors calc'!O$2+1,FALSE)</f>
        <v>1426.487427</v>
      </c>
      <c r="P570" s="8">
        <f>VLOOKUP($B570,floorspace!$B$4:$O$12,'shell factors calc'!P$2+1,FALSE)</f>
        <v>1360.7664789999999</v>
      </c>
      <c r="Q570" s="8">
        <f>VLOOKUP($B570,floorspace!$B$4:$O$12,'shell factors calc'!Q$2+1,FALSE)</f>
        <v>115.483704</v>
      </c>
      <c r="R570" s="8">
        <f>VLOOKUP($B570,floorspace!$B$4:$O$12,'shell factors calc'!R$2+1,FALSE)</f>
        <v>190.85375999999999</v>
      </c>
      <c r="S570" s="8">
        <f>VLOOKUP($B570,floorspace!$B$4:$O$12,'shell factors calc'!S$2+1,FALSE)</f>
        <v>325.72094700000002</v>
      </c>
      <c r="T570" s="8">
        <f>VLOOKUP($B570,floorspace!$B$4:$O$12,'shell factors calc'!T$2+1,FALSE)</f>
        <v>885.83789100000001</v>
      </c>
      <c r="U570" s="8">
        <f>VLOOKUP($B570,floorspace!$B$4:$O$12,'shell factors calc'!U$2+1,FALSE)</f>
        <v>1391.6861570000001</v>
      </c>
      <c r="V570" s="8">
        <f>VLOOKUP($B570,floorspace!$B$4:$O$12,'shell factors calc'!V$2+1,FALSE)</f>
        <v>952.37109399999997</v>
      </c>
      <c r="W570" s="8">
        <f>VLOOKUP($B570,floorspace!$B$4:$O$12,'shell factors calc'!W$2+1,FALSE)</f>
        <v>1766.4886469999999</v>
      </c>
      <c r="X570" s="8">
        <f>VLOOKUP($B570,floorspace!$B$4:$O$12,'shell factors calc'!X$2+1,FALSE)</f>
        <v>2912.772461</v>
      </c>
      <c r="Y570" s="8">
        <f>VLOOKUP($B570,floorspace!$B$4:$O$12,'shell factors calc'!Y$2+1,FALSE)</f>
        <v>529.23895300000004</v>
      </c>
      <c r="Z570">
        <f t="shared" si="9"/>
        <v>0.49033224575199841</v>
      </c>
    </row>
    <row r="571" spans="1:26" x14ac:dyDescent="0.2">
      <c r="A571" s="5" t="s">
        <v>46</v>
      </c>
      <c r="B571" s="5" t="s">
        <v>44</v>
      </c>
      <c r="C571" s="6" t="s">
        <v>29</v>
      </c>
      <c r="D571" s="7">
        <v>0.39690300000000001</v>
      </c>
      <c r="E571">
        <v>0.38912000000000002</v>
      </c>
      <c r="F571">
        <v>0.75676200000000005</v>
      </c>
      <c r="G571">
        <v>0.719503</v>
      </c>
      <c r="H571">
        <v>0.56438500000000003</v>
      </c>
      <c r="I571">
        <v>0.57291499999999995</v>
      </c>
      <c r="J571">
        <v>0.502135</v>
      </c>
      <c r="K571">
        <v>0.51061199999999995</v>
      </c>
      <c r="L571">
        <v>0.36510799999999999</v>
      </c>
      <c r="M571">
        <v>0.55557100000000004</v>
      </c>
      <c r="N571">
        <v>0.48443799999999998</v>
      </c>
      <c r="O571" s="8">
        <f>VLOOKUP($B571,floorspace!$B$4:$O$12,'shell factors calc'!O$2+1,FALSE)</f>
        <v>1426.487427</v>
      </c>
      <c r="P571" s="8">
        <f>VLOOKUP($B571,floorspace!$B$4:$O$12,'shell factors calc'!P$2+1,FALSE)</f>
        <v>1360.7664789999999</v>
      </c>
      <c r="Q571" s="8">
        <f>VLOOKUP($B571,floorspace!$B$4:$O$12,'shell factors calc'!Q$2+1,FALSE)</f>
        <v>115.483704</v>
      </c>
      <c r="R571" s="8">
        <f>VLOOKUP($B571,floorspace!$B$4:$O$12,'shell factors calc'!R$2+1,FALSE)</f>
        <v>190.85375999999999</v>
      </c>
      <c r="S571" s="8">
        <f>VLOOKUP($B571,floorspace!$B$4:$O$12,'shell factors calc'!S$2+1,FALSE)</f>
        <v>325.72094700000002</v>
      </c>
      <c r="T571" s="8">
        <f>VLOOKUP($B571,floorspace!$B$4:$O$12,'shell factors calc'!T$2+1,FALSE)</f>
        <v>885.83789100000001</v>
      </c>
      <c r="U571" s="8">
        <f>VLOOKUP($B571,floorspace!$B$4:$O$12,'shell factors calc'!U$2+1,FALSE)</f>
        <v>1391.6861570000001</v>
      </c>
      <c r="V571" s="8">
        <f>VLOOKUP($B571,floorspace!$B$4:$O$12,'shell factors calc'!V$2+1,FALSE)</f>
        <v>952.37109399999997</v>
      </c>
      <c r="W571" s="8">
        <f>VLOOKUP($B571,floorspace!$B$4:$O$12,'shell factors calc'!W$2+1,FALSE)</f>
        <v>1766.4886469999999</v>
      </c>
      <c r="X571" s="8">
        <f>VLOOKUP($B571,floorspace!$B$4:$O$12,'shell factors calc'!X$2+1,FALSE)</f>
        <v>2912.772461</v>
      </c>
      <c r="Y571" s="8">
        <f>VLOOKUP($B571,floorspace!$B$4:$O$12,'shell factors calc'!Y$2+1,FALSE)</f>
        <v>529.23895300000004</v>
      </c>
      <c r="Z571">
        <f t="shared" si="9"/>
        <v>0.48208600936185797</v>
      </c>
    </row>
    <row r="572" spans="1:26" x14ac:dyDescent="0.2">
      <c r="A572" s="5" t="s">
        <v>46</v>
      </c>
      <c r="B572" s="5" t="s">
        <v>44</v>
      </c>
      <c r="C572" s="6" t="s">
        <v>30</v>
      </c>
      <c r="D572" s="7">
        <v>0.38801099999999999</v>
      </c>
      <c r="E572">
        <v>0.38006800000000002</v>
      </c>
      <c r="F572">
        <v>0.75278800000000001</v>
      </c>
      <c r="G572">
        <v>0.71559600000000001</v>
      </c>
      <c r="H572">
        <v>0.55724200000000002</v>
      </c>
      <c r="I572">
        <v>0.56574899999999995</v>
      </c>
      <c r="J572">
        <v>0.49421300000000001</v>
      </c>
      <c r="K572">
        <v>0.50366599999999995</v>
      </c>
      <c r="L572">
        <v>0.355377</v>
      </c>
      <c r="M572">
        <v>0.54802499999999998</v>
      </c>
      <c r="N572">
        <v>0.47636400000000001</v>
      </c>
      <c r="O572" s="8">
        <f>VLOOKUP($B572,floorspace!$B$4:$O$12,'shell factors calc'!O$2+1,FALSE)</f>
        <v>1426.487427</v>
      </c>
      <c r="P572" s="8">
        <f>VLOOKUP($B572,floorspace!$B$4:$O$12,'shell factors calc'!P$2+1,FALSE)</f>
        <v>1360.7664789999999</v>
      </c>
      <c r="Q572" s="8">
        <f>VLOOKUP($B572,floorspace!$B$4:$O$12,'shell factors calc'!Q$2+1,FALSE)</f>
        <v>115.483704</v>
      </c>
      <c r="R572" s="8">
        <f>VLOOKUP($B572,floorspace!$B$4:$O$12,'shell factors calc'!R$2+1,FALSE)</f>
        <v>190.85375999999999</v>
      </c>
      <c r="S572" s="8">
        <f>VLOOKUP($B572,floorspace!$B$4:$O$12,'shell factors calc'!S$2+1,FALSE)</f>
        <v>325.72094700000002</v>
      </c>
      <c r="T572" s="8">
        <f>VLOOKUP($B572,floorspace!$B$4:$O$12,'shell factors calc'!T$2+1,FALSE)</f>
        <v>885.83789100000001</v>
      </c>
      <c r="U572" s="8">
        <f>VLOOKUP($B572,floorspace!$B$4:$O$12,'shell factors calc'!U$2+1,FALSE)</f>
        <v>1391.6861570000001</v>
      </c>
      <c r="V572" s="8">
        <f>VLOOKUP($B572,floorspace!$B$4:$O$12,'shell factors calc'!V$2+1,FALSE)</f>
        <v>952.37109399999997</v>
      </c>
      <c r="W572" s="8">
        <f>VLOOKUP($B572,floorspace!$B$4:$O$12,'shell factors calc'!W$2+1,FALSE)</f>
        <v>1766.4886469999999</v>
      </c>
      <c r="X572" s="8">
        <f>VLOOKUP($B572,floorspace!$B$4:$O$12,'shell factors calc'!X$2+1,FALSE)</f>
        <v>2912.772461</v>
      </c>
      <c r="Y572" s="8">
        <f>VLOOKUP($B572,floorspace!$B$4:$O$12,'shell factors calc'!Y$2+1,FALSE)</f>
        <v>529.23895300000004</v>
      </c>
      <c r="Z572">
        <f t="shared" si="9"/>
        <v>0.47399306341812142</v>
      </c>
    </row>
    <row r="573" spans="1:26" x14ac:dyDescent="0.2">
      <c r="A573" s="5" t="s">
        <v>46</v>
      </c>
      <c r="B573" s="5" t="s">
        <v>44</v>
      </c>
      <c r="C573" s="6" t="s">
        <v>31</v>
      </c>
      <c r="D573" s="7">
        <v>0.37931799999999999</v>
      </c>
      <c r="E573">
        <v>0.371226</v>
      </c>
      <c r="F573">
        <v>0.74883599999999995</v>
      </c>
      <c r="G573">
        <v>0.71171099999999998</v>
      </c>
      <c r="H573">
        <v>0.55018900000000004</v>
      </c>
      <c r="I573">
        <v>0.558674</v>
      </c>
      <c r="J573">
        <v>0.48641699999999999</v>
      </c>
      <c r="K573">
        <v>0.49681399999999998</v>
      </c>
      <c r="L573">
        <v>0.34590500000000002</v>
      </c>
      <c r="M573">
        <v>0.54058099999999998</v>
      </c>
      <c r="N573">
        <v>0.46842499999999998</v>
      </c>
      <c r="O573" s="8">
        <f>VLOOKUP($B573,floorspace!$B$4:$O$12,'shell factors calc'!O$2+1,FALSE)</f>
        <v>1426.487427</v>
      </c>
      <c r="P573" s="8">
        <f>VLOOKUP($B573,floorspace!$B$4:$O$12,'shell factors calc'!P$2+1,FALSE)</f>
        <v>1360.7664789999999</v>
      </c>
      <c r="Q573" s="8">
        <f>VLOOKUP($B573,floorspace!$B$4:$O$12,'shell factors calc'!Q$2+1,FALSE)</f>
        <v>115.483704</v>
      </c>
      <c r="R573" s="8">
        <f>VLOOKUP($B573,floorspace!$B$4:$O$12,'shell factors calc'!R$2+1,FALSE)</f>
        <v>190.85375999999999</v>
      </c>
      <c r="S573" s="8">
        <f>VLOOKUP($B573,floorspace!$B$4:$O$12,'shell factors calc'!S$2+1,FALSE)</f>
        <v>325.72094700000002</v>
      </c>
      <c r="T573" s="8">
        <f>VLOOKUP($B573,floorspace!$B$4:$O$12,'shell factors calc'!T$2+1,FALSE)</f>
        <v>885.83789100000001</v>
      </c>
      <c r="U573" s="8">
        <f>VLOOKUP($B573,floorspace!$B$4:$O$12,'shell factors calc'!U$2+1,FALSE)</f>
        <v>1391.6861570000001</v>
      </c>
      <c r="V573" s="8">
        <f>VLOOKUP($B573,floorspace!$B$4:$O$12,'shell factors calc'!V$2+1,FALSE)</f>
        <v>952.37109399999997</v>
      </c>
      <c r="W573" s="8">
        <f>VLOOKUP($B573,floorspace!$B$4:$O$12,'shell factors calc'!W$2+1,FALSE)</f>
        <v>1766.4886469999999</v>
      </c>
      <c r="X573" s="8">
        <f>VLOOKUP($B573,floorspace!$B$4:$O$12,'shell factors calc'!X$2+1,FALSE)</f>
        <v>2912.772461</v>
      </c>
      <c r="Y573" s="8">
        <f>VLOOKUP($B573,floorspace!$B$4:$O$12,'shell factors calc'!Y$2+1,FALSE)</f>
        <v>529.23895300000004</v>
      </c>
      <c r="Z573">
        <f t="shared" si="9"/>
        <v>0.46604999833971678</v>
      </c>
    </row>
    <row r="574" spans="1:26" x14ac:dyDescent="0.2">
      <c r="A574" s="5" t="s">
        <v>46</v>
      </c>
      <c r="B574" s="5" t="s">
        <v>44</v>
      </c>
      <c r="C574" s="6" t="s">
        <v>32</v>
      </c>
      <c r="D574" s="7">
        <v>0.37081999999999998</v>
      </c>
      <c r="E574">
        <v>0.36259000000000002</v>
      </c>
      <c r="F574">
        <v>0.74490299999999998</v>
      </c>
      <c r="G574">
        <v>0.707847</v>
      </c>
      <c r="H574">
        <v>0.54322499999999996</v>
      </c>
      <c r="I574">
        <v>0.55168600000000001</v>
      </c>
      <c r="J574">
        <v>0.47874299999999997</v>
      </c>
      <c r="K574">
        <v>0.49005599999999999</v>
      </c>
      <c r="L574">
        <v>0.33668500000000001</v>
      </c>
      <c r="M574">
        <v>0.53323799999999999</v>
      </c>
      <c r="N574">
        <v>0.46061800000000003</v>
      </c>
      <c r="O574" s="8">
        <f>VLOOKUP($B574,floorspace!$B$4:$O$12,'shell factors calc'!O$2+1,FALSE)</f>
        <v>1426.487427</v>
      </c>
      <c r="P574" s="8">
        <f>VLOOKUP($B574,floorspace!$B$4:$O$12,'shell factors calc'!P$2+1,FALSE)</f>
        <v>1360.7664789999999</v>
      </c>
      <c r="Q574" s="8">
        <f>VLOOKUP($B574,floorspace!$B$4:$O$12,'shell factors calc'!Q$2+1,FALSE)</f>
        <v>115.483704</v>
      </c>
      <c r="R574" s="8">
        <f>VLOOKUP($B574,floorspace!$B$4:$O$12,'shell factors calc'!R$2+1,FALSE)</f>
        <v>190.85375999999999</v>
      </c>
      <c r="S574" s="8">
        <f>VLOOKUP($B574,floorspace!$B$4:$O$12,'shell factors calc'!S$2+1,FALSE)</f>
        <v>325.72094700000002</v>
      </c>
      <c r="T574" s="8">
        <f>VLOOKUP($B574,floorspace!$B$4:$O$12,'shell factors calc'!T$2+1,FALSE)</f>
        <v>885.83789100000001</v>
      </c>
      <c r="U574" s="8">
        <f>VLOOKUP($B574,floorspace!$B$4:$O$12,'shell factors calc'!U$2+1,FALSE)</f>
        <v>1391.6861570000001</v>
      </c>
      <c r="V574" s="8">
        <f>VLOOKUP($B574,floorspace!$B$4:$O$12,'shell factors calc'!V$2+1,FALSE)</f>
        <v>952.37109399999997</v>
      </c>
      <c r="W574" s="8">
        <f>VLOOKUP($B574,floorspace!$B$4:$O$12,'shell factors calc'!W$2+1,FALSE)</f>
        <v>1766.4886469999999</v>
      </c>
      <c r="X574" s="8">
        <f>VLOOKUP($B574,floorspace!$B$4:$O$12,'shell factors calc'!X$2+1,FALSE)</f>
        <v>2912.772461</v>
      </c>
      <c r="Y574" s="8">
        <f>VLOOKUP($B574,floorspace!$B$4:$O$12,'shell factors calc'!Y$2+1,FALSE)</f>
        <v>529.23895300000004</v>
      </c>
      <c r="Z574">
        <f t="shared" si="9"/>
        <v>0.45825361046797558</v>
      </c>
    </row>
    <row r="575" spans="1:26" x14ac:dyDescent="0.2">
      <c r="A575" s="5" t="s">
        <v>46</v>
      </c>
      <c r="B575" s="5" t="s">
        <v>44</v>
      </c>
      <c r="C575" s="6" t="s">
        <v>33</v>
      </c>
      <c r="D575" s="7">
        <v>0.36251299999999997</v>
      </c>
      <c r="E575">
        <v>0.35415600000000003</v>
      </c>
      <c r="F575">
        <v>0.74099199999999998</v>
      </c>
      <c r="G575">
        <v>0.70400399999999996</v>
      </c>
      <c r="H575">
        <v>0.53634899999999996</v>
      </c>
      <c r="I575">
        <v>0.54478599999999999</v>
      </c>
      <c r="J575">
        <v>0.47119</v>
      </c>
      <c r="K575">
        <v>0.48338999999999999</v>
      </c>
      <c r="L575">
        <v>0.32771099999999997</v>
      </c>
      <c r="M575">
        <v>0.52599499999999999</v>
      </c>
      <c r="N575">
        <v>0.45294099999999998</v>
      </c>
      <c r="O575" s="8">
        <f>VLOOKUP($B575,floorspace!$B$4:$O$12,'shell factors calc'!O$2+1,FALSE)</f>
        <v>1426.487427</v>
      </c>
      <c r="P575" s="8">
        <f>VLOOKUP($B575,floorspace!$B$4:$O$12,'shell factors calc'!P$2+1,FALSE)</f>
        <v>1360.7664789999999</v>
      </c>
      <c r="Q575" s="8">
        <f>VLOOKUP($B575,floorspace!$B$4:$O$12,'shell factors calc'!Q$2+1,FALSE)</f>
        <v>115.483704</v>
      </c>
      <c r="R575" s="8">
        <f>VLOOKUP($B575,floorspace!$B$4:$O$12,'shell factors calc'!R$2+1,FALSE)</f>
        <v>190.85375999999999</v>
      </c>
      <c r="S575" s="8">
        <f>VLOOKUP($B575,floorspace!$B$4:$O$12,'shell factors calc'!S$2+1,FALSE)</f>
        <v>325.72094700000002</v>
      </c>
      <c r="T575" s="8">
        <f>VLOOKUP($B575,floorspace!$B$4:$O$12,'shell factors calc'!T$2+1,FALSE)</f>
        <v>885.83789100000001</v>
      </c>
      <c r="U575" s="8">
        <f>VLOOKUP($B575,floorspace!$B$4:$O$12,'shell factors calc'!U$2+1,FALSE)</f>
        <v>1391.6861570000001</v>
      </c>
      <c r="V575" s="8">
        <f>VLOOKUP($B575,floorspace!$B$4:$O$12,'shell factors calc'!V$2+1,FALSE)</f>
        <v>952.37109399999997</v>
      </c>
      <c r="W575" s="8">
        <f>VLOOKUP($B575,floorspace!$B$4:$O$12,'shell factors calc'!W$2+1,FALSE)</f>
        <v>1766.4886469999999</v>
      </c>
      <c r="X575" s="8">
        <f>VLOOKUP($B575,floorspace!$B$4:$O$12,'shell factors calc'!X$2+1,FALSE)</f>
        <v>2912.772461</v>
      </c>
      <c r="Y575" s="8">
        <f>VLOOKUP($B575,floorspace!$B$4:$O$12,'shell factors calc'!Y$2+1,FALSE)</f>
        <v>529.23895300000004</v>
      </c>
      <c r="Z575">
        <f t="shared" si="9"/>
        <v>0.45060152927232833</v>
      </c>
    </row>
    <row r="576" spans="1:26" x14ac:dyDescent="0.2">
      <c r="A576" s="5" t="s">
        <v>46</v>
      </c>
      <c r="B576" s="5" t="s">
        <v>44</v>
      </c>
      <c r="C576" s="6" t="s">
        <v>34</v>
      </c>
      <c r="D576" s="7">
        <v>0.35439100000000001</v>
      </c>
      <c r="E576">
        <v>0.34591699999999997</v>
      </c>
      <c r="F576">
        <v>0.73710100000000001</v>
      </c>
      <c r="G576">
        <v>0.70018199999999997</v>
      </c>
      <c r="H576">
        <v>0.52956000000000003</v>
      </c>
      <c r="I576">
        <v>0.53797300000000003</v>
      </c>
      <c r="J576">
        <v>0.46375699999999997</v>
      </c>
      <c r="K576">
        <v>0.47681400000000002</v>
      </c>
      <c r="L576">
        <v>0.31897700000000001</v>
      </c>
      <c r="M576">
        <v>0.51885000000000003</v>
      </c>
      <c r="N576">
        <v>0.44539200000000001</v>
      </c>
      <c r="O576" s="8">
        <f>VLOOKUP($B576,floorspace!$B$4:$O$12,'shell factors calc'!O$2+1,FALSE)</f>
        <v>1426.487427</v>
      </c>
      <c r="P576" s="8">
        <f>VLOOKUP($B576,floorspace!$B$4:$O$12,'shell factors calc'!P$2+1,FALSE)</f>
        <v>1360.7664789999999</v>
      </c>
      <c r="Q576" s="8">
        <f>VLOOKUP($B576,floorspace!$B$4:$O$12,'shell factors calc'!Q$2+1,FALSE)</f>
        <v>115.483704</v>
      </c>
      <c r="R576" s="8">
        <f>VLOOKUP($B576,floorspace!$B$4:$O$12,'shell factors calc'!R$2+1,FALSE)</f>
        <v>190.85375999999999</v>
      </c>
      <c r="S576" s="8">
        <f>VLOOKUP($B576,floorspace!$B$4:$O$12,'shell factors calc'!S$2+1,FALSE)</f>
        <v>325.72094700000002</v>
      </c>
      <c r="T576" s="8">
        <f>VLOOKUP($B576,floorspace!$B$4:$O$12,'shell factors calc'!T$2+1,FALSE)</f>
        <v>885.83789100000001</v>
      </c>
      <c r="U576" s="8">
        <f>VLOOKUP($B576,floorspace!$B$4:$O$12,'shell factors calc'!U$2+1,FALSE)</f>
        <v>1391.6861570000001</v>
      </c>
      <c r="V576" s="8">
        <f>VLOOKUP($B576,floorspace!$B$4:$O$12,'shell factors calc'!V$2+1,FALSE)</f>
        <v>952.37109399999997</v>
      </c>
      <c r="W576" s="8">
        <f>VLOOKUP($B576,floorspace!$B$4:$O$12,'shell factors calc'!W$2+1,FALSE)</f>
        <v>1766.4886469999999</v>
      </c>
      <c r="X576" s="8">
        <f>VLOOKUP($B576,floorspace!$B$4:$O$12,'shell factors calc'!X$2+1,FALSE)</f>
        <v>2912.772461</v>
      </c>
      <c r="Y576" s="8">
        <f>VLOOKUP($B576,floorspace!$B$4:$O$12,'shell factors calc'!Y$2+1,FALSE)</f>
        <v>529.23895300000004</v>
      </c>
      <c r="Z576">
        <f t="shared" si="9"/>
        <v>0.44309035559664378</v>
      </c>
    </row>
    <row r="577" spans="1:26" x14ac:dyDescent="0.2">
      <c r="A577" s="5" t="s">
        <v>46</v>
      </c>
      <c r="B577" s="5" t="s">
        <v>44</v>
      </c>
      <c r="C577" s="6" t="s">
        <v>35</v>
      </c>
      <c r="D577" s="7">
        <v>0.34645199999999998</v>
      </c>
      <c r="E577">
        <v>0.33787</v>
      </c>
      <c r="F577">
        <v>0.73323000000000005</v>
      </c>
      <c r="G577">
        <v>0.69638100000000003</v>
      </c>
      <c r="H577">
        <v>0.52285800000000004</v>
      </c>
      <c r="I577">
        <v>0.53124400000000005</v>
      </c>
      <c r="J577">
        <v>0.45644099999999999</v>
      </c>
      <c r="K577">
        <v>0.47032800000000002</v>
      </c>
      <c r="L577">
        <v>0.310475</v>
      </c>
      <c r="M577">
        <v>0.51180199999999998</v>
      </c>
      <c r="N577">
        <v>0.437969</v>
      </c>
      <c r="O577" s="8">
        <f>VLOOKUP($B577,floorspace!$B$4:$O$12,'shell factors calc'!O$2+1,FALSE)</f>
        <v>1426.487427</v>
      </c>
      <c r="P577" s="8">
        <f>VLOOKUP($B577,floorspace!$B$4:$O$12,'shell factors calc'!P$2+1,FALSE)</f>
        <v>1360.7664789999999</v>
      </c>
      <c r="Q577" s="8">
        <f>VLOOKUP($B577,floorspace!$B$4:$O$12,'shell factors calc'!Q$2+1,FALSE)</f>
        <v>115.483704</v>
      </c>
      <c r="R577" s="8">
        <f>VLOOKUP($B577,floorspace!$B$4:$O$12,'shell factors calc'!R$2+1,FALSE)</f>
        <v>190.85375999999999</v>
      </c>
      <c r="S577" s="8">
        <f>VLOOKUP($B577,floorspace!$B$4:$O$12,'shell factors calc'!S$2+1,FALSE)</f>
        <v>325.72094700000002</v>
      </c>
      <c r="T577" s="8">
        <f>VLOOKUP($B577,floorspace!$B$4:$O$12,'shell factors calc'!T$2+1,FALSE)</f>
        <v>885.83789100000001</v>
      </c>
      <c r="U577" s="8">
        <f>VLOOKUP($B577,floorspace!$B$4:$O$12,'shell factors calc'!U$2+1,FALSE)</f>
        <v>1391.6861570000001</v>
      </c>
      <c r="V577" s="8">
        <f>VLOOKUP($B577,floorspace!$B$4:$O$12,'shell factors calc'!V$2+1,FALSE)</f>
        <v>952.37109399999997</v>
      </c>
      <c r="W577" s="8">
        <f>VLOOKUP($B577,floorspace!$B$4:$O$12,'shell factors calc'!W$2+1,FALSE)</f>
        <v>1766.4886469999999</v>
      </c>
      <c r="X577" s="8">
        <f>VLOOKUP($B577,floorspace!$B$4:$O$12,'shell factors calc'!X$2+1,FALSE)</f>
        <v>2912.772461</v>
      </c>
      <c r="Y577" s="8">
        <f>VLOOKUP($B577,floorspace!$B$4:$O$12,'shell factors calc'!Y$2+1,FALSE)</f>
        <v>529.23895300000004</v>
      </c>
      <c r="Z577">
        <f t="shared" si="9"/>
        <v>0.43571740165275363</v>
      </c>
    </row>
    <row r="578" spans="1:26" x14ac:dyDescent="0.2">
      <c r="A578" s="5" t="s">
        <v>46</v>
      </c>
      <c r="B578" s="1" t="s">
        <v>44</v>
      </c>
      <c r="C578" s="2" t="s">
        <v>36</v>
      </c>
      <c r="D578" s="4">
        <v>0.33868999999999999</v>
      </c>
      <c r="E578">
        <v>0.33001000000000003</v>
      </c>
      <c r="F578">
        <v>0.72938000000000003</v>
      </c>
      <c r="G578">
        <v>0.69259999999999999</v>
      </c>
      <c r="H578">
        <v>0.51624000000000003</v>
      </c>
      <c r="I578">
        <v>0.52459999999999996</v>
      </c>
      <c r="J578">
        <v>0.44923999999999997</v>
      </c>
      <c r="K578">
        <v>0.46393000000000001</v>
      </c>
      <c r="L578">
        <v>0.30220000000000002</v>
      </c>
      <c r="M578">
        <v>0.50485000000000002</v>
      </c>
      <c r="N578">
        <v>0.43067</v>
      </c>
      <c r="O578" s="8">
        <f>VLOOKUP($B578,floorspace!$B$4:$O$12,'shell factors calc'!O$2+1,FALSE)</f>
        <v>1426.487427</v>
      </c>
      <c r="P578" s="8">
        <f>VLOOKUP($B578,floorspace!$B$4:$O$12,'shell factors calc'!P$2+1,FALSE)</f>
        <v>1360.7664789999999</v>
      </c>
      <c r="Q578" s="8">
        <f>VLOOKUP($B578,floorspace!$B$4:$O$12,'shell factors calc'!Q$2+1,FALSE)</f>
        <v>115.483704</v>
      </c>
      <c r="R578" s="8">
        <f>VLOOKUP($B578,floorspace!$B$4:$O$12,'shell factors calc'!R$2+1,FALSE)</f>
        <v>190.85375999999999</v>
      </c>
      <c r="S578" s="8">
        <f>VLOOKUP($B578,floorspace!$B$4:$O$12,'shell factors calc'!S$2+1,FALSE)</f>
        <v>325.72094700000002</v>
      </c>
      <c r="T578" s="8">
        <f>VLOOKUP($B578,floorspace!$B$4:$O$12,'shell factors calc'!T$2+1,FALSE)</f>
        <v>885.83789100000001</v>
      </c>
      <c r="U578" s="8">
        <f>VLOOKUP($B578,floorspace!$B$4:$O$12,'shell factors calc'!U$2+1,FALSE)</f>
        <v>1391.6861570000001</v>
      </c>
      <c r="V578" s="8">
        <f>VLOOKUP($B578,floorspace!$B$4:$O$12,'shell factors calc'!V$2+1,FALSE)</f>
        <v>952.37109399999997</v>
      </c>
      <c r="W578" s="8">
        <f>VLOOKUP($B578,floorspace!$B$4:$O$12,'shell factors calc'!W$2+1,FALSE)</f>
        <v>1766.4886469999999</v>
      </c>
      <c r="X578" s="8">
        <f>VLOOKUP($B578,floorspace!$B$4:$O$12,'shell factors calc'!X$2+1,FALSE)</f>
        <v>2912.772461</v>
      </c>
      <c r="Y578" s="8">
        <f>VLOOKUP($B578,floorspace!$B$4:$O$12,'shell factors calc'!Y$2+1,FALSE)</f>
        <v>529.23895300000004</v>
      </c>
      <c r="Z578">
        <f t="shared" si="9"/>
        <v>0.42847988264772779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35D9-04FF-C147-8C01-5875678CCAA9}">
  <dimension ref="A1:O13"/>
  <sheetViews>
    <sheetView workbookViewId="0">
      <selection activeCell="D7" sqref="D7"/>
    </sheetView>
  </sheetViews>
  <sheetFormatPr baseColWidth="10" defaultRowHeight="16" x14ac:dyDescent="0.2"/>
  <cols>
    <col min="2" max="2" width="20.6640625" customWidth="1"/>
  </cols>
  <sheetData>
    <row r="1" spans="1:15" x14ac:dyDescent="0.2">
      <c r="A1" t="s">
        <v>0</v>
      </c>
      <c r="C1" t="s">
        <v>1</v>
      </c>
      <c r="D1" t="s">
        <v>47</v>
      </c>
    </row>
    <row r="2" spans="1:15" x14ac:dyDescent="0.2"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49</v>
      </c>
      <c r="O2" t="s">
        <v>50</v>
      </c>
    </row>
    <row r="3" spans="1:15" x14ac:dyDescent="0.2">
      <c r="A3" t="s">
        <v>3</v>
      </c>
      <c r="B3" t="s">
        <v>2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</row>
    <row r="4" spans="1:15" x14ac:dyDescent="0.2">
      <c r="A4" t="s">
        <v>5</v>
      </c>
      <c r="B4" t="s">
        <v>4</v>
      </c>
      <c r="C4">
        <v>493.03372200000001</v>
      </c>
      <c r="D4">
        <v>613.36340299999995</v>
      </c>
      <c r="E4">
        <v>83.332572999999996</v>
      </c>
      <c r="F4">
        <v>59.808208</v>
      </c>
      <c r="G4">
        <v>89.040115</v>
      </c>
      <c r="H4">
        <v>316.81848100000002</v>
      </c>
      <c r="I4">
        <v>318.18734699999999</v>
      </c>
      <c r="J4">
        <v>237.53892500000001</v>
      </c>
      <c r="K4">
        <v>666.73236099999997</v>
      </c>
      <c r="L4">
        <v>461.64859000000001</v>
      </c>
      <c r="M4">
        <v>364.49435399999999</v>
      </c>
      <c r="N4">
        <v>336.72709809090907</v>
      </c>
      <c r="O4">
        <v>336.72709809090907</v>
      </c>
    </row>
    <row r="5" spans="1:15" x14ac:dyDescent="0.2">
      <c r="A5" t="s">
        <v>5</v>
      </c>
      <c r="B5" t="s">
        <v>37</v>
      </c>
      <c r="C5">
        <v>1185.1273189999999</v>
      </c>
      <c r="D5">
        <v>1901.63501</v>
      </c>
      <c r="E5">
        <v>53.974445000000003</v>
      </c>
      <c r="F5">
        <v>76.057404000000005</v>
      </c>
      <c r="G5">
        <v>260.10995500000001</v>
      </c>
      <c r="H5">
        <v>871.65142800000001</v>
      </c>
      <c r="I5">
        <v>2019.4379879999999</v>
      </c>
      <c r="J5">
        <v>962.05139199999996</v>
      </c>
      <c r="K5">
        <v>1967.076904</v>
      </c>
      <c r="L5">
        <v>1929.18335</v>
      </c>
      <c r="M5">
        <v>816.88464399999998</v>
      </c>
      <c r="N5">
        <v>1094.8354399090908</v>
      </c>
      <c r="O5">
        <v>1094.8354399090908</v>
      </c>
    </row>
    <row r="6" spans="1:15" x14ac:dyDescent="0.2">
      <c r="A6" t="s">
        <v>5</v>
      </c>
      <c r="B6" t="s">
        <v>38</v>
      </c>
      <c r="C6">
        <v>2310.141357</v>
      </c>
      <c r="D6">
        <v>2408.3359380000002</v>
      </c>
      <c r="E6">
        <v>276.88534499999997</v>
      </c>
      <c r="F6">
        <v>212.81033300000001</v>
      </c>
      <c r="G6">
        <v>561.85345500000005</v>
      </c>
      <c r="H6">
        <v>1051.820923</v>
      </c>
      <c r="I6">
        <v>1563.5035399999999</v>
      </c>
      <c r="J6">
        <v>1452.933716</v>
      </c>
      <c r="K6">
        <v>3021.5776369999999</v>
      </c>
      <c r="L6">
        <v>3411.5915530000002</v>
      </c>
      <c r="M6">
        <v>941.76892099999998</v>
      </c>
      <c r="N6">
        <v>1564.8384289090909</v>
      </c>
      <c r="O6">
        <v>1564.8384289090909</v>
      </c>
    </row>
    <row r="7" spans="1:15" x14ac:dyDescent="0.2">
      <c r="A7" t="s">
        <v>5</v>
      </c>
      <c r="B7" t="s">
        <v>39</v>
      </c>
      <c r="C7">
        <v>976.43579099999999</v>
      </c>
      <c r="D7">
        <v>1383.6553960000001</v>
      </c>
      <c r="E7">
        <v>120.231117</v>
      </c>
      <c r="F7">
        <v>62.268970000000003</v>
      </c>
      <c r="G7">
        <v>136.81397999999999</v>
      </c>
      <c r="H7">
        <v>578.51654099999996</v>
      </c>
      <c r="I7">
        <v>696.50329599999998</v>
      </c>
      <c r="J7">
        <v>787.38818400000002</v>
      </c>
      <c r="K7">
        <v>1768.7573239999999</v>
      </c>
      <c r="L7">
        <v>1364.572754</v>
      </c>
      <c r="M7">
        <v>479.19305400000002</v>
      </c>
      <c r="N7">
        <v>759.48512790909081</v>
      </c>
      <c r="O7">
        <v>759.48512790909081</v>
      </c>
    </row>
    <row r="8" spans="1:15" x14ac:dyDescent="0.2">
      <c r="A8" t="s">
        <v>5</v>
      </c>
      <c r="B8" t="s">
        <v>40</v>
      </c>
      <c r="C8">
        <v>2861.713135</v>
      </c>
      <c r="D8">
        <v>2312.7941890000002</v>
      </c>
      <c r="E8">
        <v>83.223968999999997</v>
      </c>
      <c r="F8">
        <v>256.68893400000002</v>
      </c>
      <c r="G8">
        <v>374.32568400000002</v>
      </c>
      <c r="H8">
        <v>1280.028564</v>
      </c>
      <c r="I8">
        <v>2275.966797</v>
      </c>
      <c r="J8">
        <v>1147.5775149999999</v>
      </c>
      <c r="K8">
        <v>2893.2617190000001</v>
      </c>
      <c r="L8">
        <v>3003.1875</v>
      </c>
      <c r="M8">
        <v>1165.4536129999999</v>
      </c>
      <c r="N8">
        <v>1604.9292380909092</v>
      </c>
      <c r="O8">
        <v>1604.9292380909092</v>
      </c>
    </row>
    <row r="9" spans="1:15" x14ac:dyDescent="0.2">
      <c r="A9" t="s">
        <v>5</v>
      </c>
      <c r="B9" t="s">
        <v>41</v>
      </c>
      <c r="C9">
        <v>781.29705799999999</v>
      </c>
      <c r="D9">
        <v>810.63122599999997</v>
      </c>
      <c r="E9">
        <v>37.654308</v>
      </c>
      <c r="F9">
        <v>106.849113</v>
      </c>
      <c r="G9">
        <v>112.30965399999999</v>
      </c>
      <c r="H9">
        <v>321.35845899999998</v>
      </c>
      <c r="I9">
        <v>292.84985399999999</v>
      </c>
      <c r="J9">
        <v>365.47903400000001</v>
      </c>
      <c r="K9">
        <v>999.54614300000003</v>
      </c>
      <c r="L9">
        <v>1249.8131100000001</v>
      </c>
      <c r="M9">
        <v>265.97723400000001</v>
      </c>
      <c r="N9">
        <v>485.79683572727265</v>
      </c>
      <c r="O9">
        <v>485.79683572727265</v>
      </c>
    </row>
    <row r="10" spans="1:15" x14ac:dyDescent="0.2">
      <c r="A10" t="s">
        <v>5</v>
      </c>
      <c r="B10" t="s">
        <v>42</v>
      </c>
      <c r="C10">
        <v>1465.1141359999999</v>
      </c>
      <c r="D10">
        <v>1778.1881100000001</v>
      </c>
      <c r="E10">
        <v>124.162651</v>
      </c>
      <c r="F10">
        <v>190.44966099999999</v>
      </c>
      <c r="G10">
        <v>228.065933</v>
      </c>
      <c r="H10">
        <v>751.99401899999998</v>
      </c>
      <c r="I10">
        <v>984.05578600000001</v>
      </c>
      <c r="J10">
        <v>1016.462524</v>
      </c>
      <c r="K10">
        <v>2180.842529</v>
      </c>
      <c r="L10">
        <v>2050.6289059999999</v>
      </c>
      <c r="M10">
        <v>628.40942399999994</v>
      </c>
      <c r="N10">
        <v>1036.2157889999999</v>
      </c>
      <c r="O10">
        <v>1036.2157889999999</v>
      </c>
    </row>
    <row r="11" spans="1:15" x14ac:dyDescent="0.2">
      <c r="A11" t="s">
        <v>5</v>
      </c>
      <c r="B11" t="s">
        <v>43</v>
      </c>
      <c r="C11">
        <v>909.66033900000002</v>
      </c>
      <c r="D11">
        <v>881.97393799999998</v>
      </c>
      <c r="E11">
        <v>94.492217999999994</v>
      </c>
      <c r="F11">
        <v>206.62240600000001</v>
      </c>
      <c r="G11">
        <v>171.98699999999999</v>
      </c>
      <c r="H11">
        <v>684.67663600000003</v>
      </c>
      <c r="I11">
        <v>875.10882600000002</v>
      </c>
      <c r="J11">
        <v>703.37530500000003</v>
      </c>
      <c r="K11">
        <v>1558.8479</v>
      </c>
      <c r="L11">
        <v>1048.3610839999999</v>
      </c>
      <c r="M11">
        <v>336.39016700000002</v>
      </c>
      <c r="N11">
        <v>679.2268926363638</v>
      </c>
      <c r="O11">
        <v>679.2268926363638</v>
      </c>
    </row>
    <row r="12" spans="1:15" x14ac:dyDescent="0.2">
      <c r="A12" t="s">
        <v>5</v>
      </c>
      <c r="B12" t="s">
        <v>44</v>
      </c>
      <c r="C12">
        <v>1426.487427</v>
      </c>
      <c r="D12">
        <v>1360.7664789999999</v>
      </c>
      <c r="E12">
        <v>115.483704</v>
      </c>
      <c r="F12">
        <v>190.85375999999999</v>
      </c>
      <c r="G12">
        <v>325.72094700000002</v>
      </c>
      <c r="H12">
        <v>885.83789100000001</v>
      </c>
      <c r="I12">
        <v>1391.6861570000001</v>
      </c>
      <c r="J12">
        <v>952.37109399999997</v>
      </c>
      <c r="K12">
        <v>1766.4886469999999</v>
      </c>
      <c r="L12">
        <v>2912.772461</v>
      </c>
      <c r="M12">
        <v>529.23895300000004</v>
      </c>
      <c r="N12">
        <v>1077.9734109090909</v>
      </c>
      <c r="O12">
        <v>1077.9734109090909</v>
      </c>
    </row>
    <row r="13" spans="1:15" x14ac:dyDescent="0.2">
      <c r="A13" t="s">
        <v>62</v>
      </c>
      <c r="C13">
        <v>1378.7789204444443</v>
      </c>
      <c r="D13">
        <v>1494.5937432222222</v>
      </c>
      <c r="E13">
        <v>109.93781444444444</v>
      </c>
      <c r="F13">
        <v>151.37875433333335</v>
      </c>
      <c r="G13">
        <v>251.13630255555552</v>
      </c>
      <c r="H13">
        <v>749.1892157777778</v>
      </c>
      <c r="I13">
        <v>1157.4777323333333</v>
      </c>
      <c r="J13">
        <v>847.24196544444442</v>
      </c>
      <c r="K13">
        <v>1869.2367959999999</v>
      </c>
      <c r="L13">
        <v>1936.862145333333</v>
      </c>
      <c r="M13">
        <v>614.2011515555555</v>
      </c>
      <c r="N13">
        <v>960.0031401313131</v>
      </c>
      <c r="O13">
        <v>960.0031401313131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3B35-4973-CD4B-B58D-CBB4C75C1B45}">
  <dimension ref="A1:D577"/>
  <sheetViews>
    <sheetView tabSelected="1" workbookViewId="0">
      <selection activeCell="F18" sqref="F18"/>
    </sheetView>
  </sheetViews>
  <sheetFormatPr baseColWidth="10" defaultRowHeight="16" x14ac:dyDescent="0.2"/>
  <cols>
    <col min="1" max="1" width="16.1640625" customWidth="1"/>
  </cols>
  <sheetData>
    <row r="1" spans="1:4" x14ac:dyDescent="0.2">
      <c r="A1" s="1" t="s">
        <v>67</v>
      </c>
      <c r="B1" s="1" t="s">
        <v>2</v>
      </c>
      <c r="C1" s="1" t="s">
        <v>3</v>
      </c>
      <c r="D1" s="9" t="s">
        <v>64</v>
      </c>
    </row>
    <row r="2" spans="1:4" x14ac:dyDescent="0.2">
      <c r="A2" s="5" t="s">
        <v>65</v>
      </c>
      <c r="B2" s="5" t="s">
        <v>4</v>
      </c>
      <c r="C2" s="6" t="s">
        <v>5</v>
      </c>
      <c r="D2">
        <v>0.77931826873212739</v>
      </c>
    </row>
    <row r="3" spans="1:4" x14ac:dyDescent="0.2">
      <c r="A3" s="5" t="s">
        <v>65</v>
      </c>
      <c r="B3" s="5" t="s">
        <v>4</v>
      </c>
      <c r="C3" s="6" t="s">
        <v>6</v>
      </c>
      <c r="D3">
        <v>0.77645962814938596</v>
      </c>
    </row>
    <row r="4" spans="1:4" x14ac:dyDescent="0.2">
      <c r="A4" s="5" t="s">
        <v>65</v>
      </c>
      <c r="B4" s="5" t="s">
        <v>4</v>
      </c>
      <c r="C4" s="6" t="s">
        <v>7</v>
      </c>
      <c r="D4">
        <v>0.77333478141643652</v>
      </c>
    </row>
    <row r="5" spans="1:4" x14ac:dyDescent="0.2">
      <c r="A5" s="5" t="s">
        <v>65</v>
      </c>
      <c r="B5" s="5" t="s">
        <v>4</v>
      </c>
      <c r="C5" s="6" t="s">
        <v>8</v>
      </c>
      <c r="D5">
        <v>0.77027223920047438</v>
      </c>
    </row>
    <row r="6" spans="1:4" x14ac:dyDescent="0.2">
      <c r="A6" s="5" t="s">
        <v>65</v>
      </c>
      <c r="B6" s="5" t="s">
        <v>4</v>
      </c>
      <c r="C6" s="6" t="s">
        <v>9</v>
      </c>
      <c r="D6">
        <v>0.76727136978609112</v>
      </c>
    </row>
    <row r="7" spans="1:4" x14ac:dyDescent="0.2">
      <c r="A7" s="5" t="s">
        <v>65</v>
      </c>
      <c r="B7" s="5" t="s">
        <v>4</v>
      </c>
      <c r="C7" s="6" t="s">
        <v>10</v>
      </c>
      <c r="D7">
        <v>0.7643328419949601</v>
      </c>
    </row>
    <row r="8" spans="1:4" x14ac:dyDescent="0.2">
      <c r="A8" s="5" t="s">
        <v>65</v>
      </c>
      <c r="B8" s="5" t="s">
        <v>4</v>
      </c>
      <c r="C8" s="6" t="s">
        <v>11</v>
      </c>
      <c r="D8">
        <v>0.76145666192091066</v>
      </c>
    </row>
    <row r="9" spans="1:4" x14ac:dyDescent="0.2">
      <c r="A9" s="5" t="s">
        <v>65</v>
      </c>
      <c r="B9" s="5" t="s">
        <v>4</v>
      </c>
      <c r="C9" s="6" t="s">
        <v>12</v>
      </c>
      <c r="D9">
        <v>0.75864269332506584</v>
      </c>
    </row>
    <row r="10" spans="1:4" x14ac:dyDescent="0.2">
      <c r="A10" s="5" t="s">
        <v>65</v>
      </c>
      <c r="B10" s="5" t="s">
        <v>4</v>
      </c>
      <c r="C10" s="6" t="s">
        <v>13</v>
      </c>
      <c r="D10">
        <v>0.75589141483544253</v>
      </c>
    </row>
    <row r="11" spans="1:4" x14ac:dyDescent="0.2">
      <c r="A11" s="5" t="s">
        <v>65</v>
      </c>
      <c r="B11" s="5" t="s">
        <v>4</v>
      </c>
      <c r="C11" s="6" t="s">
        <v>14</v>
      </c>
      <c r="D11">
        <v>0.75320268549984093</v>
      </c>
    </row>
    <row r="12" spans="1:4" x14ac:dyDescent="0.2">
      <c r="A12" s="5" t="s">
        <v>65</v>
      </c>
      <c r="B12" s="5" t="s">
        <v>4</v>
      </c>
      <c r="C12" s="6" t="s">
        <v>15</v>
      </c>
      <c r="D12">
        <v>0.75057660942177329</v>
      </c>
    </row>
    <row r="13" spans="1:4" x14ac:dyDescent="0.2">
      <c r="A13" s="5" t="s">
        <v>65</v>
      </c>
      <c r="B13" s="5" t="s">
        <v>4</v>
      </c>
      <c r="C13" s="6" t="s">
        <v>16</v>
      </c>
      <c r="D13">
        <v>0.74801329551804574</v>
      </c>
    </row>
    <row r="14" spans="1:4" x14ac:dyDescent="0.2">
      <c r="A14" s="5" t="s">
        <v>65</v>
      </c>
      <c r="B14" s="5" t="s">
        <v>4</v>
      </c>
      <c r="C14" s="6" t="s">
        <v>17</v>
      </c>
      <c r="D14">
        <v>0.74497921079399709</v>
      </c>
    </row>
    <row r="15" spans="1:4" x14ac:dyDescent="0.2">
      <c r="A15" s="5" t="s">
        <v>65</v>
      </c>
      <c r="B15" s="5" t="s">
        <v>4</v>
      </c>
      <c r="C15" s="6" t="s">
        <v>18</v>
      </c>
      <c r="D15">
        <v>0.74200628917864986</v>
      </c>
    </row>
    <row r="16" spans="1:4" x14ac:dyDescent="0.2">
      <c r="A16" s="5" t="s">
        <v>65</v>
      </c>
      <c r="B16" s="5" t="s">
        <v>4</v>
      </c>
      <c r="C16" s="6" t="s">
        <v>19</v>
      </c>
      <c r="D16">
        <v>0.73909419287552658</v>
      </c>
    </row>
    <row r="17" spans="1:4" x14ac:dyDescent="0.2">
      <c r="A17" s="5" t="s">
        <v>65</v>
      </c>
      <c r="B17" s="5" t="s">
        <v>4</v>
      </c>
      <c r="C17" s="6" t="s">
        <v>20</v>
      </c>
      <c r="D17">
        <v>0.73624310980885155</v>
      </c>
    </row>
    <row r="18" spans="1:4" x14ac:dyDescent="0.2">
      <c r="A18" s="5" t="s">
        <v>65</v>
      </c>
      <c r="B18" s="5" t="s">
        <v>4</v>
      </c>
      <c r="C18" s="6" t="s">
        <v>21</v>
      </c>
      <c r="D18">
        <v>0.73345261572714715</v>
      </c>
    </row>
    <row r="19" spans="1:4" x14ac:dyDescent="0.2">
      <c r="A19" s="5" t="s">
        <v>65</v>
      </c>
      <c r="B19" s="5" t="s">
        <v>4</v>
      </c>
      <c r="C19" s="6" t="s">
        <v>22</v>
      </c>
      <c r="D19">
        <v>0.73072278441013239</v>
      </c>
    </row>
    <row r="20" spans="1:4" x14ac:dyDescent="0.2">
      <c r="A20" s="5" t="s">
        <v>65</v>
      </c>
      <c r="B20" s="5" t="s">
        <v>4</v>
      </c>
      <c r="C20" s="6" t="s">
        <v>23</v>
      </c>
      <c r="D20">
        <v>0.72805357131740323</v>
      </c>
    </row>
    <row r="21" spans="1:4" x14ac:dyDescent="0.2">
      <c r="A21" s="5" t="s">
        <v>65</v>
      </c>
      <c r="B21" s="5" t="s">
        <v>4</v>
      </c>
      <c r="C21" s="6" t="s">
        <v>24</v>
      </c>
      <c r="D21">
        <v>0.72544470304668174</v>
      </c>
    </row>
    <row r="22" spans="1:4" x14ac:dyDescent="0.2">
      <c r="A22" s="5" t="s">
        <v>65</v>
      </c>
      <c r="B22" s="5" t="s">
        <v>4</v>
      </c>
      <c r="C22" s="6" t="s">
        <v>25</v>
      </c>
      <c r="D22">
        <v>0.72289665268477943</v>
      </c>
    </row>
    <row r="23" spans="1:4" x14ac:dyDescent="0.2">
      <c r="A23" s="5" t="s">
        <v>65</v>
      </c>
      <c r="B23" s="5" t="s">
        <v>4</v>
      </c>
      <c r="C23" s="6" t="s">
        <v>26</v>
      </c>
      <c r="D23">
        <v>0.72040857988290008</v>
      </c>
    </row>
    <row r="24" spans="1:4" x14ac:dyDescent="0.2">
      <c r="A24" s="5" t="s">
        <v>65</v>
      </c>
      <c r="B24" s="5" t="s">
        <v>4</v>
      </c>
      <c r="C24" s="6" t="s">
        <v>27</v>
      </c>
      <c r="D24">
        <v>0.71754000413295216</v>
      </c>
    </row>
    <row r="25" spans="1:4" x14ac:dyDescent="0.2">
      <c r="A25" s="5" t="s">
        <v>65</v>
      </c>
      <c r="B25" s="5" t="s">
        <v>4</v>
      </c>
      <c r="C25" s="6" t="s">
        <v>28</v>
      </c>
      <c r="D25">
        <v>0.71473178405423854</v>
      </c>
    </row>
    <row r="26" spans="1:4" x14ac:dyDescent="0.2">
      <c r="A26" s="5" t="s">
        <v>65</v>
      </c>
      <c r="B26" s="5" t="s">
        <v>4</v>
      </c>
      <c r="C26" s="6" t="s">
        <v>29</v>
      </c>
      <c r="D26">
        <v>0.71198366644770883</v>
      </c>
    </row>
    <row r="27" spans="1:4" x14ac:dyDescent="0.2">
      <c r="A27" s="5" t="s">
        <v>65</v>
      </c>
      <c r="B27" s="5" t="s">
        <v>4</v>
      </c>
      <c r="C27" s="6" t="s">
        <v>30</v>
      </c>
      <c r="D27">
        <v>0.70929505599949949</v>
      </c>
    </row>
    <row r="28" spans="1:4" x14ac:dyDescent="0.2">
      <c r="A28" s="5" t="s">
        <v>65</v>
      </c>
      <c r="B28" s="5" t="s">
        <v>4</v>
      </c>
      <c r="C28" s="6" t="s">
        <v>31</v>
      </c>
      <c r="D28">
        <v>0.70666586913316454</v>
      </c>
    </row>
    <row r="29" spans="1:4" x14ac:dyDescent="0.2">
      <c r="A29" s="5" t="s">
        <v>65</v>
      </c>
      <c r="B29" s="5" t="s">
        <v>4</v>
      </c>
      <c r="C29" s="6" t="s">
        <v>32</v>
      </c>
      <c r="D29">
        <v>0.70409562744705179</v>
      </c>
    </row>
    <row r="30" spans="1:4" x14ac:dyDescent="0.2">
      <c r="A30" s="5" t="s">
        <v>65</v>
      </c>
      <c r="B30" s="5" t="s">
        <v>4</v>
      </c>
      <c r="C30" s="6" t="s">
        <v>33</v>
      </c>
      <c r="D30">
        <v>0.70158452795615744</v>
      </c>
    </row>
    <row r="31" spans="1:4" x14ac:dyDescent="0.2">
      <c r="A31" s="5" t="s">
        <v>65</v>
      </c>
      <c r="B31" s="5" t="s">
        <v>4</v>
      </c>
      <c r="C31" s="6" t="s">
        <v>34</v>
      </c>
      <c r="D31">
        <v>0.69913208027922891</v>
      </c>
    </row>
    <row r="32" spans="1:4" x14ac:dyDescent="0.2">
      <c r="A32" s="5" t="s">
        <v>65</v>
      </c>
      <c r="B32" s="5" t="s">
        <v>4</v>
      </c>
      <c r="C32" s="6" t="s">
        <v>35</v>
      </c>
      <c r="D32">
        <v>0.69673783118114074</v>
      </c>
    </row>
    <row r="33" spans="1:4" x14ac:dyDescent="0.2">
      <c r="A33" s="5" t="s">
        <v>65</v>
      </c>
      <c r="B33" s="1" t="s">
        <v>4</v>
      </c>
      <c r="C33" s="2" t="s">
        <v>36</v>
      </c>
      <c r="D33">
        <v>0.69440204454214305</v>
      </c>
    </row>
    <row r="34" spans="1:4" x14ac:dyDescent="0.2">
      <c r="A34" s="5" t="s">
        <v>65</v>
      </c>
      <c r="B34" s="5" t="s">
        <v>37</v>
      </c>
      <c r="C34" s="6" t="s">
        <v>5</v>
      </c>
      <c r="D34">
        <v>0.74627954788092654</v>
      </c>
    </row>
    <row r="35" spans="1:4" x14ac:dyDescent="0.2">
      <c r="A35" s="5" t="s">
        <v>65</v>
      </c>
      <c r="B35" s="5" t="s">
        <v>37</v>
      </c>
      <c r="C35" s="6" t="s">
        <v>6</v>
      </c>
      <c r="D35">
        <v>0.74525406105574232</v>
      </c>
    </row>
    <row r="36" spans="1:4" x14ac:dyDescent="0.2">
      <c r="A36" s="5" t="s">
        <v>65</v>
      </c>
      <c r="B36" s="5" t="s">
        <v>37</v>
      </c>
      <c r="C36" s="6" t="s">
        <v>7</v>
      </c>
      <c r="D36">
        <v>0.74344373451895696</v>
      </c>
    </row>
    <row r="37" spans="1:4" x14ac:dyDescent="0.2">
      <c r="A37" s="5" t="s">
        <v>65</v>
      </c>
      <c r="B37" s="5" t="s">
        <v>37</v>
      </c>
      <c r="C37" s="6" t="s">
        <v>8</v>
      </c>
      <c r="D37">
        <v>0.74178390579327347</v>
      </c>
    </row>
    <row r="38" spans="1:4" x14ac:dyDescent="0.2">
      <c r="A38" s="5" t="s">
        <v>65</v>
      </c>
      <c r="B38" s="5" t="s">
        <v>37</v>
      </c>
      <c r="C38" s="6" t="s">
        <v>9</v>
      </c>
      <c r="D38">
        <v>0.74027742212130754</v>
      </c>
    </row>
    <row r="39" spans="1:4" x14ac:dyDescent="0.2">
      <c r="A39" s="5" t="s">
        <v>65</v>
      </c>
      <c r="B39" s="5" t="s">
        <v>37</v>
      </c>
      <c r="C39" s="6" t="s">
        <v>10</v>
      </c>
      <c r="D39">
        <v>0.73892616046306869</v>
      </c>
    </row>
    <row r="40" spans="1:4" x14ac:dyDescent="0.2">
      <c r="A40" s="5" t="s">
        <v>65</v>
      </c>
      <c r="B40" s="5" t="s">
        <v>37</v>
      </c>
      <c r="C40" s="6" t="s">
        <v>11</v>
      </c>
      <c r="D40">
        <v>0.73773260719640421</v>
      </c>
    </row>
    <row r="41" spans="1:4" x14ac:dyDescent="0.2">
      <c r="A41" s="5" t="s">
        <v>65</v>
      </c>
      <c r="B41" s="5" t="s">
        <v>37</v>
      </c>
      <c r="C41" s="6" t="s">
        <v>12</v>
      </c>
      <c r="D41">
        <v>0.73669917992232659</v>
      </c>
    </row>
    <row r="42" spans="1:4" x14ac:dyDescent="0.2">
      <c r="A42" s="5" t="s">
        <v>65</v>
      </c>
      <c r="B42" s="5" t="s">
        <v>37</v>
      </c>
      <c r="C42" s="6" t="s">
        <v>13</v>
      </c>
      <c r="D42">
        <v>0.73582848349861818</v>
      </c>
    </row>
    <row r="43" spans="1:4" x14ac:dyDescent="0.2">
      <c r="A43" s="5" t="s">
        <v>65</v>
      </c>
      <c r="B43" s="5" t="s">
        <v>37</v>
      </c>
      <c r="C43" s="6" t="s">
        <v>14</v>
      </c>
      <c r="D43">
        <v>0.7351232065332669</v>
      </c>
    </row>
    <row r="44" spans="1:4" x14ac:dyDescent="0.2">
      <c r="A44" s="5" t="s">
        <v>65</v>
      </c>
      <c r="B44" s="5" t="s">
        <v>37</v>
      </c>
      <c r="C44" s="6" t="s">
        <v>15</v>
      </c>
      <c r="D44">
        <v>0.7345861306517284</v>
      </c>
    </row>
    <row r="45" spans="1:4" x14ac:dyDescent="0.2">
      <c r="A45" s="5" t="s">
        <v>65</v>
      </c>
      <c r="B45" s="5" t="s">
        <v>37</v>
      </c>
      <c r="C45" s="6" t="s">
        <v>16</v>
      </c>
      <c r="D45">
        <v>0.73421987342397754</v>
      </c>
    </row>
    <row r="46" spans="1:4" x14ac:dyDescent="0.2">
      <c r="A46" s="5" t="s">
        <v>65</v>
      </c>
      <c r="B46" s="5" t="s">
        <v>37</v>
      </c>
      <c r="C46" s="6" t="s">
        <v>17</v>
      </c>
      <c r="D46">
        <v>0.73250901872305374</v>
      </c>
    </row>
    <row r="47" spans="1:4" x14ac:dyDescent="0.2">
      <c r="A47" s="5" t="s">
        <v>65</v>
      </c>
      <c r="B47" s="5" t="s">
        <v>37</v>
      </c>
      <c r="C47" s="6" t="s">
        <v>18</v>
      </c>
      <c r="D47">
        <v>0.73093416477410011</v>
      </c>
    </row>
    <row r="48" spans="1:4" x14ac:dyDescent="0.2">
      <c r="A48" s="5" t="s">
        <v>65</v>
      </c>
      <c r="B48" s="5" t="s">
        <v>37</v>
      </c>
      <c r="C48" s="6" t="s">
        <v>19</v>
      </c>
      <c r="D48">
        <v>0.7294966727080644</v>
      </c>
    </row>
    <row r="49" spans="1:4" x14ac:dyDescent="0.2">
      <c r="A49" s="5" t="s">
        <v>65</v>
      </c>
      <c r="B49" s="5" t="s">
        <v>37</v>
      </c>
      <c r="C49" s="6" t="s">
        <v>20</v>
      </c>
      <c r="D49">
        <v>0.72819759125572048</v>
      </c>
    </row>
    <row r="50" spans="1:4" x14ac:dyDescent="0.2">
      <c r="A50" s="5" t="s">
        <v>65</v>
      </c>
      <c r="B50" s="5" t="s">
        <v>37</v>
      </c>
      <c r="C50" s="6" t="s">
        <v>21</v>
      </c>
      <c r="D50">
        <v>0.72703805552033041</v>
      </c>
    </row>
    <row r="51" spans="1:4" x14ac:dyDescent="0.2">
      <c r="A51" s="5" t="s">
        <v>65</v>
      </c>
      <c r="B51" s="5" t="s">
        <v>37</v>
      </c>
      <c r="C51" s="6" t="s">
        <v>22</v>
      </c>
      <c r="D51">
        <v>0.72601910727063401</v>
      </c>
    </row>
    <row r="52" spans="1:4" x14ac:dyDescent="0.2">
      <c r="A52" s="5" t="s">
        <v>65</v>
      </c>
      <c r="B52" s="5" t="s">
        <v>37</v>
      </c>
      <c r="C52" s="6" t="s">
        <v>23</v>
      </c>
      <c r="D52">
        <v>0.72514218612330517</v>
      </c>
    </row>
    <row r="53" spans="1:4" x14ac:dyDescent="0.2">
      <c r="A53" s="5" t="s">
        <v>65</v>
      </c>
      <c r="B53" s="5" t="s">
        <v>37</v>
      </c>
      <c r="C53" s="6" t="s">
        <v>24</v>
      </c>
      <c r="D53">
        <v>0.72440818727408252</v>
      </c>
    </row>
    <row r="54" spans="1:4" x14ac:dyDescent="0.2">
      <c r="A54" s="5" t="s">
        <v>65</v>
      </c>
      <c r="B54" s="5" t="s">
        <v>37</v>
      </c>
      <c r="C54" s="6" t="s">
        <v>25</v>
      </c>
      <c r="D54">
        <v>0.72381872330014707</v>
      </c>
    </row>
    <row r="55" spans="1:4" x14ac:dyDescent="0.2">
      <c r="A55" s="5" t="s">
        <v>65</v>
      </c>
      <c r="B55" s="5" t="s">
        <v>37</v>
      </c>
      <c r="C55" s="6" t="s">
        <v>26</v>
      </c>
      <c r="D55">
        <v>0.72337515194126056</v>
      </c>
    </row>
    <row r="56" spans="1:4" x14ac:dyDescent="0.2">
      <c r="A56" s="5" t="s">
        <v>65</v>
      </c>
      <c r="B56" s="5" t="s">
        <v>37</v>
      </c>
      <c r="C56" s="6" t="s">
        <v>27</v>
      </c>
      <c r="D56">
        <v>0.72174155434254783</v>
      </c>
    </row>
    <row r="57" spans="1:4" x14ac:dyDescent="0.2">
      <c r="A57" s="5" t="s">
        <v>65</v>
      </c>
      <c r="B57" s="5" t="s">
        <v>37</v>
      </c>
      <c r="C57" s="6" t="s">
        <v>28</v>
      </c>
      <c r="D57">
        <v>0.72023703632701297</v>
      </c>
    </row>
    <row r="58" spans="1:4" x14ac:dyDescent="0.2">
      <c r="A58" s="5" t="s">
        <v>65</v>
      </c>
      <c r="B58" s="5" t="s">
        <v>37</v>
      </c>
      <c r="C58" s="6" t="s">
        <v>29</v>
      </c>
      <c r="D58">
        <v>0.71886180750094819</v>
      </c>
    </row>
    <row r="59" spans="1:4" x14ac:dyDescent="0.2">
      <c r="A59" s="5" t="s">
        <v>65</v>
      </c>
      <c r="B59" s="5" t="s">
        <v>37</v>
      </c>
      <c r="C59" s="6" t="s">
        <v>30</v>
      </c>
      <c r="D59">
        <v>0.71761674319796931</v>
      </c>
    </row>
    <row r="60" spans="1:4" x14ac:dyDescent="0.2">
      <c r="A60" s="5" t="s">
        <v>65</v>
      </c>
      <c r="B60" s="5" t="s">
        <v>37</v>
      </c>
      <c r="C60" s="6" t="s">
        <v>31</v>
      </c>
      <c r="D60">
        <v>0.71650168284128912</v>
      </c>
    </row>
    <row r="61" spans="1:4" x14ac:dyDescent="0.2">
      <c r="A61" s="5" t="s">
        <v>65</v>
      </c>
      <c r="B61" s="5" t="s">
        <v>37</v>
      </c>
      <c r="C61" s="6" t="s">
        <v>32</v>
      </c>
      <c r="D61">
        <v>0.71551695850518549</v>
      </c>
    </row>
    <row r="62" spans="1:4" x14ac:dyDescent="0.2">
      <c r="A62" s="5" t="s">
        <v>65</v>
      </c>
      <c r="B62" s="5" t="s">
        <v>37</v>
      </c>
      <c r="C62" s="6" t="s">
        <v>33</v>
      </c>
      <c r="D62">
        <v>0.71466336806007824</v>
      </c>
    </row>
    <row r="63" spans="1:4" x14ac:dyDescent="0.2">
      <c r="A63" s="5" t="s">
        <v>65</v>
      </c>
      <c r="B63" s="5" t="s">
        <v>37</v>
      </c>
      <c r="C63" s="6" t="s">
        <v>34</v>
      </c>
      <c r="D63">
        <v>0.71394104544390713</v>
      </c>
    </row>
    <row r="64" spans="1:4" x14ac:dyDescent="0.2">
      <c r="A64" s="5" t="s">
        <v>65</v>
      </c>
      <c r="B64" s="5" t="s">
        <v>37</v>
      </c>
      <c r="C64" s="6" t="s">
        <v>35</v>
      </c>
      <c r="D64">
        <v>0.71335059233316989</v>
      </c>
    </row>
    <row r="65" spans="1:4" x14ac:dyDescent="0.2">
      <c r="A65" s="5" t="s">
        <v>65</v>
      </c>
      <c r="B65" s="1" t="s">
        <v>37</v>
      </c>
      <c r="C65" s="2" t="s">
        <v>36</v>
      </c>
      <c r="D65">
        <v>0.71289282967963374</v>
      </c>
    </row>
    <row r="66" spans="1:4" x14ac:dyDescent="0.2">
      <c r="A66" s="5" t="s">
        <v>65</v>
      </c>
      <c r="B66" s="5" t="s">
        <v>38</v>
      </c>
      <c r="C66" s="6" t="s">
        <v>5</v>
      </c>
      <c r="D66">
        <v>0.814995378517402</v>
      </c>
    </row>
    <row r="67" spans="1:4" x14ac:dyDescent="0.2">
      <c r="A67" s="5" t="s">
        <v>65</v>
      </c>
      <c r="B67" s="5" t="s">
        <v>38</v>
      </c>
      <c r="C67" s="6" t="s">
        <v>6</v>
      </c>
      <c r="D67">
        <v>0.81553012270477299</v>
      </c>
    </row>
    <row r="68" spans="1:4" x14ac:dyDescent="0.2">
      <c r="A68" s="5" t="s">
        <v>65</v>
      </c>
      <c r="B68" s="5" t="s">
        <v>38</v>
      </c>
      <c r="C68" s="6" t="s">
        <v>7</v>
      </c>
      <c r="D68">
        <v>0.81562084713332628</v>
      </c>
    </row>
    <row r="69" spans="1:4" x14ac:dyDescent="0.2">
      <c r="A69" s="5" t="s">
        <v>65</v>
      </c>
      <c r="B69" s="5" t="s">
        <v>38</v>
      </c>
      <c r="C69" s="6" t="s">
        <v>8</v>
      </c>
      <c r="D69">
        <v>0.81579979197832531</v>
      </c>
    </row>
    <row r="70" spans="1:4" x14ac:dyDescent="0.2">
      <c r="A70" s="5" t="s">
        <v>65</v>
      </c>
      <c r="B70" s="5" t="s">
        <v>38</v>
      </c>
      <c r="C70" s="6" t="s">
        <v>9</v>
      </c>
      <c r="D70">
        <v>0.81606848804107379</v>
      </c>
    </row>
    <row r="71" spans="1:4" x14ac:dyDescent="0.2">
      <c r="A71" s="5" t="s">
        <v>65</v>
      </c>
      <c r="B71" s="5" t="s">
        <v>38</v>
      </c>
      <c r="C71" s="6" t="s">
        <v>10</v>
      </c>
      <c r="D71">
        <v>0.81642800814751015</v>
      </c>
    </row>
    <row r="72" spans="1:4" x14ac:dyDescent="0.2">
      <c r="A72" s="5" t="s">
        <v>65</v>
      </c>
      <c r="B72" s="5" t="s">
        <v>38</v>
      </c>
      <c r="C72" s="6" t="s">
        <v>11</v>
      </c>
      <c r="D72">
        <v>0.81687973600317842</v>
      </c>
    </row>
    <row r="73" spans="1:4" x14ac:dyDescent="0.2">
      <c r="A73" s="5" t="s">
        <v>65</v>
      </c>
      <c r="B73" s="5" t="s">
        <v>38</v>
      </c>
      <c r="C73" s="6" t="s">
        <v>12</v>
      </c>
      <c r="D73">
        <v>0.81742577285926554</v>
      </c>
    </row>
    <row r="74" spans="1:4" x14ac:dyDescent="0.2">
      <c r="A74" s="5" t="s">
        <v>65</v>
      </c>
      <c r="B74" s="5" t="s">
        <v>38</v>
      </c>
      <c r="C74" s="6" t="s">
        <v>13</v>
      </c>
      <c r="D74">
        <v>0.81806709732331806</v>
      </c>
    </row>
    <row r="75" spans="1:4" x14ac:dyDescent="0.2">
      <c r="A75" s="5" t="s">
        <v>65</v>
      </c>
      <c r="B75" s="5" t="s">
        <v>38</v>
      </c>
      <c r="C75" s="6" t="s">
        <v>14</v>
      </c>
      <c r="D75">
        <v>0.81880516227808497</v>
      </c>
    </row>
    <row r="76" spans="1:4" x14ac:dyDescent="0.2">
      <c r="A76" s="5" t="s">
        <v>65</v>
      </c>
      <c r="B76" s="5" t="s">
        <v>38</v>
      </c>
      <c r="C76" s="6" t="s">
        <v>15</v>
      </c>
      <c r="D76">
        <v>0.81964240696453028</v>
      </c>
    </row>
    <row r="77" spans="1:4" x14ac:dyDescent="0.2">
      <c r="A77" s="5" t="s">
        <v>65</v>
      </c>
      <c r="B77" s="5" t="s">
        <v>38</v>
      </c>
      <c r="C77" s="6" t="s">
        <v>16</v>
      </c>
      <c r="D77">
        <v>0.82057999260110015</v>
      </c>
    </row>
    <row r="78" spans="1:4" x14ac:dyDescent="0.2">
      <c r="A78" s="5" t="s">
        <v>65</v>
      </c>
      <c r="B78" s="5" t="s">
        <v>38</v>
      </c>
      <c r="C78" s="6" t="s">
        <v>17</v>
      </c>
      <c r="D78">
        <v>0.82077736513220234</v>
      </c>
    </row>
    <row r="79" spans="1:4" x14ac:dyDescent="0.2">
      <c r="A79" s="5" t="s">
        <v>65</v>
      </c>
      <c r="B79" s="5" t="s">
        <v>38</v>
      </c>
      <c r="C79" s="6" t="s">
        <v>18</v>
      </c>
      <c r="D79">
        <v>0.82105187858208251</v>
      </c>
    </row>
    <row r="80" spans="1:4" x14ac:dyDescent="0.2">
      <c r="A80" s="5" t="s">
        <v>65</v>
      </c>
      <c r="B80" s="5" t="s">
        <v>38</v>
      </c>
      <c r="C80" s="6" t="s">
        <v>19</v>
      </c>
      <c r="D80">
        <v>0.82140315948268572</v>
      </c>
    </row>
    <row r="81" spans="1:4" x14ac:dyDescent="0.2">
      <c r="A81" s="5" t="s">
        <v>65</v>
      </c>
      <c r="B81" s="5" t="s">
        <v>38</v>
      </c>
      <c r="C81" s="6" t="s">
        <v>20</v>
      </c>
      <c r="D81">
        <v>0.82183331304527885</v>
      </c>
    </row>
    <row r="82" spans="1:4" x14ac:dyDescent="0.2">
      <c r="A82" s="5" t="s">
        <v>65</v>
      </c>
      <c r="B82" s="5" t="s">
        <v>38</v>
      </c>
      <c r="C82" s="6" t="s">
        <v>21</v>
      </c>
      <c r="D82">
        <v>0.82234245307078568</v>
      </c>
    </row>
    <row r="83" spans="1:4" x14ac:dyDescent="0.2">
      <c r="A83" s="5" t="s">
        <v>65</v>
      </c>
      <c r="B83" s="5" t="s">
        <v>38</v>
      </c>
      <c r="C83" s="6" t="s">
        <v>22</v>
      </c>
      <c r="D83">
        <v>0.82293208377439275</v>
      </c>
    </row>
    <row r="84" spans="1:4" x14ac:dyDescent="0.2">
      <c r="A84" s="5" t="s">
        <v>65</v>
      </c>
      <c r="B84" s="5" t="s">
        <v>38</v>
      </c>
      <c r="C84" s="6" t="s">
        <v>23</v>
      </c>
      <c r="D84">
        <v>0.82360292064704921</v>
      </c>
    </row>
    <row r="85" spans="1:4" x14ac:dyDescent="0.2">
      <c r="A85" s="5" t="s">
        <v>65</v>
      </c>
      <c r="B85" s="5" t="s">
        <v>38</v>
      </c>
      <c r="C85" s="6" t="s">
        <v>24</v>
      </c>
      <c r="D85">
        <v>0.82435598481048122</v>
      </c>
    </row>
    <row r="86" spans="1:4" x14ac:dyDescent="0.2">
      <c r="A86" s="5" t="s">
        <v>65</v>
      </c>
      <c r="B86" s="5" t="s">
        <v>38</v>
      </c>
      <c r="C86" s="6" t="s">
        <v>25</v>
      </c>
      <c r="D86">
        <v>0.82519213626698518</v>
      </c>
    </row>
    <row r="87" spans="1:4" x14ac:dyDescent="0.2">
      <c r="A87" s="5" t="s">
        <v>65</v>
      </c>
      <c r="B87" s="5" t="s">
        <v>38</v>
      </c>
      <c r="C87" s="6" t="s">
        <v>26</v>
      </c>
      <c r="D87">
        <v>0.82611262773038274</v>
      </c>
    </row>
    <row r="88" spans="1:4" x14ac:dyDescent="0.2">
      <c r="A88" s="5" t="s">
        <v>65</v>
      </c>
      <c r="B88" s="5" t="s">
        <v>38</v>
      </c>
      <c r="C88" s="6" t="s">
        <v>27</v>
      </c>
      <c r="D88">
        <v>0.8263463915823791</v>
      </c>
    </row>
    <row r="89" spans="1:4" x14ac:dyDescent="0.2">
      <c r="A89" s="5" t="s">
        <v>65</v>
      </c>
      <c r="B89" s="5" t="s">
        <v>38</v>
      </c>
      <c r="C89" s="6" t="s">
        <v>28</v>
      </c>
      <c r="D89">
        <v>0.82664989813463052</v>
      </c>
    </row>
    <row r="90" spans="1:4" x14ac:dyDescent="0.2">
      <c r="A90" s="5" t="s">
        <v>65</v>
      </c>
      <c r="B90" s="5" t="s">
        <v>38</v>
      </c>
      <c r="C90" s="6" t="s">
        <v>29</v>
      </c>
      <c r="D90">
        <v>0.82702351750861813</v>
      </c>
    </row>
    <row r="91" spans="1:4" x14ac:dyDescent="0.2">
      <c r="A91" s="5" t="s">
        <v>65</v>
      </c>
      <c r="B91" s="5" t="s">
        <v>38</v>
      </c>
      <c r="C91" s="6" t="s">
        <v>30</v>
      </c>
      <c r="D91">
        <v>0.82746786567848696</v>
      </c>
    </row>
    <row r="92" spans="1:4" x14ac:dyDescent="0.2">
      <c r="A92" s="5" t="s">
        <v>65</v>
      </c>
      <c r="B92" s="5" t="s">
        <v>38</v>
      </c>
      <c r="C92" s="6" t="s">
        <v>31</v>
      </c>
      <c r="D92">
        <v>0.82798344331417051</v>
      </c>
    </row>
    <row r="93" spans="1:4" x14ac:dyDescent="0.2">
      <c r="A93" s="5" t="s">
        <v>65</v>
      </c>
      <c r="B93" s="5" t="s">
        <v>38</v>
      </c>
      <c r="C93" s="6" t="s">
        <v>32</v>
      </c>
      <c r="D93">
        <v>0.82857095324914232</v>
      </c>
    </row>
    <row r="94" spans="1:4" x14ac:dyDescent="0.2">
      <c r="A94" s="5" t="s">
        <v>65</v>
      </c>
      <c r="B94" s="5" t="s">
        <v>38</v>
      </c>
      <c r="C94" s="6" t="s">
        <v>33</v>
      </c>
      <c r="D94">
        <v>0.82923077328994477</v>
      </c>
    </row>
    <row r="95" spans="1:4" x14ac:dyDescent="0.2">
      <c r="A95" s="5" t="s">
        <v>65</v>
      </c>
      <c r="B95" s="5" t="s">
        <v>38</v>
      </c>
      <c r="C95" s="6" t="s">
        <v>34</v>
      </c>
      <c r="D95">
        <v>0.82996396414599216</v>
      </c>
    </row>
    <row r="96" spans="1:4" x14ac:dyDescent="0.2">
      <c r="A96" s="5" t="s">
        <v>65</v>
      </c>
      <c r="B96" s="5" t="s">
        <v>38</v>
      </c>
      <c r="C96" s="6" t="s">
        <v>35</v>
      </c>
      <c r="D96">
        <v>0.83077055447101744</v>
      </c>
    </row>
    <row r="97" spans="1:4" x14ac:dyDescent="0.2">
      <c r="A97" s="5" t="s">
        <v>65</v>
      </c>
      <c r="B97" s="1" t="s">
        <v>38</v>
      </c>
      <c r="C97" s="2" t="s">
        <v>36</v>
      </c>
      <c r="D97">
        <v>0.83165197557245996</v>
      </c>
    </row>
    <row r="98" spans="1:4" x14ac:dyDescent="0.2">
      <c r="A98" s="5" t="s">
        <v>65</v>
      </c>
      <c r="B98" s="5" t="s">
        <v>39</v>
      </c>
      <c r="C98" s="6" t="s">
        <v>5</v>
      </c>
      <c r="D98">
        <v>0.72643124822272909</v>
      </c>
    </row>
    <row r="99" spans="1:4" x14ac:dyDescent="0.2">
      <c r="A99" s="5" t="s">
        <v>65</v>
      </c>
      <c r="B99" s="5" t="s">
        <v>39</v>
      </c>
      <c r="C99" s="6" t="s">
        <v>6</v>
      </c>
      <c r="D99">
        <v>0.7219707321316623</v>
      </c>
    </row>
    <row r="100" spans="1:4" x14ac:dyDescent="0.2">
      <c r="A100" s="5" t="s">
        <v>65</v>
      </c>
      <c r="B100" s="5" t="s">
        <v>39</v>
      </c>
      <c r="C100" s="6" t="s">
        <v>7</v>
      </c>
      <c r="D100">
        <v>0.71731991070906898</v>
      </c>
    </row>
    <row r="101" spans="1:4" x14ac:dyDescent="0.2">
      <c r="A101" s="5" t="s">
        <v>65</v>
      </c>
      <c r="B101" s="5" t="s">
        <v>39</v>
      </c>
      <c r="C101" s="6" t="s">
        <v>8</v>
      </c>
      <c r="D101">
        <v>0.71271727379534489</v>
      </c>
    </row>
    <row r="102" spans="1:4" x14ac:dyDescent="0.2">
      <c r="A102" s="5" t="s">
        <v>65</v>
      </c>
      <c r="B102" s="5" t="s">
        <v>39</v>
      </c>
      <c r="C102" s="6" t="s">
        <v>9</v>
      </c>
      <c r="D102">
        <v>0.70816243241876853</v>
      </c>
    </row>
    <row r="103" spans="1:4" x14ac:dyDescent="0.2">
      <c r="A103" s="5" t="s">
        <v>65</v>
      </c>
      <c r="B103" s="5" t="s">
        <v>39</v>
      </c>
      <c r="C103" s="6" t="s">
        <v>10</v>
      </c>
      <c r="D103">
        <v>0.70365479292442046</v>
      </c>
    </row>
    <row r="104" spans="1:4" x14ac:dyDescent="0.2">
      <c r="A104" s="5" t="s">
        <v>65</v>
      </c>
      <c r="B104" s="5" t="s">
        <v>39</v>
      </c>
      <c r="C104" s="6" t="s">
        <v>11</v>
      </c>
      <c r="D104">
        <v>0.69919367086161133</v>
      </c>
    </row>
    <row r="105" spans="1:4" x14ac:dyDescent="0.2">
      <c r="A105" s="5" t="s">
        <v>65</v>
      </c>
      <c r="B105" s="5" t="s">
        <v>39</v>
      </c>
      <c r="C105" s="6" t="s">
        <v>12</v>
      </c>
      <c r="D105">
        <v>0.69477940209291189</v>
      </c>
    </row>
    <row r="106" spans="1:4" x14ac:dyDescent="0.2">
      <c r="A106" s="5" t="s">
        <v>65</v>
      </c>
      <c r="B106" s="5" t="s">
        <v>39</v>
      </c>
      <c r="C106" s="6" t="s">
        <v>13</v>
      </c>
      <c r="D106">
        <v>0.6904112169326716</v>
      </c>
    </row>
    <row r="107" spans="1:4" x14ac:dyDescent="0.2">
      <c r="A107" s="5" t="s">
        <v>65</v>
      </c>
      <c r="B107" s="5" t="s">
        <v>39</v>
      </c>
      <c r="C107" s="6" t="s">
        <v>14</v>
      </c>
      <c r="D107">
        <v>0.68608855642811462</v>
      </c>
    </row>
    <row r="108" spans="1:4" x14ac:dyDescent="0.2">
      <c r="A108" s="5" t="s">
        <v>65</v>
      </c>
      <c r="B108" s="5" t="s">
        <v>39</v>
      </c>
      <c r="C108" s="6" t="s">
        <v>15</v>
      </c>
      <c r="D108">
        <v>0.68181145949646838</v>
      </c>
    </row>
    <row r="109" spans="1:4" x14ac:dyDescent="0.2">
      <c r="A109" s="5" t="s">
        <v>65</v>
      </c>
      <c r="B109" s="5" t="s">
        <v>39</v>
      </c>
      <c r="C109" s="6" t="s">
        <v>16</v>
      </c>
      <c r="D109">
        <v>0.67757913078947796</v>
      </c>
    </row>
    <row r="110" spans="1:4" x14ac:dyDescent="0.2">
      <c r="A110" s="5" t="s">
        <v>65</v>
      </c>
      <c r="B110" s="5" t="s">
        <v>39</v>
      </c>
      <c r="C110" s="6" t="s">
        <v>17</v>
      </c>
      <c r="D110">
        <v>0.67297377378547174</v>
      </c>
    </row>
    <row r="111" spans="1:4" x14ac:dyDescent="0.2">
      <c r="A111" s="5" t="s">
        <v>65</v>
      </c>
      <c r="B111" s="5" t="s">
        <v>39</v>
      </c>
      <c r="C111" s="6" t="s">
        <v>18</v>
      </c>
      <c r="D111">
        <v>0.66841992155655894</v>
      </c>
    </row>
    <row r="112" spans="1:4" x14ac:dyDescent="0.2">
      <c r="A112" s="5" t="s">
        <v>65</v>
      </c>
      <c r="B112" s="5" t="s">
        <v>39</v>
      </c>
      <c r="C112" s="6" t="s">
        <v>19</v>
      </c>
      <c r="D112">
        <v>0.66391784106119123</v>
      </c>
    </row>
    <row r="113" spans="1:4" x14ac:dyDescent="0.2">
      <c r="A113" s="5" t="s">
        <v>65</v>
      </c>
      <c r="B113" s="5" t="s">
        <v>39</v>
      </c>
      <c r="C113" s="6" t="s">
        <v>20</v>
      </c>
      <c r="D113">
        <v>0.65946665589364817</v>
      </c>
    </row>
    <row r="114" spans="1:4" x14ac:dyDescent="0.2">
      <c r="A114" s="5" t="s">
        <v>65</v>
      </c>
      <c r="B114" s="5" t="s">
        <v>39</v>
      </c>
      <c r="C114" s="6" t="s">
        <v>21</v>
      </c>
      <c r="D114">
        <v>0.65506543450251964</v>
      </c>
    </row>
    <row r="115" spans="1:4" x14ac:dyDescent="0.2">
      <c r="A115" s="5" t="s">
        <v>65</v>
      </c>
      <c r="B115" s="5" t="s">
        <v>39</v>
      </c>
      <c r="C115" s="6" t="s">
        <v>22</v>
      </c>
      <c r="D115">
        <v>0.65071459729918979</v>
      </c>
    </row>
    <row r="116" spans="1:4" x14ac:dyDescent="0.2">
      <c r="A116" s="5" t="s">
        <v>65</v>
      </c>
      <c r="B116" s="5" t="s">
        <v>39</v>
      </c>
      <c r="C116" s="6" t="s">
        <v>23</v>
      </c>
      <c r="D116">
        <v>0.64641287692328708</v>
      </c>
    </row>
    <row r="117" spans="1:4" x14ac:dyDescent="0.2">
      <c r="A117" s="5" t="s">
        <v>65</v>
      </c>
      <c r="B117" s="5" t="s">
        <v>39</v>
      </c>
      <c r="C117" s="6" t="s">
        <v>24</v>
      </c>
      <c r="D117">
        <v>0.64216030478259611</v>
      </c>
    </row>
    <row r="118" spans="1:4" x14ac:dyDescent="0.2">
      <c r="A118" s="5" t="s">
        <v>65</v>
      </c>
      <c r="B118" s="5" t="s">
        <v>39</v>
      </c>
      <c r="C118" s="6" t="s">
        <v>25</v>
      </c>
      <c r="D118">
        <v>0.63795594231168185</v>
      </c>
    </row>
    <row r="119" spans="1:4" x14ac:dyDescent="0.2">
      <c r="A119" s="5" t="s">
        <v>65</v>
      </c>
      <c r="B119" s="5" t="s">
        <v>39</v>
      </c>
      <c r="C119" s="6" t="s">
        <v>26</v>
      </c>
      <c r="D119">
        <v>0.63379987096813595</v>
      </c>
    </row>
    <row r="120" spans="1:4" x14ac:dyDescent="0.2">
      <c r="A120" s="5" t="s">
        <v>65</v>
      </c>
      <c r="B120" s="5" t="s">
        <v>39</v>
      </c>
      <c r="C120" s="6" t="s">
        <v>27</v>
      </c>
      <c r="D120">
        <v>0.62919486653547674</v>
      </c>
    </row>
    <row r="121" spans="1:4" x14ac:dyDescent="0.2">
      <c r="A121" s="5" t="s">
        <v>65</v>
      </c>
      <c r="B121" s="5" t="s">
        <v>39</v>
      </c>
      <c r="C121" s="6" t="s">
        <v>28</v>
      </c>
      <c r="D121">
        <v>0.62464714822567635</v>
      </c>
    </row>
    <row r="122" spans="1:4" x14ac:dyDescent="0.2">
      <c r="A122" s="5" t="s">
        <v>65</v>
      </c>
      <c r="B122" s="5" t="s">
        <v>39</v>
      </c>
      <c r="C122" s="6" t="s">
        <v>29</v>
      </c>
      <c r="D122">
        <v>0.62015656147120934</v>
      </c>
    </row>
    <row r="123" spans="1:4" x14ac:dyDescent="0.2">
      <c r="A123" s="5" t="s">
        <v>65</v>
      </c>
      <c r="B123" s="5" t="s">
        <v>39</v>
      </c>
      <c r="C123" s="6" t="s">
        <v>30</v>
      </c>
      <c r="D123">
        <v>0.61572205642400402</v>
      </c>
    </row>
    <row r="124" spans="1:4" x14ac:dyDescent="0.2">
      <c r="A124" s="5" t="s">
        <v>65</v>
      </c>
      <c r="B124" s="5" t="s">
        <v>39</v>
      </c>
      <c r="C124" s="6" t="s">
        <v>31</v>
      </c>
      <c r="D124">
        <v>0.61134284666103267</v>
      </c>
    </row>
    <row r="125" spans="1:4" x14ac:dyDescent="0.2">
      <c r="A125" s="5" t="s">
        <v>65</v>
      </c>
      <c r="B125" s="5" t="s">
        <v>39</v>
      </c>
      <c r="C125" s="6" t="s">
        <v>32</v>
      </c>
      <c r="D125">
        <v>0.60701861101308563</v>
      </c>
    </row>
    <row r="126" spans="1:4" x14ac:dyDescent="0.2">
      <c r="A126" s="5" t="s">
        <v>65</v>
      </c>
      <c r="B126" s="5" t="s">
        <v>39</v>
      </c>
      <c r="C126" s="6" t="s">
        <v>33</v>
      </c>
      <c r="D126">
        <v>0.60274879306733176</v>
      </c>
    </row>
    <row r="127" spans="1:4" x14ac:dyDescent="0.2">
      <c r="A127" s="5" t="s">
        <v>65</v>
      </c>
      <c r="B127" s="5" t="s">
        <v>39</v>
      </c>
      <c r="C127" s="6" t="s">
        <v>34</v>
      </c>
      <c r="D127">
        <v>0.59853259177853568</v>
      </c>
    </row>
    <row r="128" spans="1:4" x14ac:dyDescent="0.2">
      <c r="A128" s="5" t="s">
        <v>65</v>
      </c>
      <c r="B128" s="5" t="s">
        <v>39</v>
      </c>
      <c r="C128" s="6" t="s">
        <v>35</v>
      </c>
      <c r="D128">
        <v>0.59436948980074256</v>
      </c>
    </row>
    <row r="129" spans="1:4" x14ac:dyDescent="0.2">
      <c r="A129" s="5" t="s">
        <v>65</v>
      </c>
      <c r="B129" s="1" t="s">
        <v>39</v>
      </c>
      <c r="C129" s="2" t="s">
        <v>36</v>
      </c>
      <c r="D129">
        <v>0.59025879780184798</v>
      </c>
    </row>
    <row r="130" spans="1:4" x14ac:dyDescent="0.2">
      <c r="A130" s="5" t="s">
        <v>65</v>
      </c>
      <c r="B130" s="5" t="s">
        <v>40</v>
      </c>
      <c r="C130" s="6" t="s">
        <v>5</v>
      </c>
      <c r="D130">
        <v>0.68079848156559086</v>
      </c>
    </row>
    <row r="131" spans="1:4" x14ac:dyDescent="0.2">
      <c r="A131" s="5" t="s">
        <v>65</v>
      </c>
      <c r="B131" s="5" t="s">
        <v>40</v>
      </c>
      <c r="C131" s="6" t="s">
        <v>6</v>
      </c>
      <c r="D131">
        <v>0.67657062064203555</v>
      </c>
    </row>
    <row r="132" spans="1:4" x14ac:dyDescent="0.2">
      <c r="A132" s="5" t="s">
        <v>65</v>
      </c>
      <c r="B132" s="5" t="s">
        <v>40</v>
      </c>
      <c r="C132" s="6" t="s">
        <v>7</v>
      </c>
      <c r="D132">
        <v>0.6717923956707591</v>
      </c>
    </row>
    <row r="133" spans="1:4" x14ac:dyDescent="0.2">
      <c r="A133" s="5" t="s">
        <v>65</v>
      </c>
      <c r="B133" s="5" t="s">
        <v>40</v>
      </c>
      <c r="C133" s="6" t="s">
        <v>8</v>
      </c>
      <c r="D133">
        <v>0.66713111197570862</v>
      </c>
    </row>
    <row r="134" spans="1:4" x14ac:dyDescent="0.2">
      <c r="A134" s="5" t="s">
        <v>65</v>
      </c>
      <c r="B134" s="5" t="s">
        <v>40</v>
      </c>
      <c r="C134" s="6" t="s">
        <v>9</v>
      </c>
      <c r="D134">
        <v>0.66258567926649181</v>
      </c>
    </row>
    <row r="135" spans="1:4" x14ac:dyDescent="0.2">
      <c r="A135" s="5" t="s">
        <v>65</v>
      </c>
      <c r="B135" s="5" t="s">
        <v>40</v>
      </c>
      <c r="C135" s="6" t="s">
        <v>10</v>
      </c>
      <c r="D135">
        <v>0.65815632096349186</v>
      </c>
    </row>
    <row r="136" spans="1:4" x14ac:dyDescent="0.2">
      <c r="A136" s="5" t="s">
        <v>65</v>
      </c>
      <c r="B136" s="5" t="s">
        <v>40</v>
      </c>
      <c r="C136" s="6" t="s">
        <v>11</v>
      </c>
      <c r="D136">
        <v>0.65384181386385098</v>
      </c>
    </row>
    <row r="137" spans="1:4" x14ac:dyDescent="0.2">
      <c r="A137" s="5" t="s">
        <v>65</v>
      </c>
      <c r="B137" s="5" t="s">
        <v>40</v>
      </c>
      <c r="C137" s="6" t="s">
        <v>12</v>
      </c>
      <c r="D137">
        <v>0.64964149243582647</v>
      </c>
    </row>
    <row r="138" spans="1:4" x14ac:dyDescent="0.2">
      <c r="A138" s="5" t="s">
        <v>65</v>
      </c>
      <c r="B138" s="5" t="s">
        <v>40</v>
      </c>
      <c r="C138" s="6" t="s">
        <v>13</v>
      </c>
      <c r="D138">
        <v>0.64555534255804026</v>
      </c>
    </row>
    <row r="139" spans="1:4" x14ac:dyDescent="0.2">
      <c r="A139" s="5" t="s">
        <v>65</v>
      </c>
      <c r="B139" s="5" t="s">
        <v>40</v>
      </c>
      <c r="C139" s="6" t="s">
        <v>14</v>
      </c>
      <c r="D139">
        <v>0.64158249094948128</v>
      </c>
    </row>
    <row r="140" spans="1:4" x14ac:dyDescent="0.2">
      <c r="A140" s="5" t="s">
        <v>65</v>
      </c>
      <c r="B140" s="5" t="s">
        <v>40</v>
      </c>
      <c r="C140" s="6" t="s">
        <v>15</v>
      </c>
      <c r="D140">
        <v>0.63772239358698934</v>
      </c>
    </row>
    <row r="141" spans="1:4" x14ac:dyDescent="0.2">
      <c r="A141" s="5" t="s">
        <v>65</v>
      </c>
      <c r="B141" s="5" t="s">
        <v>40</v>
      </c>
      <c r="C141" s="6" t="s">
        <v>16</v>
      </c>
      <c r="D141">
        <v>0.63397434574971567</v>
      </c>
    </row>
    <row r="142" spans="1:4" x14ac:dyDescent="0.2">
      <c r="A142" s="5" t="s">
        <v>65</v>
      </c>
      <c r="B142" s="5" t="s">
        <v>40</v>
      </c>
      <c r="C142" s="6" t="s">
        <v>17</v>
      </c>
      <c r="D142">
        <v>0.6291982362908809</v>
      </c>
    </row>
    <row r="143" spans="1:4" x14ac:dyDescent="0.2">
      <c r="A143" s="5" t="s">
        <v>65</v>
      </c>
      <c r="B143" s="5" t="s">
        <v>40</v>
      </c>
      <c r="C143" s="6" t="s">
        <v>18</v>
      </c>
      <c r="D143">
        <v>0.62454814657206204</v>
      </c>
    </row>
    <row r="144" spans="1:4" x14ac:dyDescent="0.2">
      <c r="A144" s="5" t="s">
        <v>65</v>
      </c>
      <c r="B144" s="5" t="s">
        <v>40</v>
      </c>
      <c r="C144" s="6" t="s">
        <v>19</v>
      </c>
      <c r="D144">
        <v>0.62002257878302958</v>
      </c>
    </row>
    <row r="145" spans="1:4" x14ac:dyDescent="0.2">
      <c r="A145" s="5" t="s">
        <v>65</v>
      </c>
      <c r="B145" s="5" t="s">
        <v>40</v>
      </c>
      <c r="C145" s="6" t="s">
        <v>20</v>
      </c>
      <c r="D145">
        <v>0.61562087939483012</v>
      </c>
    </row>
    <row r="146" spans="1:4" x14ac:dyDescent="0.2">
      <c r="A146" s="5" t="s">
        <v>65</v>
      </c>
      <c r="B146" s="5" t="s">
        <v>40</v>
      </c>
      <c r="C146" s="6" t="s">
        <v>21</v>
      </c>
      <c r="D146">
        <v>0.61134151057551633</v>
      </c>
    </row>
    <row r="147" spans="1:4" x14ac:dyDescent="0.2">
      <c r="A147" s="5" t="s">
        <v>65</v>
      </c>
      <c r="B147" s="5" t="s">
        <v>40</v>
      </c>
      <c r="C147" s="6" t="s">
        <v>22</v>
      </c>
      <c r="D147">
        <v>0.60718342047920715</v>
      </c>
    </row>
    <row r="148" spans="1:4" x14ac:dyDescent="0.2">
      <c r="A148" s="5" t="s">
        <v>65</v>
      </c>
      <c r="B148" s="5" t="s">
        <v>40</v>
      </c>
      <c r="C148" s="6" t="s">
        <v>23</v>
      </c>
      <c r="D148">
        <v>0.60314551545547135</v>
      </c>
    </row>
    <row r="149" spans="1:4" x14ac:dyDescent="0.2">
      <c r="A149" s="5" t="s">
        <v>65</v>
      </c>
      <c r="B149" s="5" t="s">
        <v>40</v>
      </c>
      <c r="C149" s="6" t="s">
        <v>24</v>
      </c>
      <c r="D149">
        <v>0.59922699178426087</v>
      </c>
    </row>
    <row r="150" spans="1:4" x14ac:dyDescent="0.2">
      <c r="A150" s="5" t="s">
        <v>65</v>
      </c>
      <c r="B150" s="5" t="s">
        <v>40</v>
      </c>
      <c r="C150" s="6" t="s">
        <v>25</v>
      </c>
      <c r="D150">
        <v>0.59542656896341228</v>
      </c>
    </row>
    <row r="151" spans="1:4" x14ac:dyDescent="0.2">
      <c r="A151" s="5" t="s">
        <v>65</v>
      </c>
      <c r="B151" s="5" t="s">
        <v>40</v>
      </c>
      <c r="C151" s="6" t="s">
        <v>26</v>
      </c>
      <c r="D151">
        <v>0.59174361661994213</v>
      </c>
    </row>
    <row r="152" spans="1:4" x14ac:dyDescent="0.2">
      <c r="A152" s="5" t="s">
        <v>65</v>
      </c>
      <c r="B152" s="5" t="s">
        <v>40</v>
      </c>
      <c r="C152" s="6" t="s">
        <v>27</v>
      </c>
      <c r="D152">
        <v>0.58692572172229429</v>
      </c>
    </row>
    <row r="153" spans="1:4" x14ac:dyDescent="0.2">
      <c r="A153" s="5" t="s">
        <v>65</v>
      </c>
      <c r="B153" s="5" t="s">
        <v>40</v>
      </c>
      <c r="C153" s="6" t="s">
        <v>28</v>
      </c>
      <c r="D153">
        <v>0.5822500280662114</v>
      </c>
    </row>
    <row r="154" spans="1:4" x14ac:dyDescent="0.2">
      <c r="A154" s="5" t="s">
        <v>65</v>
      </c>
      <c r="B154" s="5" t="s">
        <v>40</v>
      </c>
      <c r="C154" s="6" t="s">
        <v>29</v>
      </c>
      <c r="D154">
        <v>0.57771439355377885</v>
      </c>
    </row>
    <row r="155" spans="1:4" x14ac:dyDescent="0.2">
      <c r="A155" s="5" t="s">
        <v>65</v>
      </c>
      <c r="B155" s="5" t="s">
        <v>40</v>
      </c>
      <c r="C155" s="6" t="s">
        <v>30</v>
      </c>
      <c r="D155">
        <v>0.57331682523111882</v>
      </c>
    </row>
    <row r="156" spans="1:4" x14ac:dyDescent="0.2">
      <c r="A156" s="5" t="s">
        <v>65</v>
      </c>
      <c r="B156" s="5" t="s">
        <v>40</v>
      </c>
      <c r="C156" s="6" t="s">
        <v>31</v>
      </c>
      <c r="D156">
        <v>0.56905606588228685</v>
      </c>
    </row>
    <row r="157" spans="1:4" x14ac:dyDescent="0.2">
      <c r="A157" s="5" t="s">
        <v>65</v>
      </c>
      <c r="B157" s="5" t="s">
        <v>40</v>
      </c>
      <c r="C157" s="6" t="s">
        <v>32</v>
      </c>
      <c r="D157">
        <v>0.56492967741875977</v>
      </c>
    </row>
    <row r="158" spans="1:4" x14ac:dyDescent="0.2">
      <c r="A158" s="5" t="s">
        <v>65</v>
      </c>
      <c r="B158" s="5" t="s">
        <v>40</v>
      </c>
      <c r="C158" s="6" t="s">
        <v>33</v>
      </c>
      <c r="D158">
        <v>0.56093561003419379</v>
      </c>
    </row>
    <row r="159" spans="1:4" x14ac:dyDescent="0.2">
      <c r="A159" s="5" t="s">
        <v>65</v>
      </c>
      <c r="B159" s="5" t="s">
        <v>40</v>
      </c>
      <c r="C159" s="6" t="s">
        <v>34</v>
      </c>
      <c r="D159">
        <v>0.55707277310386505</v>
      </c>
    </row>
    <row r="160" spans="1:4" x14ac:dyDescent="0.2">
      <c r="A160" s="5" t="s">
        <v>65</v>
      </c>
      <c r="B160" s="5" t="s">
        <v>40</v>
      </c>
      <c r="C160" s="6" t="s">
        <v>35</v>
      </c>
      <c r="D160">
        <v>0.55333884159745272</v>
      </c>
    </row>
    <row r="161" spans="1:4" x14ac:dyDescent="0.2">
      <c r="A161" s="5" t="s">
        <v>65</v>
      </c>
      <c r="B161" s="1" t="s">
        <v>40</v>
      </c>
      <c r="C161" s="2" t="s">
        <v>36</v>
      </c>
      <c r="D161">
        <v>0.54973250450715949</v>
      </c>
    </row>
    <row r="162" spans="1:4" x14ac:dyDescent="0.2">
      <c r="A162" s="5" t="s">
        <v>65</v>
      </c>
      <c r="B162" s="5" t="s">
        <v>41</v>
      </c>
      <c r="C162" s="6" t="s">
        <v>5</v>
      </c>
      <c r="D162">
        <v>0.69049159925478243</v>
      </c>
    </row>
    <row r="163" spans="1:4" x14ac:dyDescent="0.2">
      <c r="A163" s="5" t="s">
        <v>65</v>
      </c>
      <c r="B163" s="5" t="s">
        <v>41</v>
      </c>
      <c r="C163" s="6" t="s">
        <v>6</v>
      </c>
      <c r="D163">
        <v>0.68666487509655449</v>
      </c>
    </row>
    <row r="164" spans="1:4" x14ac:dyDescent="0.2">
      <c r="A164" s="5" t="s">
        <v>65</v>
      </c>
      <c r="B164" s="5" t="s">
        <v>41</v>
      </c>
      <c r="C164" s="6" t="s">
        <v>7</v>
      </c>
      <c r="D164">
        <v>0.68253515924276298</v>
      </c>
    </row>
    <row r="165" spans="1:4" x14ac:dyDescent="0.2">
      <c r="A165" s="5" t="s">
        <v>65</v>
      </c>
      <c r="B165" s="5" t="s">
        <v>41</v>
      </c>
      <c r="C165" s="6" t="s">
        <v>8</v>
      </c>
      <c r="D165">
        <v>0.67847329020239333</v>
      </c>
    </row>
    <row r="166" spans="1:4" x14ac:dyDescent="0.2">
      <c r="A166" s="5" t="s">
        <v>65</v>
      </c>
      <c r="B166" s="5" t="s">
        <v>41</v>
      </c>
      <c r="C166" s="6" t="s">
        <v>9</v>
      </c>
      <c r="D166">
        <v>0.67447816465521937</v>
      </c>
    </row>
    <row r="167" spans="1:4" x14ac:dyDescent="0.2">
      <c r="A167" s="5" t="s">
        <v>65</v>
      </c>
      <c r="B167" s="5" t="s">
        <v>41</v>
      </c>
      <c r="C167" s="6" t="s">
        <v>10</v>
      </c>
      <c r="D167">
        <v>0.67054986986349674</v>
      </c>
    </row>
    <row r="168" spans="1:4" x14ac:dyDescent="0.2">
      <c r="A168" s="5" t="s">
        <v>65</v>
      </c>
      <c r="B168" s="5" t="s">
        <v>41</v>
      </c>
      <c r="C168" s="6" t="s">
        <v>11</v>
      </c>
      <c r="D168">
        <v>0.66668727363330205</v>
      </c>
    </row>
    <row r="169" spans="1:4" x14ac:dyDescent="0.2">
      <c r="A169" s="5" t="s">
        <v>65</v>
      </c>
      <c r="B169" s="5" t="s">
        <v>41</v>
      </c>
      <c r="C169" s="6" t="s">
        <v>12</v>
      </c>
      <c r="D169">
        <v>0.66289023013078952</v>
      </c>
    </row>
    <row r="170" spans="1:4" x14ac:dyDescent="0.2">
      <c r="A170" s="5" t="s">
        <v>65</v>
      </c>
      <c r="B170" s="5" t="s">
        <v>41</v>
      </c>
      <c r="C170" s="6" t="s">
        <v>13</v>
      </c>
      <c r="D170">
        <v>0.65915795544151246</v>
      </c>
    </row>
    <row r="171" spans="1:4" x14ac:dyDescent="0.2">
      <c r="A171" s="5" t="s">
        <v>65</v>
      </c>
      <c r="B171" s="5" t="s">
        <v>41</v>
      </c>
      <c r="C171" s="6" t="s">
        <v>14</v>
      </c>
      <c r="D171">
        <v>0.65548999959752408</v>
      </c>
    </row>
    <row r="172" spans="1:4" x14ac:dyDescent="0.2">
      <c r="A172" s="5" t="s">
        <v>65</v>
      </c>
      <c r="B172" s="5" t="s">
        <v>41</v>
      </c>
      <c r="C172" s="6" t="s">
        <v>15</v>
      </c>
      <c r="D172">
        <v>0.6518860012011356</v>
      </c>
    </row>
    <row r="173" spans="1:4" x14ac:dyDescent="0.2">
      <c r="A173" s="5" t="s">
        <v>65</v>
      </c>
      <c r="B173" s="5" t="s">
        <v>41</v>
      </c>
      <c r="C173" s="6" t="s">
        <v>16</v>
      </c>
      <c r="D173">
        <v>0.64834546167822993</v>
      </c>
    </row>
    <row r="174" spans="1:4" x14ac:dyDescent="0.2">
      <c r="A174" s="5" t="s">
        <v>65</v>
      </c>
      <c r="B174" s="5" t="s">
        <v>41</v>
      </c>
      <c r="C174" s="6" t="s">
        <v>17</v>
      </c>
      <c r="D174">
        <v>0.64423434792083467</v>
      </c>
    </row>
    <row r="175" spans="1:4" x14ac:dyDescent="0.2">
      <c r="A175" s="5" t="s">
        <v>65</v>
      </c>
      <c r="B175" s="5" t="s">
        <v>41</v>
      </c>
      <c r="C175" s="6" t="s">
        <v>18</v>
      </c>
      <c r="D175">
        <v>0.64019620376979713</v>
      </c>
    </row>
    <row r="176" spans="1:4" x14ac:dyDescent="0.2">
      <c r="A176" s="5" t="s">
        <v>65</v>
      </c>
      <c r="B176" s="5" t="s">
        <v>41</v>
      </c>
      <c r="C176" s="6" t="s">
        <v>19</v>
      </c>
      <c r="D176">
        <v>0.63623175429744716</v>
      </c>
    </row>
    <row r="177" spans="1:4" x14ac:dyDescent="0.2">
      <c r="A177" s="5" t="s">
        <v>65</v>
      </c>
      <c r="B177" s="5" t="s">
        <v>41</v>
      </c>
      <c r="C177" s="6" t="s">
        <v>20</v>
      </c>
      <c r="D177">
        <v>0.63233926416801012</v>
      </c>
    </row>
    <row r="178" spans="1:4" x14ac:dyDescent="0.2">
      <c r="A178" s="5" t="s">
        <v>65</v>
      </c>
      <c r="B178" s="5" t="s">
        <v>41</v>
      </c>
      <c r="C178" s="6" t="s">
        <v>21</v>
      </c>
      <c r="D178">
        <v>0.62851795999675752</v>
      </c>
    </row>
    <row r="179" spans="1:4" x14ac:dyDescent="0.2">
      <c r="A179" s="5" t="s">
        <v>65</v>
      </c>
      <c r="B179" s="5" t="s">
        <v>41</v>
      </c>
      <c r="C179" s="6" t="s">
        <v>22</v>
      </c>
      <c r="D179">
        <v>0.62476742552185582</v>
      </c>
    </row>
    <row r="180" spans="1:4" x14ac:dyDescent="0.2">
      <c r="A180" s="5" t="s">
        <v>65</v>
      </c>
      <c r="B180" s="5" t="s">
        <v>41</v>
      </c>
      <c r="C180" s="6" t="s">
        <v>23</v>
      </c>
      <c r="D180">
        <v>0.62108677048224215</v>
      </c>
    </row>
    <row r="181" spans="1:4" x14ac:dyDescent="0.2">
      <c r="A181" s="5" t="s">
        <v>65</v>
      </c>
      <c r="B181" s="5" t="s">
        <v>41</v>
      </c>
      <c r="C181" s="6" t="s">
        <v>24</v>
      </c>
      <c r="D181">
        <v>0.61747527611134645</v>
      </c>
    </row>
    <row r="182" spans="1:4" x14ac:dyDescent="0.2">
      <c r="A182" s="5" t="s">
        <v>65</v>
      </c>
      <c r="B182" s="5" t="s">
        <v>41</v>
      </c>
      <c r="C182" s="6" t="s">
        <v>25</v>
      </c>
      <c r="D182">
        <v>0.61393246477043351</v>
      </c>
    </row>
    <row r="183" spans="1:4" x14ac:dyDescent="0.2">
      <c r="A183" s="5" t="s">
        <v>65</v>
      </c>
      <c r="B183" s="5" t="s">
        <v>41</v>
      </c>
      <c r="C183" s="6" t="s">
        <v>26</v>
      </c>
      <c r="D183">
        <v>0.6104574958616038</v>
      </c>
    </row>
    <row r="184" spans="1:4" x14ac:dyDescent="0.2">
      <c r="A184" s="5" t="s">
        <v>65</v>
      </c>
      <c r="B184" s="5" t="s">
        <v>41</v>
      </c>
      <c r="C184" s="6" t="s">
        <v>27</v>
      </c>
      <c r="D184">
        <v>0.60632926619717931</v>
      </c>
    </row>
    <row r="185" spans="1:4" x14ac:dyDescent="0.2">
      <c r="A185" s="5" t="s">
        <v>65</v>
      </c>
      <c r="B185" s="5" t="s">
        <v>41</v>
      </c>
      <c r="C185" s="6" t="s">
        <v>28</v>
      </c>
      <c r="D185">
        <v>0.60228369674912385</v>
      </c>
    </row>
    <row r="186" spans="1:4" x14ac:dyDescent="0.2">
      <c r="A186" s="5" t="s">
        <v>65</v>
      </c>
      <c r="B186" s="5" t="s">
        <v>41</v>
      </c>
      <c r="C186" s="6" t="s">
        <v>29</v>
      </c>
      <c r="D186">
        <v>0.5983199964309821</v>
      </c>
    </row>
    <row r="187" spans="1:4" x14ac:dyDescent="0.2">
      <c r="A187" s="5" t="s">
        <v>65</v>
      </c>
      <c r="B187" s="5" t="s">
        <v>41</v>
      </c>
      <c r="C187" s="6" t="s">
        <v>30</v>
      </c>
      <c r="D187">
        <v>0.59443662343784787</v>
      </c>
    </row>
    <row r="188" spans="1:4" x14ac:dyDescent="0.2">
      <c r="A188" s="5" t="s">
        <v>65</v>
      </c>
      <c r="B188" s="5" t="s">
        <v>41</v>
      </c>
      <c r="C188" s="6" t="s">
        <v>31</v>
      </c>
      <c r="D188">
        <v>0.59063339278416904</v>
      </c>
    </row>
    <row r="189" spans="1:4" x14ac:dyDescent="0.2">
      <c r="A189" s="5" t="s">
        <v>65</v>
      </c>
      <c r="B189" s="5" t="s">
        <v>41</v>
      </c>
      <c r="C189" s="6" t="s">
        <v>32</v>
      </c>
      <c r="D189">
        <v>0.5869082417862409</v>
      </c>
    </row>
    <row r="190" spans="1:4" x14ac:dyDescent="0.2">
      <c r="A190" s="5" t="s">
        <v>65</v>
      </c>
      <c r="B190" s="5" t="s">
        <v>41</v>
      </c>
      <c r="C190" s="6" t="s">
        <v>33</v>
      </c>
      <c r="D190">
        <v>0.58326074752592572</v>
      </c>
    </row>
    <row r="191" spans="1:4" x14ac:dyDescent="0.2">
      <c r="A191" s="5" t="s">
        <v>65</v>
      </c>
      <c r="B191" s="5" t="s">
        <v>41</v>
      </c>
      <c r="C191" s="6" t="s">
        <v>34</v>
      </c>
      <c r="D191">
        <v>0.57968983624636228</v>
      </c>
    </row>
    <row r="192" spans="1:4" x14ac:dyDescent="0.2">
      <c r="A192" s="5" t="s">
        <v>65</v>
      </c>
      <c r="B192" s="5" t="s">
        <v>41</v>
      </c>
      <c r="C192" s="6" t="s">
        <v>35</v>
      </c>
      <c r="D192">
        <v>0.57619485309677709</v>
      </c>
    </row>
    <row r="193" spans="1:4" x14ac:dyDescent="0.2">
      <c r="A193" s="5" t="s">
        <v>65</v>
      </c>
      <c r="B193" s="1" t="s">
        <v>41</v>
      </c>
      <c r="C193" s="2" t="s">
        <v>36</v>
      </c>
      <c r="D193">
        <v>0.57277400850082427</v>
      </c>
    </row>
    <row r="194" spans="1:4" x14ac:dyDescent="0.2">
      <c r="A194" s="5" t="s">
        <v>65</v>
      </c>
      <c r="B194" s="5" t="s">
        <v>42</v>
      </c>
      <c r="C194" s="6" t="s">
        <v>5</v>
      </c>
      <c r="D194">
        <v>0.65342332041938944</v>
      </c>
    </row>
    <row r="195" spans="1:4" x14ac:dyDescent="0.2">
      <c r="A195" s="5" t="s">
        <v>65</v>
      </c>
      <c r="B195" s="5" t="s">
        <v>42</v>
      </c>
      <c r="C195" s="6" t="s">
        <v>6</v>
      </c>
      <c r="D195">
        <v>0.65314517532940075</v>
      </c>
    </row>
    <row r="196" spans="1:4" x14ac:dyDescent="0.2">
      <c r="A196" s="5" t="s">
        <v>65</v>
      </c>
      <c r="B196" s="5" t="s">
        <v>42</v>
      </c>
      <c r="C196" s="6" t="s">
        <v>7</v>
      </c>
      <c r="D196">
        <v>0.65133402761602854</v>
      </c>
    </row>
    <row r="197" spans="1:4" x14ac:dyDescent="0.2">
      <c r="A197" s="5" t="s">
        <v>65</v>
      </c>
      <c r="B197" s="5" t="s">
        <v>42</v>
      </c>
      <c r="C197" s="6" t="s">
        <v>8</v>
      </c>
      <c r="D197">
        <v>0.64979662549274686</v>
      </c>
    </row>
    <row r="198" spans="1:4" x14ac:dyDescent="0.2">
      <c r="A198" s="5" t="s">
        <v>65</v>
      </c>
      <c r="B198" s="5" t="s">
        <v>42</v>
      </c>
      <c r="C198" s="6" t="s">
        <v>9</v>
      </c>
      <c r="D198">
        <v>0.64854219588827267</v>
      </c>
    </row>
    <row r="199" spans="1:4" x14ac:dyDescent="0.2">
      <c r="A199" s="5" t="s">
        <v>65</v>
      </c>
      <c r="B199" s="5" t="s">
        <v>42</v>
      </c>
      <c r="C199" s="6" t="s">
        <v>10</v>
      </c>
      <c r="D199">
        <v>0.64758056521125573</v>
      </c>
    </row>
    <row r="200" spans="1:4" x14ac:dyDescent="0.2">
      <c r="A200" s="5" t="s">
        <v>65</v>
      </c>
      <c r="B200" s="5" t="s">
        <v>42</v>
      </c>
      <c r="C200" s="6" t="s">
        <v>11</v>
      </c>
      <c r="D200">
        <v>0.64692249075100261</v>
      </c>
    </row>
    <row r="201" spans="1:4" x14ac:dyDescent="0.2">
      <c r="A201" s="5" t="s">
        <v>65</v>
      </c>
      <c r="B201" s="5" t="s">
        <v>42</v>
      </c>
      <c r="C201" s="6" t="s">
        <v>12</v>
      </c>
      <c r="D201">
        <v>0.64657978533451932</v>
      </c>
    </row>
    <row r="202" spans="1:4" x14ac:dyDescent="0.2">
      <c r="A202" s="5" t="s">
        <v>65</v>
      </c>
      <c r="B202" s="5" t="s">
        <v>42</v>
      </c>
      <c r="C202" s="6" t="s">
        <v>13</v>
      </c>
      <c r="D202">
        <v>0.64656361084418523</v>
      </c>
    </row>
    <row r="203" spans="1:4" x14ac:dyDescent="0.2">
      <c r="A203" s="5" t="s">
        <v>65</v>
      </c>
      <c r="B203" s="5" t="s">
        <v>42</v>
      </c>
      <c r="C203" s="6" t="s">
        <v>14</v>
      </c>
      <c r="D203">
        <v>0.64688699192823818</v>
      </c>
    </row>
    <row r="204" spans="1:4" x14ac:dyDescent="0.2">
      <c r="A204" s="5" t="s">
        <v>65</v>
      </c>
      <c r="B204" s="5" t="s">
        <v>42</v>
      </c>
      <c r="C204" s="6" t="s">
        <v>15</v>
      </c>
      <c r="D204">
        <v>0.64756240153037914</v>
      </c>
    </row>
    <row r="205" spans="1:4" x14ac:dyDescent="0.2">
      <c r="A205" s="5" t="s">
        <v>65</v>
      </c>
      <c r="B205" s="5" t="s">
        <v>42</v>
      </c>
      <c r="C205" s="6" t="s">
        <v>16</v>
      </c>
      <c r="D205">
        <v>0.64860437255945402</v>
      </c>
    </row>
    <row r="206" spans="1:4" x14ac:dyDescent="0.2">
      <c r="A206" s="5" t="s">
        <v>65</v>
      </c>
      <c r="B206" s="5" t="s">
        <v>42</v>
      </c>
      <c r="C206" s="6" t="s">
        <v>17</v>
      </c>
      <c r="D206">
        <v>0.6471428846237669</v>
      </c>
    </row>
    <row r="207" spans="1:4" x14ac:dyDescent="0.2">
      <c r="A207" s="5" t="s">
        <v>65</v>
      </c>
      <c r="B207" s="5" t="s">
        <v>42</v>
      </c>
      <c r="C207" s="6" t="s">
        <v>18</v>
      </c>
      <c r="D207">
        <v>0.64590376334282895</v>
      </c>
    </row>
    <row r="208" spans="1:4" x14ac:dyDescent="0.2">
      <c r="A208" s="5" t="s">
        <v>65</v>
      </c>
      <c r="B208" s="5" t="s">
        <v>42</v>
      </c>
      <c r="C208" s="6" t="s">
        <v>19</v>
      </c>
      <c r="D208">
        <v>0.64489099732066446</v>
      </c>
    </row>
    <row r="209" spans="1:4" x14ac:dyDescent="0.2">
      <c r="A209" s="5" t="s">
        <v>65</v>
      </c>
      <c r="B209" s="5" t="s">
        <v>42</v>
      </c>
      <c r="C209" s="6" t="s">
        <v>20</v>
      </c>
      <c r="D209">
        <v>0.64410817657648733</v>
      </c>
    </row>
    <row r="210" spans="1:4" x14ac:dyDescent="0.2">
      <c r="A210" s="5" t="s">
        <v>65</v>
      </c>
      <c r="B210" s="5" t="s">
        <v>42</v>
      </c>
      <c r="C210" s="6" t="s">
        <v>21</v>
      </c>
      <c r="D210">
        <v>0.6435594670931053</v>
      </c>
    </row>
    <row r="211" spans="1:4" x14ac:dyDescent="0.2">
      <c r="A211" s="5" t="s">
        <v>65</v>
      </c>
      <c r="B211" s="5" t="s">
        <v>42</v>
      </c>
      <c r="C211" s="6" t="s">
        <v>22</v>
      </c>
      <c r="D211">
        <v>0.64324962287074416</v>
      </c>
    </row>
    <row r="212" spans="1:4" x14ac:dyDescent="0.2">
      <c r="A212" s="5" t="s">
        <v>65</v>
      </c>
      <c r="B212" s="5" t="s">
        <v>42</v>
      </c>
      <c r="C212" s="6" t="s">
        <v>23</v>
      </c>
      <c r="D212">
        <v>0.64318277257899148</v>
      </c>
    </row>
    <row r="213" spans="1:4" x14ac:dyDescent="0.2">
      <c r="A213" s="5" t="s">
        <v>65</v>
      </c>
      <c r="B213" s="5" t="s">
        <v>42</v>
      </c>
      <c r="C213" s="6" t="s">
        <v>24</v>
      </c>
      <c r="D213">
        <v>0.64336354016197406</v>
      </c>
    </row>
    <row r="214" spans="1:4" x14ac:dyDescent="0.2">
      <c r="A214" s="5" t="s">
        <v>65</v>
      </c>
      <c r="B214" s="5" t="s">
        <v>42</v>
      </c>
      <c r="C214" s="6" t="s">
        <v>25</v>
      </c>
      <c r="D214">
        <v>0.64379702422740714</v>
      </c>
    </row>
    <row r="215" spans="1:4" x14ac:dyDescent="0.2">
      <c r="A215" s="5" t="s">
        <v>65</v>
      </c>
      <c r="B215" s="5" t="s">
        <v>42</v>
      </c>
      <c r="C215" s="6" t="s">
        <v>26</v>
      </c>
      <c r="D215">
        <v>0.64448862497427073</v>
      </c>
    </row>
    <row r="216" spans="1:4" x14ac:dyDescent="0.2">
      <c r="A216" s="5" t="s">
        <v>65</v>
      </c>
      <c r="B216" s="5" t="s">
        <v>42</v>
      </c>
      <c r="C216" s="6" t="s">
        <v>27</v>
      </c>
      <c r="D216">
        <v>0.64315623773636299</v>
      </c>
    </row>
    <row r="217" spans="1:4" x14ac:dyDescent="0.2">
      <c r="A217" s="5" t="s">
        <v>65</v>
      </c>
      <c r="B217" s="5" t="s">
        <v>42</v>
      </c>
      <c r="C217" s="6" t="s">
        <v>28</v>
      </c>
      <c r="D217">
        <v>0.64202575873120205</v>
      </c>
    </row>
    <row r="218" spans="1:4" x14ac:dyDescent="0.2">
      <c r="A218" s="5" t="s">
        <v>65</v>
      </c>
      <c r="B218" s="5" t="s">
        <v>42</v>
      </c>
      <c r="C218" s="6" t="s">
        <v>29</v>
      </c>
      <c r="D218">
        <v>0.64109815067976605</v>
      </c>
    </row>
    <row r="219" spans="1:4" x14ac:dyDescent="0.2">
      <c r="A219" s="5" t="s">
        <v>65</v>
      </c>
      <c r="B219" s="5" t="s">
        <v>42</v>
      </c>
      <c r="C219" s="6" t="s">
        <v>30</v>
      </c>
      <c r="D219">
        <v>0.64037506663593369</v>
      </c>
    </row>
    <row r="220" spans="1:4" x14ac:dyDescent="0.2">
      <c r="A220" s="5" t="s">
        <v>65</v>
      </c>
      <c r="B220" s="5" t="s">
        <v>42</v>
      </c>
      <c r="C220" s="6" t="s">
        <v>31</v>
      </c>
      <c r="D220">
        <v>0.63985786194945959</v>
      </c>
    </row>
    <row r="221" spans="1:4" x14ac:dyDescent="0.2">
      <c r="A221" s="5" t="s">
        <v>65</v>
      </c>
      <c r="B221" s="5" t="s">
        <v>42</v>
      </c>
      <c r="C221" s="6" t="s">
        <v>32</v>
      </c>
      <c r="D221">
        <v>0.63954832787185589</v>
      </c>
    </row>
    <row r="222" spans="1:4" x14ac:dyDescent="0.2">
      <c r="A222" s="5" t="s">
        <v>65</v>
      </c>
      <c r="B222" s="5" t="s">
        <v>42</v>
      </c>
      <c r="C222" s="6" t="s">
        <v>33</v>
      </c>
      <c r="D222">
        <v>0.63944811130241641</v>
      </c>
    </row>
    <row r="223" spans="1:4" x14ac:dyDescent="0.2">
      <c r="A223" s="5" t="s">
        <v>65</v>
      </c>
      <c r="B223" s="5" t="s">
        <v>42</v>
      </c>
      <c r="C223" s="6" t="s">
        <v>34</v>
      </c>
      <c r="D223">
        <v>0.6395587509160664</v>
      </c>
    </row>
    <row r="224" spans="1:4" x14ac:dyDescent="0.2">
      <c r="A224" s="5" t="s">
        <v>65</v>
      </c>
      <c r="B224" s="5" t="s">
        <v>42</v>
      </c>
      <c r="C224" s="6" t="s">
        <v>35</v>
      </c>
      <c r="D224">
        <v>0.63988236199809068</v>
      </c>
    </row>
    <row r="225" spans="1:4" x14ac:dyDescent="0.2">
      <c r="A225" s="5" t="s">
        <v>65</v>
      </c>
      <c r="B225" s="1" t="s">
        <v>42</v>
      </c>
      <c r="C225" s="2" t="s">
        <v>36</v>
      </c>
      <c r="D225">
        <v>0.64042115499300523</v>
      </c>
    </row>
    <row r="226" spans="1:4" x14ac:dyDescent="0.2">
      <c r="A226" s="5" t="s">
        <v>65</v>
      </c>
      <c r="B226" s="5" t="s">
        <v>43</v>
      </c>
      <c r="C226" s="6" t="s">
        <v>5</v>
      </c>
      <c r="D226">
        <v>0.74304603726892238</v>
      </c>
    </row>
    <row r="227" spans="1:4" x14ac:dyDescent="0.2">
      <c r="A227" s="5" t="s">
        <v>65</v>
      </c>
      <c r="B227" s="5" t="s">
        <v>43</v>
      </c>
      <c r="C227" s="6" t="s">
        <v>6</v>
      </c>
      <c r="D227">
        <v>0.73841255885407453</v>
      </c>
    </row>
    <row r="228" spans="1:4" x14ac:dyDescent="0.2">
      <c r="A228" s="5" t="s">
        <v>65</v>
      </c>
      <c r="B228" s="5" t="s">
        <v>43</v>
      </c>
      <c r="C228" s="6" t="s">
        <v>7</v>
      </c>
      <c r="D228">
        <v>0.73364702379937496</v>
      </c>
    </row>
    <row r="229" spans="1:4" x14ac:dyDescent="0.2">
      <c r="A229" s="5" t="s">
        <v>65</v>
      </c>
      <c r="B229" s="5" t="s">
        <v>43</v>
      </c>
      <c r="C229" s="6" t="s">
        <v>8</v>
      </c>
      <c r="D229">
        <v>0.72892211258913531</v>
      </c>
    </row>
    <row r="230" spans="1:4" x14ac:dyDescent="0.2">
      <c r="A230" s="5" t="s">
        <v>65</v>
      </c>
      <c r="B230" s="5" t="s">
        <v>43</v>
      </c>
      <c r="C230" s="6" t="s">
        <v>9</v>
      </c>
      <c r="D230">
        <v>0.72423768532400046</v>
      </c>
    </row>
    <row r="231" spans="1:4" x14ac:dyDescent="0.2">
      <c r="A231" s="5" t="s">
        <v>65</v>
      </c>
      <c r="B231" s="5" t="s">
        <v>43</v>
      </c>
      <c r="C231" s="6" t="s">
        <v>10</v>
      </c>
      <c r="D231">
        <v>0.71959308465889515</v>
      </c>
    </row>
    <row r="232" spans="1:4" x14ac:dyDescent="0.2">
      <c r="A232" s="5" t="s">
        <v>65</v>
      </c>
      <c r="B232" s="5" t="s">
        <v>43</v>
      </c>
      <c r="C232" s="6" t="s">
        <v>11</v>
      </c>
      <c r="D232">
        <v>0.71498805763877205</v>
      </c>
    </row>
    <row r="233" spans="1:4" x14ac:dyDescent="0.2">
      <c r="A233" s="5" t="s">
        <v>65</v>
      </c>
      <c r="B233" s="5" t="s">
        <v>43</v>
      </c>
      <c r="C233" s="6" t="s">
        <v>12</v>
      </c>
      <c r="D233">
        <v>0.71042281067465862</v>
      </c>
    </row>
    <row r="234" spans="1:4" x14ac:dyDescent="0.2">
      <c r="A234" s="5" t="s">
        <v>65</v>
      </c>
      <c r="B234" s="5" t="s">
        <v>43</v>
      </c>
      <c r="C234" s="6" t="s">
        <v>13</v>
      </c>
      <c r="D234">
        <v>0.70589613995510081</v>
      </c>
    </row>
    <row r="235" spans="1:4" x14ac:dyDescent="0.2">
      <c r="A235" s="5" t="s">
        <v>65</v>
      </c>
      <c r="B235" s="5" t="s">
        <v>43</v>
      </c>
      <c r="C235" s="6" t="s">
        <v>14</v>
      </c>
      <c r="D235">
        <v>0.70140838167053721</v>
      </c>
    </row>
    <row r="236" spans="1:4" x14ac:dyDescent="0.2">
      <c r="A236" s="5" t="s">
        <v>65</v>
      </c>
      <c r="B236" s="5" t="s">
        <v>43</v>
      </c>
      <c r="C236" s="6" t="s">
        <v>15</v>
      </c>
      <c r="D236">
        <v>0.69695910415928253</v>
      </c>
    </row>
    <row r="237" spans="1:4" x14ac:dyDescent="0.2">
      <c r="A237" s="5" t="s">
        <v>65</v>
      </c>
      <c r="B237" s="5" t="s">
        <v>43</v>
      </c>
      <c r="C237" s="6" t="s">
        <v>16</v>
      </c>
      <c r="D237">
        <v>0.69254763538368225</v>
      </c>
    </row>
    <row r="238" spans="1:4" x14ac:dyDescent="0.2">
      <c r="A238" s="5" t="s">
        <v>65</v>
      </c>
      <c r="B238" s="5" t="s">
        <v>43</v>
      </c>
      <c r="C238" s="6" t="s">
        <v>17</v>
      </c>
      <c r="D238">
        <v>0.68783008042588289</v>
      </c>
    </row>
    <row r="239" spans="1:4" x14ac:dyDescent="0.2">
      <c r="A239" s="5" t="s">
        <v>65</v>
      </c>
      <c r="B239" s="5" t="s">
        <v>43</v>
      </c>
      <c r="C239" s="6" t="s">
        <v>18</v>
      </c>
      <c r="D239">
        <v>0.68315644229159966</v>
      </c>
    </row>
    <row r="240" spans="1:4" x14ac:dyDescent="0.2">
      <c r="A240" s="5" t="s">
        <v>65</v>
      </c>
      <c r="B240" s="5" t="s">
        <v>43</v>
      </c>
      <c r="C240" s="6" t="s">
        <v>19</v>
      </c>
      <c r="D240">
        <v>0.67852595700934581</v>
      </c>
    </row>
    <row r="241" spans="1:4" x14ac:dyDescent="0.2">
      <c r="A241" s="5" t="s">
        <v>65</v>
      </c>
      <c r="B241" s="5" t="s">
        <v>43</v>
      </c>
      <c r="C241" s="6" t="s">
        <v>20</v>
      </c>
      <c r="D241">
        <v>0.67393823355263449</v>
      </c>
    </row>
    <row r="242" spans="1:4" x14ac:dyDescent="0.2">
      <c r="A242" s="5" t="s">
        <v>65</v>
      </c>
      <c r="B242" s="5" t="s">
        <v>43</v>
      </c>
      <c r="C242" s="6" t="s">
        <v>21</v>
      </c>
      <c r="D242">
        <v>0.66939283121810877</v>
      </c>
    </row>
    <row r="243" spans="1:4" x14ac:dyDescent="0.2">
      <c r="A243" s="5" t="s">
        <v>65</v>
      </c>
      <c r="B243" s="5" t="s">
        <v>43</v>
      </c>
      <c r="C243" s="6" t="s">
        <v>22</v>
      </c>
      <c r="D243">
        <v>0.66488925755859241</v>
      </c>
    </row>
    <row r="244" spans="1:4" x14ac:dyDescent="0.2">
      <c r="A244" s="5" t="s">
        <v>65</v>
      </c>
      <c r="B244" s="5" t="s">
        <v>43</v>
      </c>
      <c r="C244" s="6" t="s">
        <v>23</v>
      </c>
      <c r="D244">
        <v>0.66042755807315079</v>
      </c>
    </row>
    <row r="245" spans="1:4" x14ac:dyDescent="0.2">
      <c r="A245" s="5" t="s">
        <v>65</v>
      </c>
      <c r="B245" s="5" t="s">
        <v>43</v>
      </c>
      <c r="C245" s="6" t="s">
        <v>24</v>
      </c>
      <c r="D245">
        <v>0.65600698478442576</v>
      </c>
    </row>
    <row r="246" spans="1:4" x14ac:dyDescent="0.2">
      <c r="A246" s="5" t="s">
        <v>65</v>
      </c>
      <c r="B246" s="5" t="s">
        <v>43</v>
      </c>
      <c r="C246" s="6" t="s">
        <v>25</v>
      </c>
      <c r="D246">
        <v>0.6516271007288762</v>
      </c>
    </row>
    <row r="247" spans="1:4" x14ac:dyDescent="0.2">
      <c r="A247" s="5" t="s">
        <v>65</v>
      </c>
      <c r="B247" s="5" t="s">
        <v>43</v>
      </c>
      <c r="C247" s="6" t="s">
        <v>26</v>
      </c>
      <c r="D247">
        <v>0.64728784682515639</v>
      </c>
    </row>
    <row r="248" spans="1:4" x14ac:dyDescent="0.2">
      <c r="A248" s="5" t="s">
        <v>65</v>
      </c>
      <c r="B248" s="5" t="s">
        <v>43</v>
      </c>
      <c r="C248" s="6" t="s">
        <v>27</v>
      </c>
      <c r="D248">
        <v>0.64257731936347451</v>
      </c>
    </row>
    <row r="249" spans="1:4" x14ac:dyDescent="0.2">
      <c r="A249" s="5" t="s">
        <v>65</v>
      </c>
      <c r="B249" s="5" t="s">
        <v>43</v>
      </c>
      <c r="C249" s="6" t="s">
        <v>28</v>
      </c>
      <c r="D249">
        <v>0.6379147880075825</v>
      </c>
    </row>
    <row r="250" spans="1:4" x14ac:dyDescent="0.2">
      <c r="A250" s="5" t="s">
        <v>65</v>
      </c>
      <c r="B250" s="5" t="s">
        <v>43</v>
      </c>
      <c r="C250" s="6" t="s">
        <v>29</v>
      </c>
      <c r="D250">
        <v>0.633299582271867</v>
      </c>
    </row>
    <row r="251" spans="1:4" x14ac:dyDescent="0.2">
      <c r="A251" s="5" t="s">
        <v>65</v>
      </c>
      <c r="B251" s="5" t="s">
        <v>43</v>
      </c>
      <c r="C251" s="6" t="s">
        <v>30</v>
      </c>
      <c r="D251">
        <v>0.62873172823472545</v>
      </c>
    </row>
    <row r="252" spans="1:4" x14ac:dyDescent="0.2">
      <c r="A252" s="5" t="s">
        <v>65</v>
      </c>
      <c r="B252" s="5" t="s">
        <v>43</v>
      </c>
      <c r="C252" s="6" t="s">
        <v>31</v>
      </c>
      <c r="D252">
        <v>0.62420993970581773</v>
      </c>
    </row>
    <row r="253" spans="1:4" x14ac:dyDescent="0.2">
      <c r="A253" s="5" t="s">
        <v>65</v>
      </c>
      <c r="B253" s="5" t="s">
        <v>43</v>
      </c>
      <c r="C253" s="6" t="s">
        <v>32</v>
      </c>
      <c r="D253">
        <v>0.6197338625729093</v>
      </c>
    </row>
    <row r="254" spans="1:4" x14ac:dyDescent="0.2">
      <c r="A254" s="5" t="s">
        <v>65</v>
      </c>
      <c r="B254" s="5" t="s">
        <v>43</v>
      </c>
      <c r="C254" s="6" t="s">
        <v>33</v>
      </c>
      <c r="D254">
        <v>0.61530351838842379</v>
      </c>
    </row>
    <row r="255" spans="1:4" x14ac:dyDescent="0.2">
      <c r="A255" s="5" t="s">
        <v>65</v>
      </c>
      <c r="B255" s="5" t="s">
        <v>43</v>
      </c>
      <c r="C255" s="6" t="s">
        <v>34</v>
      </c>
      <c r="D255">
        <v>0.61091814941288491</v>
      </c>
    </row>
    <row r="256" spans="1:4" x14ac:dyDescent="0.2">
      <c r="A256" s="5" t="s">
        <v>65</v>
      </c>
      <c r="B256" s="5" t="s">
        <v>43</v>
      </c>
      <c r="C256" s="6" t="s">
        <v>35</v>
      </c>
      <c r="D256">
        <v>0.60657688918031005</v>
      </c>
    </row>
    <row r="257" spans="1:4" x14ac:dyDescent="0.2">
      <c r="A257" s="5" t="s">
        <v>65</v>
      </c>
      <c r="B257" s="1" t="s">
        <v>43</v>
      </c>
      <c r="C257" s="2" t="s">
        <v>36</v>
      </c>
      <c r="D257">
        <v>0.60227982004782665</v>
      </c>
    </row>
    <row r="258" spans="1:4" x14ac:dyDescent="0.2">
      <c r="A258" s="5" t="s">
        <v>65</v>
      </c>
      <c r="B258" s="5" t="s">
        <v>44</v>
      </c>
      <c r="C258" s="6" t="s">
        <v>5</v>
      </c>
      <c r="D258">
        <v>0.7546709411840945</v>
      </c>
    </row>
    <row r="259" spans="1:4" x14ac:dyDescent="0.2">
      <c r="A259" s="5" t="s">
        <v>65</v>
      </c>
      <c r="B259" s="5" t="s">
        <v>44</v>
      </c>
      <c r="C259" s="6" t="s">
        <v>6</v>
      </c>
      <c r="D259">
        <v>0.75151503957662813</v>
      </c>
    </row>
    <row r="260" spans="1:4" x14ac:dyDescent="0.2">
      <c r="A260" s="5" t="s">
        <v>65</v>
      </c>
      <c r="B260" s="5" t="s">
        <v>44</v>
      </c>
      <c r="C260" s="6" t="s">
        <v>7</v>
      </c>
      <c r="D260">
        <v>0.74824964927092019</v>
      </c>
    </row>
    <row r="261" spans="1:4" x14ac:dyDescent="0.2">
      <c r="A261" s="5" t="s">
        <v>65</v>
      </c>
      <c r="B261" s="5" t="s">
        <v>44</v>
      </c>
      <c r="C261" s="6" t="s">
        <v>8</v>
      </c>
      <c r="D261">
        <v>0.74501198222011944</v>
      </c>
    </row>
    <row r="262" spans="1:4" x14ac:dyDescent="0.2">
      <c r="A262" s="5" t="s">
        <v>65</v>
      </c>
      <c r="B262" s="5" t="s">
        <v>44</v>
      </c>
      <c r="C262" s="6" t="s">
        <v>9</v>
      </c>
      <c r="D262">
        <v>0.74180169736818113</v>
      </c>
    </row>
    <row r="263" spans="1:4" x14ac:dyDescent="0.2">
      <c r="A263" s="5" t="s">
        <v>65</v>
      </c>
      <c r="B263" s="5" t="s">
        <v>44</v>
      </c>
      <c r="C263" s="6" t="s">
        <v>10</v>
      </c>
      <c r="D263">
        <v>0.73861918685294692</v>
      </c>
    </row>
    <row r="264" spans="1:4" x14ac:dyDescent="0.2">
      <c r="A264" s="5" t="s">
        <v>65</v>
      </c>
      <c r="B264" s="5" t="s">
        <v>44</v>
      </c>
      <c r="C264" s="6" t="s">
        <v>11</v>
      </c>
      <c r="D264">
        <v>0.73546396819040993</v>
      </c>
    </row>
    <row r="265" spans="1:4" x14ac:dyDescent="0.2">
      <c r="A265" s="5" t="s">
        <v>65</v>
      </c>
      <c r="B265" s="5" t="s">
        <v>44</v>
      </c>
      <c r="C265" s="6" t="s">
        <v>12</v>
      </c>
      <c r="D265">
        <v>0.73233548778918689</v>
      </c>
    </row>
    <row r="266" spans="1:4" x14ac:dyDescent="0.2">
      <c r="A266" s="5" t="s">
        <v>65</v>
      </c>
      <c r="B266" s="5" t="s">
        <v>44</v>
      </c>
      <c r="C266" s="6" t="s">
        <v>13</v>
      </c>
      <c r="D266">
        <v>0.72923389417401585</v>
      </c>
    </row>
    <row r="267" spans="1:4" x14ac:dyDescent="0.2">
      <c r="A267" s="5" t="s">
        <v>65</v>
      </c>
      <c r="B267" s="5" t="s">
        <v>44</v>
      </c>
      <c r="C267" s="6" t="s">
        <v>14</v>
      </c>
      <c r="D267">
        <v>0.72615883237460377</v>
      </c>
    </row>
    <row r="268" spans="1:4" x14ac:dyDescent="0.2">
      <c r="A268" s="5" t="s">
        <v>65</v>
      </c>
      <c r="B268" s="5" t="s">
        <v>44</v>
      </c>
      <c r="C268" s="6" t="s">
        <v>15</v>
      </c>
      <c r="D268">
        <v>0.72310999281800026</v>
      </c>
    </row>
    <row r="269" spans="1:4" x14ac:dyDescent="0.2">
      <c r="A269" s="5" t="s">
        <v>65</v>
      </c>
      <c r="B269" s="5" t="s">
        <v>44</v>
      </c>
      <c r="C269" s="6" t="s">
        <v>16</v>
      </c>
      <c r="D269">
        <v>0.72008756598472512</v>
      </c>
    </row>
    <row r="270" spans="1:4" x14ac:dyDescent="0.2">
      <c r="A270" s="5" t="s">
        <v>65</v>
      </c>
      <c r="B270" s="5" t="s">
        <v>44</v>
      </c>
      <c r="C270" s="6" t="s">
        <v>17</v>
      </c>
      <c r="D270">
        <v>0.71685808843111665</v>
      </c>
    </row>
    <row r="271" spans="1:4" x14ac:dyDescent="0.2">
      <c r="A271" s="5" t="s">
        <v>65</v>
      </c>
      <c r="B271" s="5" t="s">
        <v>44</v>
      </c>
      <c r="C271" s="6" t="s">
        <v>18</v>
      </c>
      <c r="D271">
        <v>0.71365892772174322</v>
      </c>
    </row>
    <row r="272" spans="1:4" x14ac:dyDescent="0.2">
      <c r="A272" s="5" t="s">
        <v>65</v>
      </c>
      <c r="B272" s="5" t="s">
        <v>44</v>
      </c>
      <c r="C272" s="6" t="s">
        <v>19</v>
      </c>
      <c r="D272">
        <v>0.71048914094762528</v>
      </c>
    </row>
    <row r="273" spans="1:4" x14ac:dyDescent="0.2">
      <c r="A273" s="5" t="s">
        <v>65</v>
      </c>
      <c r="B273" s="5" t="s">
        <v>44</v>
      </c>
      <c r="C273" s="6" t="s">
        <v>20</v>
      </c>
      <c r="D273">
        <v>0.70734871130797672</v>
      </c>
    </row>
    <row r="274" spans="1:4" x14ac:dyDescent="0.2">
      <c r="A274" s="5" t="s">
        <v>65</v>
      </c>
      <c r="B274" s="5" t="s">
        <v>44</v>
      </c>
      <c r="C274" s="6" t="s">
        <v>21</v>
      </c>
      <c r="D274">
        <v>0.70423729539721724</v>
      </c>
    </row>
    <row r="275" spans="1:4" x14ac:dyDescent="0.2">
      <c r="A275" s="5" t="s">
        <v>65</v>
      </c>
      <c r="B275" s="5" t="s">
        <v>44</v>
      </c>
      <c r="C275" s="6" t="s">
        <v>22</v>
      </c>
      <c r="D275">
        <v>0.70115457230071565</v>
      </c>
    </row>
    <row r="276" spans="1:4" x14ac:dyDescent="0.2">
      <c r="A276" s="5" t="s">
        <v>65</v>
      </c>
      <c r="B276" s="5" t="s">
        <v>44</v>
      </c>
      <c r="C276" s="6" t="s">
        <v>23</v>
      </c>
      <c r="D276">
        <v>0.69810038693558751</v>
      </c>
    </row>
    <row r="277" spans="1:4" x14ac:dyDescent="0.2">
      <c r="A277" s="5" t="s">
        <v>65</v>
      </c>
      <c r="B277" s="5" t="s">
        <v>44</v>
      </c>
      <c r="C277" s="6" t="s">
        <v>24</v>
      </c>
      <c r="D277">
        <v>0.69507455527701811</v>
      </c>
    </row>
    <row r="278" spans="1:4" x14ac:dyDescent="0.2">
      <c r="A278" s="5" t="s">
        <v>65</v>
      </c>
      <c r="B278" s="5" t="s">
        <v>44</v>
      </c>
      <c r="C278" s="6" t="s">
        <v>25</v>
      </c>
      <c r="D278">
        <v>0.69207683613281679</v>
      </c>
    </row>
    <row r="279" spans="1:4" x14ac:dyDescent="0.2">
      <c r="A279" s="5" t="s">
        <v>65</v>
      </c>
      <c r="B279" s="5" t="s">
        <v>44</v>
      </c>
      <c r="C279" s="6" t="s">
        <v>26</v>
      </c>
      <c r="D279">
        <v>0.68910621745405387</v>
      </c>
    </row>
    <row r="280" spans="1:4" x14ac:dyDescent="0.2">
      <c r="A280" s="5" t="s">
        <v>65</v>
      </c>
      <c r="B280" s="5" t="s">
        <v>44</v>
      </c>
      <c r="C280" s="6" t="s">
        <v>27</v>
      </c>
      <c r="D280">
        <v>0.68588095932767845</v>
      </c>
    </row>
    <row r="281" spans="1:4" x14ac:dyDescent="0.2">
      <c r="A281" s="5" t="s">
        <v>65</v>
      </c>
      <c r="B281" s="5" t="s">
        <v>44</v>
      </c>
      <c r="C281" s="6" t="s">
        <v>28</v>
      </c>
      <c r="D281">
        <v>0.68268889355984186</v>
      </c>
    </row>
    <row r="282" spans="1:4" x14ac:dyDescent="0.2">
      <c r="A282" s="5" t="s">
        <v>65</v>
      </c>
      <c r="B282" s="5" t="s">
        <v>44</v>
      </c>
      <c r="C282" s="6" t="s">
        <v>29</v>
      </c>
      <c r="D282">
        <v>0.67952937664371649</v>
      </c>
    </row>
    <row r="283" spans="1:4" x14ac:dyDescent="0.2">
      <c r="A283" s="5" t="s">
        <v>65</v>
      </c>
      <c r="B283" s="5" t="s">
        <v>44</v>
      </c>
      <c r="C283" s="6" t="s">
        <v>30</v>
      </c>
      <c r="D283">
        <v>0.67640216419067578</v>
      </c>
    </row>
    <row r="284" spans="1:4" x14ac:dyDescent="0.2">
      <c r="A284" s="5" t="s">
        <v>65</v>
      </c>
      <c r="B284" s="5" t="s">
        <v>44</v>
      </c>
      <c r="C284" s="6" t="s">
        <v>31</v>
      </c>
      <c r="D284">
        <v>0.67330739680354934</v>
      </c>
    </row>
    <row r="285" spans="1:4" x14ac:dyDescent="0.2">
      <c r="A285" s="5" t="s">
        <v>65</v>
      </c>
      <c r="B285" s="5" t="s">
        <v>44</v>
      </c>
      <c r="C285" s="6" t="s">
        <v>32</v>
      </c>
      <c r="D285">
        <v>0.67024354003128506</v>
      </c>
    </row>
    <row r="286" spans="1:4" x14ac:dyDescent="0.2">
      <c r="A286" s="5" t="s">
        <v>65</v>
      </c>
      <c r="B286" s="5" t="s">
        <v>44</v>
      </c>
      <c r="C286" s="6" t="s">
        <v>33</v>
      </c>
      <c r="D286">
        <v>0.66721144118790932</v>
      </c>
    </row>
    <row r="287" spans="1:4" x14ac:dyDescent="0.2">
      <c r="A287" s="5" t="s">
        <v>65</v>
      </c>
      <c r="B287" s="5" t="s">
        <v>44</v>
      </c>
      <c r="C287" s="6" t="s">
        <v>34</v>
      </c>
      <c r="D287">
        <v>0.66420975201769727</v>
      </c>
    </row>
    <row r="288" spans="1:4" x14ac:dyDescent="0.2">
      <c r="A288" s="5" t="s">
        <v>65</v>
      </c>
      <c r="B288" s="5" t="s">
        <v>44</v>
      </c>
      <c r="C288" s="6" t="s">
        <v>35</v>
      </c>
      <c r="D288">
        <v>0.66123903133751227</v>
      </c>
    </row>
    <row r="289" spans="1:4" x14ac:dyDescent="0.2">
      <c r="A289" s="5" t="s">
        <v>65</v>
      </c>
      <c r="B289" s="1" t="s">
        <v>44</v>
      </c>
      <c r="C289" s="2" t="s">
        <v>36</v>
      </c>
      <c r="D289">
        <v>0.6582984332145484</v>
      </c>
    </row>
    <row r="290" spans="1:4" x14ac:dyDescent="0.2">
      <c r="A290" s="5" t="s">
        <v>66</v>
      </c>
      <c r="B290" s="5" t="s">
        <v>4</v>
      </c>
      <c r="C290" s="6" t="s">
        <v>5</v>
      </c>
      <c r="D290">
        <v>0.60365270661231529</v>
      </c>
    </row>
    <row r="291" spans="1:4" x14ac:dyDescent="0.2">
      <c r="A291" s="5" t="s">
        <v>66</v>
      </c>
      <c r="B291" s="5" t="s">
        <v>4</v>
      </c>
      <c r="C291" s="6" t="s">
        <v>6</v>
      </c>
      <c r="D291">
        <v>0.59398529983568071</v>
      </c>
    </row>
    <row r="292" spans="1:4" x14ac:dyDescent="0.2">
      <c r="A292" s="5" t="s">
        <v>66</v>
      </c>
      <c r="B292" s="5" t="s">
        <v>4</v>
      </c>
      <c r="C292" s="6" t="s">
        <v>7</v>
      </c>
      <c r="D292">
        <v>0.58350759662780105</v>
      </c>
    </row>
    <row r="293" spans="1:4" x14ac:dyDescent="0.2">
      <c r="A293" s="5" t="s">
        <v>66</v>
      </c>
      <c r="B293" s="5" t="s">
        <v>4</v>
      </c>
      <c r="C293" s="6" t="s">
        <v>8</v>
      </c>
      <c r="D293">
        <v>0.57321838445854156</v>
      </c>
    </row>
    <row r="294" spans="1:4" x14ac:dyDescent="0.2">
      <c r="A294" s="5" t="s">
        <v>66</v>
      </c>
      <c r="B294" s="5" t="s">
        <v>4</v>
      </c>
      <c r="C294" s="6" t="s">
        <v>9</v>
      </c>
      <c r="D294">
        <v>0.56311476170136132</v>
      </c>
    </row>
    <row r="295" spans="1:4" x14ac:dyDescent="0.2">
      <c r="A295" s="5" t="s">
        <v>66</v>
      </c>
      <c r="B295" s="5" t="s">
        <v>4</v>
      </c>
      <c r="C295" s="6" t="s">
        <v>10</v>
      </c>
      <c r="D295">
        <v>0.55319327648331251</v>
      </c>
    </row>
    <row r="296" spans="1:4" x14ac:dyDescent="0.2">
      <c r="A296" s="5" t="s">
        <v>66</v>
      </c>
      <c r="B296" s="5" t="s">
        <v>4</v>
      </c>
      <c r="C296" s="6" t="s">
        <v>11</v>
      </c>
      <c r="D296">
        <v>0.54344996959984093</v>
      </c>
    </row>
    <row r="297" spans="1:4" x14ac:dyDescent="0.2">
      <c r="A297" s="5" t="s">
        <v>66</v>
      </c>
      <c r="B297" s="5" t="s">
        <v>4</v>
      </c>
      <c r="C297" s="6" t="s">
        <v>12</v>
      </c>
      <c r="D297">
        <v>0.53388205942799383</v>
      </c>
    </row>
    <row r="298" spans="1:4" x14ac:dyDescent="0.2">
      <c r="A298" s="5" t="s">
        <v>66</v>
      </c>
      <c r="B298" s="5" t="s">
        <v>4</v>
      </c>
      <c r="C298" s="6" t="s">
        <v>13</v>
      </c>
      <c r="D298">
        <v>0.5244863850347915</v>
      </c>
    </row>
    <row r="299" spans="1:4" x14ac:dyDescent="0.2">
      <c r="A299" s="5" t="s">
        <v>66</v>
      </c>
      <c r="B299" s="5" t="s">
        <v>4</v>
      </c>
      <c r="C299" s="6" t="s">
        <v>14</v>
      </c>
      <c r="D299">
        <v>0.51525965009023145</v>
      </c>
    </row>
    <row r="300" spans="1:4" x14ac:dyDescent="0.2">
      <c r="A300" s="5" t="s">
        <v>66</v>
      </c>
      <c r="B300" s="5" t="s">
        <v>4</v>
      </c>
      <c r="C300" s="6" t="s">
        <v>15</v>
      </c>
      <c r="D300">
        <v>0.50619854759314986</v>
      </c>
    </row>
    <row r="301" spans="1:4" x14ac:dyDescent="0.2">
      <c r="A301" s="5" t="s">
        <v>66</v>
      </c>
      <c r="B301" s="5" t="s">
        <v>4</v>
      </c>
      <c r="C301" s="6" t="s">
        <v>16</v>
      </c>
      <c r="D301">
        <v>0.49730059832673312</v>
      </c>
    </row>
    <row r="302" spans="1:4" x14ac:dyDescent="0.2">
      <c r="A302" s="5" t="s">
        <v>66</v>
      </c>
      <c r="B302" s="5" t="s">
        <v>4</v>
      </c>
      <c r="C302" s="6" t="s">
        <v>17</v>
      </c>
      <c r="D302">
        <v>0.48678687438262325</v>
      </c>
    </row>
    <row r="303" spans="1:4" x14ac:dyDescent="0.2">
      <c r="A303" s="5" t="s">
        <v>66</v>
      </c>
      <c r="B303" s="5" t="s">
        <v>4</v>
      </c>
      <c r="C303" s="6" t="s">
        <v>18</v>
      </c>
      <c r="D303">
        <v>0.47650447615555824</v>
      </c>
    </row>
    <row r="304" spans="1:4" x14ac:dyDescent="0.2">
      <c r="A304" s="5" t="s">
        <v>66</v>
      </c>
      <c r="B304" s="5" t="s">
        <v>4</v>
      </c>
      <c r="C304" s="6" t="s">
        <v>19</v>
      </c>
      <c r="D304">
        <v>0.46644815307290605</v>
      </c>
    </row>
    <row r="305" spans="1:4" x14ac:dyDescent="0.2">
      <c r="A305" s="5" t="s">
        <v>66</v>
      </c>
      <c r="B305" s="5" t="s">
        <v>4</v>
      </c>
      <c r="C305" s="6" t="s">
        <v>20</v>
      </c>
      <c r="D305">
        <v>0.45661299171104441</v>
      </c>
    </row>
    <row r="306" spans="1:4" x14ac:dyDescent="0.2">
      <c r="A306" s="5" t="s">
        <v>66</v>
      </c>
      <c r="B306" s="5" t="s">
        <v>4</v>
      </c>
      <c r="C306" s="6" t="s">
        <v>21</v>
      </c>
      <c r="D306">
        <v>0.44699420538395107</v>
      </c>
    </row>
    <row r="307" spans="1:4" x14ac:dyDescent="0.2">
      <c r="A307" s="5" t="s">
        <v>66</v>
      </c>
      <c r="B307" s="5" t="s">
        <v>4</v>
      </c>
      <c r="C307" s="6" t="s">
        <v>22</v>
      </c>
      <c r="D307">
        <v>0.43758645640894983</v>
      </c>
    </row>
    <row r="308" spans="1:4" x14ac:dyDescent="0.2">
      <c r="A308" s="5" t="s">
        <v>66</v>
      </c>
      <c r="B308" s="5" t="s">
        <v>4</v>
      </c>
      <c r="C308" s="6" t="s">
        <v>23</v>
      </c>
      <c r="D308">
        <v>0.4283850509074924</v>
      </c>
    </row>
    <row r="309" spans="1:4" x14ac:dyDescent="0.2">
      <c r="A309" s="5" t="s">
        <v>66</v>
      </c>
      <c r="B309" s="5" t="s">
        <v>4</v>
      </c>
      <c r="C309" s="6" t="s">
        <v>24</v>
      </c>
      <c r="D309">
        <v>0.41938550836416427</v>
      </c>
    </row>
    <row r="310" spans="1:4" x14ac:dyDescent="0.2">
      <c r="A310" s="5" t="s">
        <v>66</v>
      </c>
      <c r="B310" s="5" t="s">
        <v>4</v>
      </c>
      <c r="C310" s="6" t="s">
        <v>25</v>
      </c>
      <c r="D310">
        <v>0.41058315768109588</v>
      </c>
    </row>
    <row r="311" spans="1:4" x14ac:dyDescent="0.2">
      <c r="A311" s="5" t="s">
        <v>66</v>
      </c>
      <c r="B311" s="5" t="s">
        <v>4</v>
      </c>
      <c r="C311" s="6" t="s">
        <v>26</v>
      </c>
      <c r="D311">
        <v>0.40197389531092409</v>
      </c>
    </row>
    <row r="312" spans="1:4" x14ac:dyDescent="0.2">
      <c r="A312" s="5" t="s">
        <v>66</v>
      </c>
      <c r="B312" s="5" t="s">
        <v>4</v>
      </c>
      <c r="C312" s="6" t="s">
        <v>27</v>
      </c>
      <c r="D312">
        <v>0.39134319588072664</v>
      </c>
    </row>
    <row r="313" spans="1:4" x14ac:dyDescent="0.2">
      <c r="A313" s="5" t="s">
        <v>66</v>
      </c>
      <c r="B313" s="5" t="s">
        <v>4</v>
      </c>
      <c r="C313" s="6" t="s">
        <v>28</v>
      </c>
      <c r="D313">
        <v>0.38100941665051719</v>
      </c>
    </row>
    <row r="314" spans="1:4" x14ac:dyDescent="0.2">
      <c r="A314" s="5" t="s">
        <v>66</v>
      </c>
      <c r="B314" s="5" t="s">
        <v>4</v>
      </c>
      <c r="C314" s="6" t="s">
        <v>29</v>
      </c>
      <c r="D314">
        <v>0.37096433060536826</v>
      </c>
    </row>
    <row r="315" spans="1:4" x14ac:dyDescent="0.2">
      <c r="A315" s="5" t="s">
        <v>66</v>
      </c>
      <c r="B315" s="5" t="s">
        <v>4</v>
      </c>
      <c r="C315" s="6" t="s">
        <v>30</v>
      </c>
      <c r="D315">
        <v>0.36119940851794924</v>
      </c>
    </row>
    <row r="316" spans="1:4" x14ac:dyDescent="0.2">
      <c r="A316" s="5" t="s">
        <v>66</v>
      </c>
      <c r="B316" s="5" t="s">
        <v>4</v>
      </c>
      <c r="C316" s="6" t="s">
        <v>31</v>
      </c>
      <c r="D316">
        <v>0.35170667737877331</v>
      </c>
    </row>
    <row r="317" spans="1:4" x14ac:dyDescent="0.2">
      <c r="A317" s="5" t="s">
        <v>66</v>
      </c>
      <c r="B317" s="5" t="s">
        <v>4</v>
      </c>
      <c r="C317" s="6" t="s">
        <v>32</v>
      </c>
      <c r="D317">
        <v>0.34247847209631377</v>
      </c>
    </row>
    <row r="318" spans="1:4" x14ac:dyDescent="0.2">
      <c r="A318" s="5" t="s">
        <v>66</v>
      </c>
      <c r="B318" s="5" t="s">
        <v>4</v>
      </c>
      <c r="C318" s="6" t="s">
        <v>33</v>
      </c>
      <c r="D318">
        <v>0.33350678627035657</v>
      </c>
    </row>
    <row r="319" spans="1:4" x14ac:dyDescent="0.2">
      <c r="A319" s="5" t="s">
        <v>66</v>
      </c>
      <c r="B319" s="5" t="s">
        <v>4</v>
      </c>
      <c r="C319" s="6" t="s">
        <v>34</v>
      </c>
      <c r="D319">
        <v>0.3247847007028335</v>
      </c>
    </row>
    <row r="320" spans="1:4" x14ac:dyDescent="0.2">
      <c r="A320" s="5" t="s">
        <v>66</v>
      </c>
      <c r="B320" s="5" t="s">
        <v>4</v>
      </c>
      <c r="C320" s="6" t="s">
        <v>35</v>
      </c>
      <c r="D320">
        <v>0.31630491041148184</v>
      </c>
    </row>
    <row r="321" spans="1:4" x14ac:dyDescent="0.2">
      <c r="A321" s="5" t="s">
        <v>66</v>
      </c>
      <c r="B321" s="1" t="s">
        <v>4</v>
      </c>
      <c r="C321" s="2" t="s">
        <v>36</v>
      </c>
      <c r="D321">
        <v>0.3080601375316615</v>
      </c>
    </row>
    <row r="322" spans="1:4" x14ac:dyDescent="0.2">
      <c r="A322" s="5" t="s">
        <v>66</v>
      </c>
      <c r="B322" s="5" t="s">
        <v>37</v>
      </c>
      <c r="C322" s="6" t="s">
        <v>5</v>
      </c>
      <c r="D322">
        <v>0.6520861192000289</v>
      </c>
    </row>
    <row r="323" spans="1:4" x14ac:dyDescent="0.2">
      <c r="A323" s="5" t="s">
        <v>66</v>
      </c>
      <c r="B323" s="5" t="s">
        <v>37</v>
      </c>
      <c r="C323" s="6" t="s">
        <v>6</v>
      </c>
      <c r="D323">
        <v>0.64368502388707216</v>
      </c>
    </row>
    <row r="324" spans="1:4" x14ac:dyDescent="0.2">
      <c r="A324" s="5" t="s">
        <v>66</v>
      </c>
      <c r="B324" s="5" t="s">
        <v>37</v>
      </c>
      <c r="C324" s="6" t="s">
        <v>7</v>
      </c>
      <c r="D324">
        <v>0.63470349660893377</v>
      </c>
    </row>
    <row r="325" spans="1:4" x14ac:dyDescent="0.2">
      <c r="A325" s="5" t="s">
        <v>66</v>
      </c>
      <c r="B325" s="5" t="s">
        <v>37</v>
      </c>
      <c r="C325" s="6" t="s">
        <v>8</v>
      </c>
      <c r="D325">
        <v>0.62585106515583255</v>
      </c>
    </row>
    <row r="326" spans="1:4" x14ac:dyDescent="0.2">
      <c r="A326" s="5" t="s">
        <v>66</v>
      </c>
      <c r="B326" s="5" t="s">
        <v>37</v>
      </c>
      <c r="C326" s="6" t="s">
        <v>9</v>
      </c>
      <c r="D326">
        <v>0.61712634084899842</v>
      </c>
    </row>
    <row r="327" spans="1:4" x14ac:dyDescent="0.2">
      <c r="A327" s="5" t="s">
        <v>66</v>
      </c>
      <c r="B327" s="5" t="s">
        <v>37</v>
      </c>
      <c r="C327" s="6" t="s">
        <v>10</v>
      </c>
      <c r="D327">
        <v>0.60852685719685984</v>
      </c>
    </row>
    <row r="328" spans="1:4" x14ac:dyDescent="0.2">
      <c r="A328" s="5" t="s">
        <v>66</v>
      </c>
      <c r="B328" s="5" t="s">
        <v>37</v>
      </c>
      <c r="C328" s="6" t="s">
        <v>11</v>
      </c>
      <c r="D328">
        <v>0.6000511254351325</v>
      </c>
    </row>
    <row r="329" spans="1:4" x14ac:dyDescent="0.2">
      <c r="A329" s="5" t="s">
        <v>66</v>
      </c>
      <c r="B329" s="5" t="s">
        <v>37</v>
      </c>
      <c r="C329" s="6" t="s">
        <v>12</v>
      </c>
      <c r="D329">
        <v>0.59169689622640509</v>
      </c>
    </row>
    <row r="330" spans="1:4" x14ac:dyDescent="0.2">
      <c r="A330" s="5" t="s">
        <v>66</v>
      </c>
      <c r="B330" s="5" t="s">
        <v>37</v>
      </c>
      <c r="C330" s="6" t="s">
        <v>13</v>
      </c>
      <c r="D330">
        <v>0.58346267926053219</v>
      </c>
    </row>
    <row r="331" spans="1:4" x14ac:dyDescent="0.2">
      <c r="A331" s="5" t="s">
        <v>66</v>
      </c>
      <c r="B331" s="5" t="s">
        <v>37</v>
      </c>
      <c r="C331" s="6" t="s">
        <v>14</v>
      </c>
      <c r="D331">
        <v>0.57534669063303845</v>
      </c>
    </row>
    <row r="332" spans="1:4" x14ac:dyDescent="0.2">
      <c r="A332" s="5" t="s">
        <v>66</v>
      </c>
      <c r="B332" s="5" t="s">
        <v>37</v>
      </c>
      <c r="C332" s="6" t="s">
        <v>15</v>
      </c>
      <c r="D332">
        <v>0.56734733896329947</v>
      </c>
    </row>
    <row r="333" spans="1:4" x14ac:dyDescent="0.2">
      <c r="A333" s="5" t="s">
        <v>66</v>
      </c>
      <c r="B333" s="5" t="s">
        <v>37</v>
      </c>
      <c r="C333" s="6" t="s">
        <v>16</v>
      </c>
      <c r="D333">
        <v>0.55946257278308453</v>
      </c>
    </row>
    <row r="334" spans="1:4" x14ac:dyDescent="0.2">
      <c r="A334" s="5" t="s">
        <v>66</v>
      </c>
      <c r="B334" s="5" t="s">
        <v>37</v>
      </c>
      <c r="C334" s="6" t="s">
        <v>17</v>
      </c>
      <c r="D334">
        <v>0.55044813692767436</v>
      </c>
    </row>
    <row r="335" spans="1:4" x14ac:dyDescent="0.2">
      <c r="A335" s="5" t="s">
        <v>66</v>
      </c>
      <c r="B335" s="5" t="s">
        <v>37</v>
      </c>
      <c r="C335" s="6" t="s">
        <v>18</v>
      </c>
      <c r="D335">
        <v>0.54158515769299964</v>
      </c>
    </row>
    <row r="336" spans="1:4" x14ac:dyDescent="0.2">
      <c r="A336" s="5" t="s">
        <v>66</v>
      </c>
      <c r="B336" s="5" t="s">
        <v>37</v>
      </c>
      <c r="C336" s="6" t="s">
        <v>19</v>
      </c>
      <c r="D336">
        <v>0.53287097325519683</v>
      </c>
    </row>
    <row r="337" spans="1:4" x14ac:dyDescent="0.2">
      <c r="A337" s="5" t="s">
        <v>66</v>
      </c>
      <c r="B337" s="5" t="s">
        <v>37</v>
      </c>
      <c r="C337" s="6" t="s">
        <v>20</v>
      </c>
      <c r="D337">
        <v>0.5243032464826386</v>
      </c>
    </row>
    <row r="338" spans="1:4" x14ac:dyDescent="0.2">
      <c r="A338" s="5" t="s">
        <v>66</v>
      </c>
      <c r="B338" s="5" t="s">
        <v>37</v>
      </c>
      <c r="C338" s="6" t="s">
        <v>21</v>
      </c>
      <c r="D338">
        <v>0.51587933744371428</v>
      </c>
    </row>
    <row r="339" spans="1:4" x14ac:dyDescent="0.2">
      <c r="A339" s="5" t="s">
        <v>66</v>
      </c>
      <c r="B339" s="5" t="s">
        <v>37</v>
      </c>
      <c r="C339" s="6" t="s">
        <v>22</v>
      </c>
      <c r="D339">
        <v>0.50759646200951569</v>
      </c>
    </row>
    <row r="340" spans="1:4" x14ac:dyDescent="0.2">
      <c r="A340" s="5" t="s">
        <v>66</v>
      </c>
      <c r="B340" s="5" t="s">
        <v>37</v>
      </c>
      <c r="C340" s="6" t="s">
        <v>23</v>
      </c>
      <c r="D340">
        <v>0.49945264576405662</v>
      </c>
    </row>
    <row r="341" spans="1:4" x14ac:dyDescent="0.2">
      <c r="A341" s="5" t="s">
        <v>66</v>
      </c>
      <c r="B341" s="5" t="s">
        <v>37</v>
      </c>
      <c r="C341" s="6" t="s">
        <v>24</v>
      </c>
      <c r="D341">
        <v>0.49144503810041645</v>
      </c>
    </row>
    <row r="342" spans="1:4" x14ac:dyDescent="0.2">
      <c r="A342" s="5" t="s">
        <v>66</v>
      </c>
      <c r="B342" s="5" t="s">
        <v>37</v>
      </c>
      <c r="C342" s="6" t="s">
        <v>25</v>
      </c>
      <c r="D342">
        <v>0.48357147398891848</v>
      </c>
    </row>
    <row r="343" spans="1:4" x14ac:dyDescent="0.2">
      <c r="A343" s="5" t="s">
        <v>66</v>
      </c>
      <c r="B343" s="5" t="s">
        <v>37</v>
      </c>
      <c r="C343" s="6" t="s">
        <v>26</v>
      </c>
      <c r="D343">
        <v>0.47582985452613524</v>
      </c>
    </row>
    <row r="344" spans="1:4" x14ac:dyDescent="0.2">
      <c r="A344" s="5" t="s">
        <v>66</v>
      </c>
      <c r="B344" s="5" t="s">
        <v>37</v>
      </c>
      <c r="C344" s="6" t="s">
        <v>27</v>
      </c>
      <c r="D344">
        <v>0.46672288125856098</v>
      </c>
    </row>
    <row r="345" spans="1:4" x14ac:dyDescent="0.2">
      <c r="A345" s="5" t="s">
        <v>66</v>
      </c>
      <c r="B345" s="5" t="s">
        <v>37</v>
      </c>
      <c r="C345" s="6" t="s">
        <v>28</v>
      </c>
      <c r="D345">
        <v>0.45780032396371662</v>
      </c>
    </row>
    <row r="346" spans="1:4" x14ac:dyDescent="0.2">
      <c r="A346" s="5" t="s">
        <v>66</v>
      </c>
      <c r="B346" s="5" t="s">
        <v>37</v>
      </c>
      <c r="C346" s="6" t="s">
        <v>29</v>
      </c>
      <c r="D346">
        <v>0.44905862588059658</v>
      </c>
    </row>
    <row r="347" spans="1:4" x14ac:dyDescent="0.2">
      <c r="A347" s="5" t="s">
        <v>66</v>
      </c>
      <c r="B347" s="5" t="s">
        <v>37</v>
      </c>
      <c r="C347" s="6" t="s">
        <v>30</v>
      </c>
      <c r="D347">
        <v>0.44049388156884295</v>
      </c>
    </row>
    <row r="348" spans="1:4" x14ac:dyDescent="0.2">
      <c r="A348" s="5" t="s">
        <v>66</v>
      </c>
      <c r="B348" s="5" t="s">
        <v>37</v>
      </c>
      <c r="C348" s="6" t="s">
        <v>31</v>
      </c>
      <c r="D348">
        <v>0.43210228911738896</v>
      </c>
    </row>
    <row r="349" spans="1:4" x14ac:dyDescent="0.2">
      <c r="A349" s="5" t="s">
        <v>66</v>
      </c>
      <c r="B349" s="5" t="s">
        <v>37</v>
      </c>
      <c r="C349" s="6" t="s">
        <v>32</v>
      </c>
      <c r="D349">
        <v>0.42388053297795381</v>
      </c>
    </row>
    <row r="350" spans="1:4" x14ac:dyDescent="0.2">
      <c r="A350" s="5" t="s">
        <v>66</v>
      </c>
      <c r="B350" s="5" t="s">
        <v>37</v>
      </c>
      <c r="C350" s="6" t="s">
        <v>33</v>
      </c>
      <c r="D350">
        <v>0.41582436934878708</v>
      </c>
    </row>
    <row r="351" spans="1:4" x14ac:dyDescent="0.2">
      <c r="A351" s="5" t="s">
        <v>66</v>
      </c>
      <c r="B351" s="5" t="s">
        <v>37</v>
      </c>
      <c r="C351" s="6" t="s">
        <v>34</v>
      </c>
      <c r="D351">
        <v>0.40793093874719927</v>
      </c>
    </row>
    <row r="352" spans="1:4" x14ac:dyDescent="0.2">
      <c r="A352" s="5" t="s">
        <v>66</v>
      </c>
      <c r="B352" s="5" t="s">
        <v>37</v>
      </c>
      <c r="C352" s="6" t="s">
        <v>35</v>
      </c>
      <c r="D352">
        <v>0.40019636235155193</v>
      </c>
    </row>
    <row r="353" spans="1:4" x14ac:dyDescent="0.2">
      <c r="A353" s="5" t="s">
        <v>66</v>
      </c>
      <c r="B353" s="1" t="s">
        <v>37</v>
      </c>
      <c r="C353" s="2" t="s">
        <v>36</v>
      </c>
      <c r="D353">
        <v>0.3926176471584697</v>
      </c>
    </row>
    <row r="354" spans="1:4" x14ac:dyDescent="0.2">
      <c r="A354" s="5" t="s">
        <v>66</v>
      </c>
      <c r="B354" s="5" t="s">
        <v>38</v>
      </c>
      <c r="C354" s="6" t="s">
        <v>5</v>
      </c>
      <c r="D354">
        <v>0.6476060404961812</v>
      </c>
    </row>
    <row r="355" spans="1:4" x14ac:dyDescent="0.2">
      <c r="A355" s="5" t="s">
        <v>66</v>
      </c>
      <c r="B355" s="5" t="s">
        <v>38</v>
      </c>
      <c r="C355" s="6" t="s">
        <v>6</v>
      </c>
      <c r="D355">
        <v>0.63893714344512031</v>
      </c>
    </row>
    <row r="356" spans="1:4" x14ac:dyDescent="0.2">
      <c r="A356" s="5" t="s">
        <v>66</v>
      </c>
      <c r="B356" s="5" t="s">
        <v>38</v>
      </c>
      <c r="C356" s="6" t="s">
        <v>7</v>
      </c>
      <c r="D356">
        <v>0.62967600865988282</v>
      </c>
    </row>
    <row r="357" spans="1:4" x14ac:dyDescent="0.2">
      <c r="A357" s="5" t="s">
        <v>66</v>
      </c>
      <c r="B357" s="5" t="s">
        <v>38</v>
      </c>
      <c r="C357" s="6" t="s">
        <v>8</v>
      </c>
      <c r="D357">
        <v>0.62055214460965435</v>
      </c>
    </row>
    <row r="358" spans="1:4" x14ac:dyDescent="0.2">
      <c r="A358" s="5" t="s">
        <v>66</v>
      </c>
      <c r="B358" s="5" t="s">
        <v>38</v>
      </c>
      <c r="C358" s="6" t="s">
        <v>9</v>
      </c>
      <c r="D358">
        <v>0.61156317211660849</v>
      </c>
    </row>
    <row r="359" spans="1:4" x14ac:dyDescent="0.2">
      <c r="A359" s="5" t="s">
        <v>66</v>
      </c>
      <c r="B359" s="5" t="s">
        <v>38</v>
      </c>
      <c r="C359" s="6" t="s">
        <v>10</v>
      </c>
      <c r="D359">
        <v>0.60270680392800224</v>
      </c>
    </row>
    <row r="360" spans="1:4" x14ac:dyDescent="0.2">
      <c r="A360" s="5" t="s">
        <v>66</v>
      </c>
      <c r="B360" s="5" t="s">
        <v>38</v>
      </c>
      <c r="C360" s="6" t="s">
        <v>11</v>
      </c>
      <c r="D360">
        <v>0.59398124171848765</v>
      </c>
    </row>
    <row r="361" spans="1:4" x14ac:dyDescent="0.2">
      <c r="A361" s="5" t="s">
        <v>66</v>
      </c>
      <c r="B361" s="5" t="s">
        <v>38</v>
      </c>
      <c r="C361" s="6" t="s">
        <v>12</v>
      </c>
      <c r="D361">
        <v>0.58538460794245117</v>
      </c>
    </row>
    <row r="362" spans="1:4" x14ac:dyDescent="0.2">
      <c r="A362" s="5" t="s">
        <v>66</v>
      </c>
      <c r="B362" s="5" t="s">
        <v>38</v>
      </c>
      <c r="C362" s="6" t="s">
        <v>13</v>
      </c>
      <c r="D362">
        <v>0.57691495035180462</v>
      </c>
    </row>
    <row r="363" spans="1:4" x14ac:dyDescent="0.2">
      <c r="A363" s="5" t="s">
        <v>66</v>
      </c>
      <c r="B363" s="5" t="s">
        <v>38</v>
      </c>
      <c r="C363" s="6" t="s">
        <v>14</v>
      </c>
      <c r="D363">
        <v>0.56857040140020942</v>
      </c>
    </row>
    <row r="364" spans="1:4" x14ac:dyDescent="0.2">
      <c r="A364" s="5" t="s">
        <v>66</v>
      </c>
      <c r="B364" s="5" t="s">
        <v>38</v>
      </c>
      <c r="C364" s="6" t="s">
        <v>15</v>
      </c>
      <c r="D364">
        <v>0.56034889724391546</v>
      </c>
    </row>
    <row r="365" spans="1:4" x14ac:dyDescent="0.2">
      <c r="A365" s="5" t="s">
        <v>66</v>
      </c>
      <c r="B365" s="5" t="s">
        <v>38</v>
      </c>
      <c r="C365" s="6" t="s">
        <v>16</v>
      </c>
      <c r="D365">
        <v>0.55224888851897147</v>
      </c>
    </row>
    <row r="366" spans="1:4" x14ac:dyDescent="0.2">
      <c r="A366" s="5" t="s">
        <v>66</v>
      </c>
      <c r="B366" s="5" t="s">
        <v>38</v>
      </c>
      <c r="C366" s="6" t="s">
        <v>17</v>
      </c>
      <c r="D366">
        <v>0.54299850179762732</v>
      </c>
    </row>
    <row r="367" spans="1:4" x14ac:dyDescent="0.2">
      <c r="A367" s="5" t="s">
        <v>66</v>
      </c>
      <c r="B367" s="5" t="s">
        <v>38</v>
      </c>
      <c r="C367" s="6" t="s">
        <v>18</v>
      </c>
      <c r="D367">
        <v>0.53390769698793872</v>
      </c>
    </row>
    <row r="368" spans="1:4" x14ac:dyDescent="0.2">
      <c r="A368" s="5" t="s">
        <v>66</v>
      </c>
      <c r="B368" s="5" t="s">
        <v>38</v>
      </c>
      <c r="C368" s="6" t="s">
        <v>19</v>
      </c>
      <c r="D368">
        <v>0.52497416679792919</v>
      </c>
    </row>
    <row r="369" spans="1:4" x14ac:dyDescent="0.2">
      <c r="A369" s="5" t="s">
        <v>66</v>
      </c>
      <c r="B369" s="5" t="s">
        <v>38</v>
      </c>
      <c r="C369" s="6" t="s">
        <v>20</v>
      </c>
      <c r="D369">
        <v>0.51619536053786019</v>
      </c>
    </row>
    <row r="370" spans="1:4" x14ac:dyDescent="0.2">
      <c r="A370" s="5" t="s">
        <v>66</v>
      </c>
      <c r="B370" s="5" t="s">
        <v>38</v>
      </c>
      <c r="C370" s="6" t="s">
        <v>21</v>
      </c>
      <c r="D370">
        <v>0.50756828732233317</v>
      </c>
    </row>
    <row r="371" spans="1:4" x14ac:dyDescent="0.2">
      <c r="A371" s="5" t="s">
        <v>66</v>
      </c>
      <c r="B371" s="5" t="s">
        <v>38</v>
      </c>
      <c r="C371" s="6" t="s">
        <v>22</v>
      </c>
      <c r="D371">
        <v>0.49909042012736027</v>
      </c>
    </row>
    <row r="372" spans="1:4" x14ac:dyDescent="0.2">
      <c r="A372" s="5" t="s">
        <v>66</v>
      </c>
      <c r="B372" s="5" t="s">
        <v>38</v>
      </c>
      <c r="C372" s="6" t="s">
        <v>23</v>
      </c>
      <c r="D372">
        <v>0.49075864440117584</v>
      </c>
    </row>
    <row r="373" spans="1:4" x14ac:dyDescent="0.2">
      <c r="A373" s="5" t="s">
        <v>66</v>
      </c>
      <c r="B373" s="5" t="s">
        <v>38</v>
      </c>
      <c r="C373" s="6" t="s">
        <v>24</v>
      </c>
      <c r="D373">
        <v>0.48257102553381664</v>
      </c>
    </row>
    <row r="374" spans="1:4" x14ac:dyDescent="0.2">
      <c r="A374" s="5" t="s">
        <v>66</v>
      </c>
      <c r="B374" s="5" t="s">
        <v>38</v>
      </c>
      <c r="C374" s="6" t="s">
        <v>25</v>
      </c>
      <c r="D374">
        <v>0.47452488794562564</v>
      </c>
    </row>
    <row r="375" spans="1:4" x14ac:dyDescent="0.2">
      <c r="A375" s="5" t="s">
        <v>66</v>
      </c>
      <c r="B375" s="5" t="s">
        <v>38</v>
      </c>
      <c r="C375" s="6" t="s">
        <v>26</v>
      </c>
      <c r="D375">
        <v>0.46661714272146038</v>
      </c>
    </row>
    <row r="376" spans="1:4" x14ac:dyDescent="0.2">
      <c r="A376" s="5" t="s">
        <v>66</v>
      </c>
      <c r="B376" s="5" t="s">
        <v>38</v>
      </c>
      <c r="C376" s="6" t="s">
        <v>27</v>
      </c>
      <c r="D376">
        <v>0.45726762881562361</v>
      </c>
    </row>
    <row r="377" spans="1:4" x14ac:dyDescent="0.2">
      <c r="A377" s="5" t="s">
        <v>66</v>
      </c>
      <c r="B377" s="5" t="s">
        <v>38</v>
      </c>
      <c r="C377" s="6" t="s">
        <v>28</v>
      </c>
      <c r="D377">
        <v>0.44811442145901981</v>
      </c>
    </row>
    <row r="378" spans="1:4" x14ac:dyDescent="0.2">
      <c r="A378" s="5" t="s">
        <v>66</v>
      </c>
      <c r="B378" s="5" t="s">
        <v>38</v>
      </c>
      <c r="C378" s="6" t="s">
        <v>29</v>
      </c>
      <c r="D378">
        <v>0.43915232999814807</v>
      </c>
    </row>
    <row r="379" spans="1:4" x14ac:dyDescent="0.2">
      <c r="A379" s="5" t="s">
        <v>66</v>
      </c>
      <c r="B379" s="5" t="s">
        <v>38</v>
      </c>
      <c r="C379" s="6" t="s">
        <v>30</v>
      </c>
      <c r="D379">
        <v>0.43037841972837193</v>
      </c>
    </row>
    <row r="380" spans="1:4" x14ac:dyDescent="0.2">
      <c r="A380" s="5" t="s">
        <v>66</v>
      </c>
      <c r="B380" s="5" t="s">
        <v>38</v>
      </c>
      <c r="C380" s="6" t="s">
        <v>31</v>
      </c>
      <c r="D380">
        <v>0.42178761874519899</v>
      </c>
    </row>
    <row r="381" spans="1:4" x14ac:dyDescent="0.2">
      <c r="A381" s="5" t="s">
        <v>66</v>
      </c>
      <c r="B381" s="5" t="s">
        <v>38</v>
      </c>
      <c r="C381" s="6" t="s">
        <v>32</v>
      </c>
      <c r="D381">
        <v>0.4133763903430086</v>
      </c>
    </row>
    <row r="382" spans="1:4" x14ac:dyDescent="0.2">
      <c r="A382" s="5" t="s">
        <v>66</v>
      </c>
      <c r="B382" s="5" t="s">
        <v>38</v>
      </c>
      <c r="C382" s="6" t="s">
        <v>33</v>
      </c>
      <c r="D382">
        <v>0.40514087711282276</v>
      </c>
    </row>
    <row r="383" spans="1:4" x14ac:dyDescent="0.2">
      <c r="A383" s="5" t="s">
        <v>66</v>
      </c>
      <c r="B383" s="5" t="s">
        <v>38</v>
      </c>
      <c r="C383" s="6" t="s">
        <v>34</v>
      </c>
      <c r="D383">
        <v>0.39707751052081475</v>
      </c>
    </row>
    <row r="384" spans="1:4" x14ac:dyDescent="0.2">
      <c r="A384" s="5" t="s">
        <v>66</v>
      </c>
      <c r="B384" s="5" t="s">
        <v>38</v>
      </c>
      <c r="C384" s="6" t="s">
        <v>35</v>
      </c>
      <c r="D384">
        <v>0.38918209264418729</v>
      </c>
    </row>
    <row r="385" spans="1:4" x14ac:dyDescent="0.2">
      <c r="A385" s="5" t="s">
        <v>66</v>
      </c>
      <c r="B385" s="1" t="s">
        <v>38</v>
      </c>
      <c r="C385" s="2" t="s">
        <v>36</v>
      </c>
      <c r="D385">
        <v>0.38145155370888173</v>
      </c>
    </row>
    <row r="386" spans="1:4" x14ac:dyDescent="0.2">
      <c r="A386" s="5" t="s">
        <v>66</v>
      </c>
      <c r="B386" s="5" t="s">
        <v>39</v>
      </c>
      <c r="C386" s="6" t="s">
        <v>5</v>
      </c>
      <c r="D386">
        <v>0.59995545923315674</v>
      </c>
    </row>
    <row r="387" spans="1:4" x14ac:dyDescent="0.2">
      <c r="A387" s="5" t="s">
        <v>66</v>
      </c>
      <c r="B387" s="5" t="s">
        <v>39</v>
      </c>
      <c r="C387" s="6" t="s">
        <v>6</v>
      </c>
      <c r="D387">
        <v>0.59028259897290014</v>
      </c>
    </row>
    <row r="388" spans="1:4" x14ac:dyDescent="0.2">
      <c r="A388" s="5" t="s">
        <v>66</v>
      </c>
      <c r="B388" s="5" t="s">
        <v>39</v>
      </c>
      <c r="C388" s="6" t="s">
        <v>7</v>
      </c>
      <c r="D388">
        <v>0.57976916810651058</v>
      </c>
    </row>
    <row r="389" spans="1:4" x14ac:dyDescent="0.2">
      <c r="A389" s="5" t="s">
        <v>66</v>
      </c>
      <c r="B389" s="5" t="s">
        <v>39</v>
      </c>
      <c r="C389" s="6" t="s">
        <v>8</v>
      </c>
      <c r="D389">
        <v>0.56944682471737518</v>
      </c>
    </row>
    <row r="390" spans="1:4" x14ac:dyDescent="0.2">
      <c r="A390" s="5" t="s">
        <v>66</v>
      </c>
      <c r="B390" s="5" t="s">
        <v>39</v>
      </c>
      <c r="C390" s="6" t="s">
        <v>9</v>
      </c>
      <c r="D390">
        <v>0.55931167857064501</v>
      </c>
    </row>
    <row r="391" spans="1:4" x14ac:dyDescent="0.2">
      <c r="A391" s="5" t="s">
        <v>66</v>
      </c>
      <c r="B391" s="5" t="s">
        <v>39</v>
      </c>
      <c r="C391" s="6" t="s">
        <v>10</v>
      </c>
      <c r="D391">
        <v>0.54936073776686223</v>
      </c>
    </row>
    <row r="392" spans="1:4" x14ac:dyDescent="0.2">
      <c r="A392" s="5" t="s">
        <v>66</v>
      </c>
      <c r="B392" s="5" t="s">
        <v>39</v>
      </c>
      <c r="C392" s="6" t="s">
        <v>11</v>
      </c>
      <c r="D392">
        <v>0.53959004862194337</v>
      </c>
    </row>
    <row r="393" spans="1:4" x14ac:dyDescent="0.2">
      <c r="A393" s="5" t="s">
        <v>66</v>
      </c>
      <c r="B393" s="5" t="s">
        <v>39</v>
      </c>
      <c r="C393" s="6" t="s">
        <v>12</v>
      </c>
      <c r="D393">
        <v>0.52999646433315506</v>
      </c>
    </row>
    <row r="394" spans="1:4" x14ac:dyDescent="0.2">
      <c r="A394" s="5" t="s">
        <v>66</v>
      </c>
      <c r="B394" s="5" t="s">
        <v>39</v>
      </c>
      <c r="C394" s="6" t="s">
        <v>13</v>
      </c>
      <c r="D394">
        <v>0.52057701485278163</v>
      </c>
    </row>
    <row r="395" spans="1:4" x14ac:dyDescent="0.2">
      <c r="A395" s="5" t="s">
        <v>66</v>
      </c>
      <c r="B395" s="5" t="s">
        <v>39</v>
      </c>
      <c r="C395" s="6" t="s">
        <v>14</v>
      </c>
      <c r="D395">
        <v>0.51132842106505916</v>
      </c>
    </row>
    <row r="396" spans="1:4" x14ac:dyDescent="0.2">
      <c r="A396" s="5" t="s">
        <v>66</v>
      </c>
      <c r="B396" s="5" t="s">
        <v>39</v>
      </c>
      <c r="C396" s="6" t="s">
        <v>15</v>
      </c>
      <c r="D396">
        <v>0.50224724742282478</v>
      </c>
    </row>
    <row r="397" spans="1:4" x14ac:dyDescent="0.2">
      <c r="A397" s="5" t="s">
        <v>66</v>
      </c>
      <c r="B397" s="5" t="s">
        <v>39</v>
      </c>
      <c r="C397" s="6" t="s">
        <v>16</v>
      </c>
      <c r="D397">
        <v>0.49333060939350093</v>
      </c>
    </row>
    <row r="398" spans="1:4" x14ac:dyDescent="0.2">
      <c r="A398" s="5" t="s">
        <v>66</v>
      </c>
      <c r="B398" s="5" t="s">
        <v>39</v>
      </c>
      <c r="C398" s="6" t="s">
        <v>17</v>
      </c>
      <c r="D398">
        <v>0.48274284493783531</v>
      </c>
    </row>
    <row r="399" spans="1:4" x14ac:dyDescent="0.2">
      <c r="A399" s="5" t="s">
        <v>66</v>
      </c>
      <c r="B399" s="5" t="s">
        <v>39</v>
      </c>
      <c r="C399" s="6" t="s">
        <v>18</v>
      </c>
      <c r="D399">
        <v>0.47239008742077265</v>
      </c>
    </row>
    <row r="400" spans="1:4" x14ac:dyDescent="0.2">
      <c r="A400" s="5" t="s">
        <v>66</v>
      </c>
      <c r="B400" s="5" t="s">
        <v>39</v>
      </c>
      <c r="C400" s="6" t="s">
        <v>19</v>
      </c>
      <c r="D400">
        <v>0.46226732401022569</v>
      </c>
    </row>
    <row r="401" spans="1:4" x14ac:dyDescent="0.2">
      <c r="A401" s="5" t="s">
        <v>66</v>
      </c>
      <c r="B401" s="5" t="s">
        <v>39</v>
      </c>
      <c r="C401" s="6" t="s">
        <v>20</v>
      </c>
      <c r="D401">
        <v>0.45236895985591835</v>
      </c>
    </row>
    <row r="402" spans="1:4" x14ac:dyDescent="0.2">
      <c r="A402" s="5" t="s">
        <v>66</v>
      </c>
      <c r="B402" s="5" t="s">
        <v>39</v>
      </c>
      <c r="C402" s="6" t="s">
        <v>21</v>
      </c>
      <c r="D402">
        <v>0.44269019823695532</v>
      </c>
    </row>
    <row r="403" spans="1:4" x14ac:dyDescent="0.2">
      <c r="A403" s="5" t="s">
        <v>66</v>
      </c>
      <c r="B403" s="5" t="s">
        <v>39</v>
      </c>
      <c r="C403" s="6" t="s">
        <v>22</v>
      </c>
      <c r="D403">
        <v>0.43322586050565559</v>
      </c>
    </row>
    <row r="404" spans="1:4" x14ac:dyDescent="0.2">
      <c r="A404" s="5" t="s">
        <v>66</v>
      </c>
      <c r="B404" s="5" t="s">
        <v>39</v>
      </c>
      <c r="C404" s="6" t="s">
        <v>23</v>
      </c>
      <c r="D404">
        <v>0.42397123370873419</v>
      </c>
    </row>
    <row r="405" spans="1:4" x14ac:dyDescent="0.2">
      <c r="A405" s="5" t="s">
        <v>66</v>
      </c>
      <c r="B405" s="5" t="s">
        <v>39</v>
      </c>
      <c r="C405" s="6" t="s">
        <v>24</v>
      </c>
      <c r="D405">
        <v>0.41492130686654016</v>
      </c>
    </row>
    <row r="406" spans="1:4" x14ac:dyDescent="0.2">
      <c r="A406" s="5" t="s">
        <v>66</v>
      </c>
      <c r="B406" s="5" t="s">
        <v>39</v>
      </c>
      <c r="C406" s="6" t="s">
        <v>25</v>
      </c>
      <c r="D406">
        <v>0.40607182077368748</v>
      </c>
    </row>
    <row r="407" spans="1:4" x14ac:dyDescent="0.2">
      <c r="A407" s="5" t="s">
        <v>66</v>
      </c>
      <c r="B407" s="5" t="s">
        <v>39</v>
      </c>
      <c r="C407" s="6" t="s">
        <v>26</v>
      </c>
      <c r="D407">
        <v>0.39741778136267358</v>
      </c>
    </row>
    <row r="408" spans="1:4" x14ac:dyDescent="0.2">
      <c r="A408" s="5" t="s">
        <v>66</v>
      </c>
      <c r="B408" s="5" t="s">
        <v>39</v>
      </c>
      <c r="C408" s="6" t="s">
        <v>27</v>
      </c>
      <c r="D408">
        <v>0.3868513187621509</v>
      </c>
    </row>
    <row r="409" spans="1:4" x14ac:dyDescent="0.2">
      <c r="A409" s="5" t="s">
        <v>66</v>
      </c>
      <c r="B409" s="5" t="s">
        <v>39</v>
      </c>
      <c r="C409" s="6" t="s">
        <v>28</v>
      </c>
      <c r="D409">
        <v>0.37658273753632526</v>
      </c>
    </row>
    <row r="410" spans="1:4" x14ac:dyDescent="0.2">
      <c r="A410" s="5" t="s">
        <v>66</v>
      </c>
      <c r="B410" s="5" t="s">
        <v>39</v>
      </c>
      <c r="C410" s="6" t="s">
        <v>29</v>
      </c>
      <c r="D410">
        <v>0.36660352456493861</v>
      </c>
    </row>
    <row r="411" spans="1:4" x14ac:dyDescent="0.2">
      <c r="A411" s="5" t="s">
        <v>66</v>
      </c>
      <c r="B411" s="5" t="s">
        <v>39</v>
      </c>
      <c r="C411" s="6" t="s">
        <v>30</v>
      </c>
      <c r="D411">
        <v>0.35690494128446792</v>
      </c>
    </row>
    <row r="412" spans="1:4" x14ac:dyDescent="0.2">
      <c r="A412" s="5" t="s">
        <v>66</v>
      </c>
      <c r="B412" s="5" t="s">
        <v>39</v>
      </c>
      <c r="C412" s="6" t="s">
        <v>31</v>
      </c>
      <c r="D412">
        <v>0.34747866898418722</v>
      </c>
    </row>
    <row r="413" spans="1:4" x14ac:dyDescent="0.2">
      <c r="A413" s="5" t="s">
        <v>66</v>
      </c>
      <c r="B413" s="5" t="s">
        <v>39</v>
      </c>
      <c r="C413" s="6" t="s">
        <v>32</v>
      </c>
      <c r="D413">
        <v>0.33831704017770664</v>
      </c>
    </row>
    <row r="414" spans="1:4" x14ac:dyDescent="0.2">
      <c r="A414" s="5" t="s">
        <v>66</v>
      </c>
      <c r="B414" s="5" t="s">
        <v>39</v>
      </c>
      <c r="C414" s="6" t="s">
        <v>33</v>
      </c>
      <c r="D414">
        <v>0.32941175780920839</v>
      </c>
    </row>
    <row r="415" spans="1:4" x14ac:dyDescent="0.2">
      <c r="A415" s="5" t="s">
        <v>66</v>
      </c>
      <c r="B415" s="5" t="s">
        <v>39</v>
      </c>
      <c r="C415" s="6" t="s">
        <v>34</v>
      </c>
      <c r="D415">
        <v>0.32075610735741578</v>
      </c>
    </row>
    <row r="416" spans="1:4" x14ac:dyDescent="0.2">
      <c r="A416" s="5" t="s">
        <v>66</v>
      </c>
      <c r="B416" s="5" t="s">
        <v>39</v>
      </c>
      <c r="C416" s="6" t="s">
        <v>35</v>
      </c>
      <c r="D416">
        <v>0.31234254689945901</v>
      </c>
    </row>
    <row r="417" spans="1:4" x14ac:dyDescent="0.2">
      <c r="A417" s="5" t="s">
        <v>66</v>
      </c>
      <c r="B417" s="1" t="s">
        <v>39</v>
      </c>
      <c r="C417" s="2" t="s">
        <v>36</v>
      </c>
      <c r="D417">
        <v>0.30416354276570617</v>
      </c>
    </row>
    <row r="418" spans="1:4" x14ac:dyDescent="0.2">
      <c r="A418" s="5" t="s">
        <v>66</v>
      </c>
      <c r="B418" s="5" t="s">
        <v>40</v>
      </c>
      <c r="C418" s="6" t="s">
        <v>5</v>
      </c>
      <c r="D418">
        <v>0.68331725674758559</v>
      </c>
    </row>
    <row r="419" spans="1:4" x14ac:dyDescent="0.2">
      <c r="A419" s="5" t="s">
        <v>66</v>
      </c>
      <c r="B419" s="5" t="s">
        <v>40</v>
      </c>
      <c r="C419" s="6" t="s">
        <v>6</v>
      </c>
      <c r="D419">
        <v>0.67572602949843941</v>
      </c>
    </row>
    <row r="420" spans="1:4" x14ac:dyDescent="0.2">
      <c r="A420" s="5" t="s">
        <v>66</v>
      </c>
      <c r="B420" s="5" t="s">
        <v>40</v>
      </c>
      <c r="C420" s="6" t="s">
        <v>7</v>
      </c>
      <c r="D420">
        <v>0.66765488459774902</v>
      </c>
    </row>
    <row r="421" spans="1:4" x14ac:dyDescent="0.2">
      <c r="A421" s="5" t="s">
        <v>66</v>
      </c>
      <c r="B421" s="5" t="s">
        <v>40</v>
      </c>
      <c r="C421" s="6" t="s">
        <v>8</v>
      </c>
      <c r="D421">
        <v>0.6596910921058784</v>
      </c>
    </row>
    <row r="422" spans="1:4" x14ac:dyDescent="0.2">
      <c r="A422" s="5" t="s">
        <v>66</v>
      </c>
      <c r="B422" s="5" t="s">
        <v>40</v>
      </c>
      <c r="C422" s="6" t="s">
        <v>9</v>
      </c>
      <c r="D422">
        <v>0.65183328252317974</v>
      </c>
    </row>
    <row r="423" spans="1:4" x14ac:dyDescent="0.2">
      <c r="A423" s="5" t="s">
        <v>66</v>
      </c>
      <c r="B423" s="5" t="s">
        <v>40</v>
      </c>
      <c r="C423" s="6" t="s">
        <v>10</v>
      </c>
      <c r="D423">
        <v>0.64407996523341737</v>
      </c>
    </row>
    <row r="424" spans="1:4" x14ac:dyDescent="0.2">
      <c r="A424" s="5" t="s">
        <v>66</v>
      </c>
      <c r="B424" s="5" t="s">
        <v>40</v>
      </c>
      <c r="C424" s="6" t="s">
        <v>11</v>
      </c>
      <c r="D424">
        <v>0.63642945985240229</v>
      </c>
    </row>
    <row r="425" spans="1:4" x14ac:dyDescent="0.2">
      <c r="A425" s="5" t="s">
        <v>66</v>
      </c>
      <c r="B425" s="5" t="s">
        <v>40</v>
      </c>
      <c r="C425" s="6" t="s">
        <v>12</v>
      </c>
      <c r="D425">
        <v>0.62888064434571633</v>
      </c>
    </row>
    <row r="426" spans="1:4" x14ac:dyDescent="0.2">
      <c r="A426" s="5" t="s">
        <v>66</v>
      </c>
      <c r="B426" s="5" t="s">
        <v>40</v>
      </c>
      <c r="C426" s="6" t="s">
        <v>13</v>
      </c>
      <c r="D426">
        <v>0.62143182877535552</v>
      </c>
    </row>
    <row r="427" spans="1:4" x14ac:dyDescent="0.2">
      <c r="A427" s="5" t="s">
        <v>66</v>
      </c>
      <c r="B427" s="5" t="s">
        <v>40</v>
      </c>
      <c r="C427" s="6" t="s">
        <v>14</v>
      </c>
      <c r="D427">
        <v>0.61408158272275792</v>
      </c>
    </row>
    <row r="428" spans="1:4" x14ac:dyDescent="0.2">
      <c r="A428" s="5" t="s">
        <v>66</v>
      </c>
      <c r="B428" s="5" t="s">
        <v>40</v>
      </c>
      <c r="C428" s="6" t="s">
        <v>15</v>
      </c>
      <c r="D428">
        <v>0.60682876491861459</v>
      </c>
    </row>
    <row r="429" spans="1:4" x14ac:dyDescent="0.2">
      <c r="A429" s="5" t="s">
        <v>66</v>
      </c>
      <c r="B429" s="5" t="s">
        <v>40</v>
      </c>
      <c r="C429" s="6" t="s">
        <v>16</v>
      </c>
      <c r="D429">
        <v>0.59967151072425839</v>
      </c>
    </row>
    <row r="430" spans="1:4" x14ac:dyDescent="0.2">
      <c r="A430" s="5" t="s">
        <v>66</v>
      </c>
      <c r="B430" s="5" t="s">
        <v>40</v>
      </c>
      <c r="C430" s="6" t="s">
        <v>17</v>
      </c>
      <c r="D430">
        <v>0.59158944431835336</v>
      </c>
    </row>
    <row r="431" spans="1:4" x14ac:dyDescent="0.2">
      <c r="A431" s="5" t="s">
        <v>66</v>
      </c>
      <c r="B431" s="5" t="s">
        <v>40</v>
      </c>
      <c r="C431" s="6" t="s">
        <v>18</v>
      </c>
      <c r="D431">
        <v>0.58363241446359415</v>
      </c>
    </row>
    <row r="432" spans="1:4" x14ac:dyDescent="0.2">
      <c r="A432" s="5" t="s">
        <v>66</v>
      </c>
      <c r="B432" s="5" t="s">
        <v>40</v>
      </c>
      <c r="C432" s="6" t="s">
        <v>19</v>
      </c>
      <c r="D432">
        <v>0.57579815528909517</v>
      </c>
    </row>
    <row r="433" spans="1:4" x14ac:dyDescent="0.2">
      <c r="A433" s="5" t="s">
        <v>66</v>
      </c>
      <c r="B433" s="5" t="s">
        <v>40</v>
      </c>
      <c r="C433" s="6" t="s">
        <v>20</v>
      </c>
      <c r="D433">
        <v>0.56808446457509243</v>
      </c>
    </row>
    <row r="434" spans="1:4" x14ac:dyDescent="0.2">
      <c r="A434" s="5" t="s">
        <v>66</v>
      </c>
      <c r="B434" s="5" t="s">
        <v>40</v>
      </c>
      <c r="C434" s="6" t="s">
        <v>21</v>
      </c>
      <c r="D434">
        <v>0.56048928814280952</v>
      </c>
    </row>
    <row r="435" spans="1:4" x14ac:dyDescent="0.2">
      <c r="A435" s="5" t="s">
        <v>66</v>
      </c>
      <c r="B435" s="5" t="s">
        <v>40</v>
      </c>
      <c r="C435" s="6" t="s">
        <v>22</v>
      </c>
      <c r="D435">
        <v>0.5530113876223598</v>
      </c>
    </row>
    <row r="436" spans="1:4" x14ac:dyDescent="0.2">
      <c r="A436" s="5" t="s">
        <v>66</v>
      </c>
      <c r="B436" s="5" t="s">
        <v>40</v>
      </c>
      <c r="C436" s="6" t="s">
        <v>23</v>
      </c>
      <c r="D436">
        <v>0.5456480464639748</v>
      </c>
    </row>
    <row r="437" spans="1:4" x14ac:dyDescent="0.2">
      <c r="A437" s="5" t="s">
        <v>66</v>
      </c>
      <c r="B437" s="5" t="s">
        <v>40</v>
      </c>
      <c r="C437" s="6" t="s">
        <v>24</v>
      </c>
      <c r="D437">
        <v>0.53839757243366826</v>
      </c>
    </row>
    <row r="438" spans="1:4" x14ac:dyDescent="0.2">
      <c r="A438" s="5" t="s">
        <v>66</v>
      </c>
      <c r="B438" s="5" t="s">
        <v>40</v>
      </c>
      <c r="C438" s="6" t="s">
        <v>25</v>
      </c>
      <c r="D438">
        <v>0.53125788096112747</v>
      </c>
    </row>
    <row r="439" spans="1:4" x14ac:dyDescent="0.2">
      <c r="A439" s="5" t="s">
        <v>66</v>
      </c>
      <c r="B439" s="5" t="s">
        <v>40</v>
      </c>
      <c r="C439" s="6" t="s">
        <v>26</v>
      </c>
      <c r="D439">
        <v>0.52422760624192211</v>
      </c>
    </row>
    <row r="440" spans="1:4" x14ac:dyDescent="0.2">
      <c r="A440" s="5" t="s">
        <v>66</v>
      </c>
      <c r="B440" s="5" t="s">
        <v>40</v>
      </c>
      <c r="C440" s="6" t="s">
        <v>27</v>
      </c>
      <c r="D440">
        <v>0.51616880034569745</v>
      </c>
    </row>
    <row r="441" spans="1:4" x14ac:dyDescent="0.2">
      <c r="A441" s="5" t="s">
        <v>66</v>
      </c>
      <c r="B441" s="5" t="s">
        <v>40</v>
      </c>
      <c r="C441" s="6" t="s">
        <v>28</v>
      </c>
      <c r="D441">
        <v>0.50825640990272614</v>
      </c>
    </row>
    <row r="442" spans="1:4" x14ac:dyDescent="0.2">
      <c r="A442" s="5" t="s">
        <v>66</v>
      </c>
      <c r="B442" s="5" t="s">
        <v>40</v>
      </c>
      <c r="C442" s="6" t="s">
        <v>29</v>
      </c>
      <c r="D442">
        <v>0.50048780252831515</v>
      </c>
    </row>
    <row r="443" spans="1:4" x14ac:dyDescent="0.2">
      <c r="A443" s="5" t="s">
        <v>66</v>
      </c>
      <c r="B443" s="5" t="s">
        <v>40</v>
      </c>
      <c r="C443" s="6" t="s">
        <v>30</v>
      </c>
      <c r="D443">
        <v>0.49286014277334439</v>
      </c>
    </row>
    <row r="444" spans="1:4" x14ac:dyDescent="0.2">
      <c r="A444" s="5" t="s">
        <v>66</v>
      </c>
      <c r="B444" s="5" t="s">
        <v>40</v>
      </c>
      <c r="C444" s="6" t="s">
        <v>31</v>
      </c>
      <c r="D444">
        <v>0.4853702944499928</v>
      </c>
    </row>
    <row r="445" spans="1:4" x14ac:dyDescent="0.2">
      <c r="A445" s="5" t="s">
        <v>66</v>
      </c>
      <c r="B445" s="5" t="s">
        <v>40</v>
      </c>
      <c r="C445" s="6" t="s">
        <v>32</v>
      </c>
      <c r="D445">
        <v>0.47801583572668804</v>
      </c>
    </row>
    <row r="446" spans="1:4" x14ac:dyDescent="0.2">
      <c r="A446" s="5" t="s">
        <v>66</v>
      </c>
      <c r="B446" s="5" t="s">
        <v>40</v>
      </c>
      <c r="C446" s="6" t="s">
        <v>33</v>
      </c>
      <c r="D446">
        <v>0.47079396202103879</v>
      </c>
    </row>
    <row r="447" spans="1:4" x14ac:dyDescent="0.2">
      <c r="A447" s="5" t="s">
        <v>66</v>
      </c>
      <c r="B447" s="5" t="s">
        <v>40</v>
      </c>
      <c r="C447" s="6" t="s">
        <v>34</v>
      </c>
      <c r="D447">
        <v>0.46370194862664094</v>
      </c>
    </row>
    <row r="448" spans="1:4" x14ac:dyDescent="0.2">
      <c r="A448" s="5" t="s">
        <v>66</v>
      </c>
      <c r="B448" s="5" t="s">
        <v>40</v>
      </c>
      <c r="C448" s="6" t="s">
        <v>35</v>
      </c>
      <c r="D448">
        <v>0.4567373507223686</v>
      </c>
    </row>
    <row r="449" spans="1:4" x14ac:dyDescent="0.2">
      <c r="A449" s="5" t="s">
        <v>66</v>
      </c>
      <c r="B449" s="1" t="s">
        <v>40</v>
      </c>
      <c r="C449" s="2" t="s">
        <v>36</v>
      </c>
      <c r="D449">
        <v>0.44989755845441337</v>
      </c>
    </row>
    <row r="450" spans="1:4" x14ac:dyDescent="0.2">
      <c r="A450" s="5" t="s">
        <v>66</v>
      </c>
      <c r="B450" s="5" t="s">
        <v>41</v>
      </c>
      <c r="C450" s="6" t="s">
        <v>5</v>
      </c>
      <c r="D450">
        <v>0.69860004752248117</v>
      </c>
    </row>
    <row r="451" spans="1:4" x14ac:dyDescent="0.2">
      <c r="A451" s="5" t="s">
        <v>66</v>
      </c>
      <c r="B451" s="5" t="s">
        <v>41</v>
      </c>
      <c r="C451" s="6" t="s">
        <v>6</v>
      </c>
      <c r="D451">
        <v>0.69135849966007301</v>
      </c>
    </row>
    <row r="452" spans="1:4" x14ac:dyDescent="0.2">
      <c r="A452" s="5" t="s">
        <v>66</v>
      </c>
      <c r="B452" s="5" t="s">
        <v>41</v>
      </c>
      <c r="C452" s="6" t="s">
        <v>7</v>
      </c>
      <c r="D452">
        <v>0.68368174664296677</v>
      </c>
    </row>
    <row r="453" spans="1:4" x14ac:dyDescent="0.2">
      <c r="A453" s="5" t="s">
        <v>66</v>
      </c>
      <c r="B453" s="5" t="s">
        <v>41</v>
      </c>
      <c r="C453" s="6" t="s">
        <v>8</v>
      </c>
      <c r="D453">
        <v>0.67610396909254711</v>
      </c>
    </row>
    <row r="454" spans="1:4" x14ac:dyDescent="0.2">
      <c r="A454" s="5" t="s">
        <v>66</v>
      </c>
      <c r="B454" s="5" t="s">
        <v>41</v>
      </c>
      <c r="C454" s="6" t="s">
        <v>9</v>
      </c>
      <c r="D454">
        <v>0.6686234124873599</v>
      </c>
    </row>
    <row r="455" spans="1:4" x14ac:dyDescent="0.2">
      <c r="A455" s="5" t="s">
        <v>66</v>
      </c>
      <c r="B455" s="5" t="s">
        <v>41</v>
      </c>
      <c r="C455" s="6" t="s">
        <v>10</v>
      </c>
      <c r="D455">
        <v>0.66123849875875684</v>
      </c>
    </row>
    <row r="456" spans="1:4" x14ac:dyDescent="0.2">
      <c r="A456" s="5" t="s">
        <v>66</v>
      </c>
      <c r="B456" s="5" t="s">
        <v>41</v>
      </c>
      <c r="C456" s="6" t="s">
        <v>11</v>
      </c>
      <c r="D456">
        <v>0.65394828336792199</v>
      </c>
    </row>
    <row r="457" spans="1:4" x14ac:dyDescent="0.2">
      <c r="A457" s="5" t="s">
        <v>66</v>
      </c>
      <c r="B457" s="5" t="s">
        <v>41</v>
      </c>
      <c r="C457" s="6" t="s">
        <v>12</v>
      </c>
      <c r="D457">
        <v>0.64675161054022234</v>
      </c>
    </row>
    <row r="458" spans="1:4" x14ac:dyDescent="0.2">
      <c r="A458" s="5" t="s">
        <v>66</v>
      </c>
      <c r="B458" s="5" t="s">
        <v>41</v>
      </c>
      <c r="C458" s="6" t="s">
        <v>13</v>
      </c>
      <c r="D458">
        <v>0.63964678661943819</v>
      </c>
    </row>
    <row r="459" spans="1:4" x14ac:dyDescent="0.2">
      <c r="A459" s="5" t="s">
        <v>66</v>
      </c>
      <c r="B459" s="5" t="s">
        <v>41</v>
      </c>
      <c r="C459" s="6" t="s">
        <v>14</v>
      </c>
      <c r="D459">
        <v>0.63263245225133846</v>
      </c>
    </row>
    <row r="460" spans="1:4" x14ac:dyDescent="0.2">
      <c r="A460" s="5" t="s">
        <v>66</v>
      </c>
      <c r="B460" s="5" t="s">
        <v>41</v>
      </c>
      <c r="C460" s="6" t="s">
        <v>15</v>
      </c>
      <c r="D460">
        <v>0.6257072767703119</v>
      </c>
    </row>
    <row r="461" spans="1:4" x14ac:dyDescent="0.2">
      <c r="A461" s="5" t="s">
        <v>66</v>
      </c>
      <c r="B461" s="5" t="s">
        <v>41</v>
      </c>
      <c r="C461" s="6" t="s">
        <v>16</v>
      </c>
      <c r="D461">
        <v>0.61887031059554654</v>
      </c>
    </row>
    <row r="462" spans="1:4" x14ac:dyDescent="0.2">
      <c r="A462" s="5" t="s">
        <v>66</v>
      </c>
      <c r="B462" s="5" t="s">
        <v>41</v>
      </c>
      <c r="C462" s="6" t="s">
        <v>17</v>
      </c>
      <c r="D462">
        <v>0.61118852972015847</v>
      </c>
    </row>
    <row r="463" spans="1:4" x14ac:dyDescent="0.2">
      <c r="A463" s="5" t="s">
        <v>66</v>
      </c>
      <c r="B463" s="5" t="s">
        <v>41</v>
      </c>
      <c r="C463" s="6" t="s">
        <v>18</v>
      </c>
      <c r="D463">
        <v>0.60362197996829481</v>
      </c>
    </row>
    <row r="464" spans="1:4" x14ac:dyDescent="0.2">
      <c r="A464" s="5" t="s">
        <v>66</v>
      </c>
      <c r="B464" s="5" t="s">
        <v>41</v>
      </c>
      <c r="C464" s="6" t="s">
        <v>19</v>
      </c>
      <c r="D464">
        <v>0.59616860053621223</v>
      </c>
    </row>
    <row r="465" spans="1:4" x14ac:dyDescent="0.2">
      <c r="A465" s="5" t="s">
        <v>66</v>
      </c>
      <c r="B465" s="5" t="s">
        <v>41</v>
      </c>
      <c r="C465" s="6" t="s">
        <v>20</v>
      </c>
      <c r="D465">
        <v>0.58882655949535401</v>
      </c>
    </row>
    <row r="466" spans="1:4" x14ac:dyDescent="0.2">
      <c r="A466" s="5" t="s">
        <v>66</v>
      </c>
      <c r="B466" s="5" t="s">
        <v>41</v>
      </c>
      <c r="C466" s="6" t="s">
        <v>21</v>
      </c>
      <c r="D466">
        <v>0.58159380988077447</v>
      </c>
    </row>
    <row r="467" spans="1:4" x14ac:dyDescent="0.2">
      <c r="A467" s="5" t="s">
        <v>66</v>
      </c>
      <c r="B467" s="5" t="s">
        <v>41</v>
      </c>
      <c r="C467" s="6" t="s">
        <v>22</v>
      </c>
      <c r="D467">
        <v>0.57446886699300059</v>
      </c>
    </row>
    <row r="468" spans="1:4" x14ac:dyDescent="0.2">
      <c r="A468" s="5" t="s">
        <v>66</v>
      </c>
      <c r="B468" s="5" t="s">
        <v>41</v>
      </c>
      <c r="C468" s="6" t="s">
        <v>23</v>
      </c>
      <c r="D468">
        <v>0.56744899539156368</v>
      </c>
    </row>
    <row r="469" spans="1:4" x14ac:dyDescent="0.2">
      <c r="A469" s="5" t="s">
        <v>66</v>
      </c>
      <c r="B469" s="5" t="s">
        <v>41</v>
      </c>
      <c r="C469" s="6" t="s">
        <v>24</v>
      </c>
      <c r="D469">
        <v>0.56053332639419273</v>
      </c>
    </row>
    <row r="470" spans="1:4" x14ac:dyDescent="0.2">
      <c r="A470" s="5" t="s">
        <v>66</v>
      </c>
      <c r="B470" s="5" t="s">
        <v>41</v>
      </c>
      <c r="C470" s="6" t="s">
        <v>25</v>
      </c>
      <c r="D470">
        <v>0.55371965953802971</v>
      </c>
    </row>
    <row r="471" spans="1:4" x14ac:dyDescent="0.2">
      <c r="A471" s="5" t="s">
        <v>66</v>
      </c>
      <c r="B471" s="5" t="s">
        <v>41</v>
      </c>
      <c r="C471" s="6" t="s">
        <v>26</v>
      </c>
      <c r="D471">
        <v>0.54700663589353937</v>
      </c>
    </row>
    <row r="472" spans="1:4" x14ac:dyDescent="0.2">
      <c r="A472" s="5" t="s">
        <v>66</v>
      </c>
      <c r="B472" s="5" t="s">
        <v>41</v>
      </c>
      <c r="C472" s="6" t="s">
        <v>27</v>
      </c>
      <c r="D472">
        <v>0.53925874935910456</v>
      </c>
    </row>
    <row r="473" spans="1:4" x14ac:dyDescent="0.2">
      <c r="A473" s="5" t="s">
        <v>66</v>
      </c>
      <c r="B473" s="5" t="s">
        <v>41</v>
      </c>
      <c r="C473" s="6" t="s">
        <v>28</v>
      </c>
      <c r="D473">
        <v>0.53165199496223736</v>
      </c>
    </row>
    <row r="474" spans="1:4" x14ac:dyDescent="0.2">
      <c r="A474" s="5" t="s">
        <v>66</v>
      </c>
      <c r="B474" s="5" t="s">
        <v>41</v>
      </c>
      <c r="C474" s="6" t="s">
        <v>29</v>
      </c>
      <c r="D474">
        <v>0.52418265428167021</v>
      </c>
    </row>
    <row r="475" spans="1:4" x14ac:dyDescent="0.2">
      <c r="A475" s="5" t="s">
        <v>66</v>
      </c>
      <c r="B475" s="5" t="s">
        <v>41</v>
      </c>
      <c r="C475" s="6" t="s">
        <v>30</v>
      </c>
      <c r="D475">
        <v>0.51684819506529989</v>
      </c>
    </row>
    <row r="476" spans="1:4" x14ac:dyDescent="0.2">
      <c r="A476" s="5" t="s">
        <v>66</v>
      </c>
      <c r="B476" s="5" t="s">
        <v>41</v>
      </c>
      <c r="C476" s="6" t="s">
        <v>31</v>
      </c>
      <c r="D476">
        <v>0.50964548680448007</v>
      </c>
    </row>
    <row r="477" spans="1:4" x14ac:dyDescent="0.2">
      <c r="A477" s="5" t="s">
        <v>66</v>
      </c>
      <c r="B477" s="5" t="s">
        <v>41</v>
      </c>
      <c r="C477" s="6" t="s">
        <v>32</v>
      </c>
      <c r="D477">
        <v>0.50257189691162207</v>
      </c>
    </row>
    <row r="478" spans="1:4" x14ac:dyDescent="0.2">
      <c r="A478" s="5" t="s">
        <v>66</v>
      </c>
      <c r="B478" s="5" t="s">
        <v>41</v>
      </c>
      <c r="C478" s="6" t="s">
        <v>33</v>
      </c>
      <c r="D478">
        <v>0.49562450079229026</v>
      </c>
    </row>
    <row r="479" spans="1:4" x14ac:dyDescent="0.2">
      <c r="A479" s="5" t="s">
        <v>66</v>
      </c>
      <c r="B479" s="5" t="s">
        <v>41</v>
      </c>
      <c r="C479" s="6" t="s">
        <v>34</v>
      </c>
      <c r="D479">
        <v>0.48880099848562719</v>
      </c>
    </row>
    <row r="480" spans="1:4" x14ac:dyDescent="0.2">
      <c r="A480" s="5" t="s">
        <v>66</v>
      </c>
      <c r="B480" s="5" t="s">
        <v>41</v>
      </c>
      <c r="C480" s="6" t="s">
        <v>35</v>
      </c>
      <c r="D480">
        <v>0.48209790800509877</v>
      </c>
    </row>
    <row r="481" spans="1:4" x14ac:dyDescent="0.2">
      <c r="A481" s="5" t="s">
        <v>66</v>
      </c>
      <c r="B481" s="1" t="s">
        <v>41</v>
      </c>
      <c r="C481" s="2" t="s">
        <v>36</v>
      </c>
      <c r="D481">
        <v>0.47551354304313653</v>
      </c>
    </row>
    <row r="482" spans="1:4" x14ac:dyDescent="0.2">
      <c r="A482" s="5" t="s">
        <v>66</v>
      </c>
      <c r="B482" s="5" t="s">
        <v>42</v>
      </c>
      <c r="C482" s="6" t="s">
        <v>5</v>
      </c>
      <c r="D482">
        <v>0.61666351270460362</v>
      </c>
    </row>
    <row r="483" spans="1:4" x14ac:dyDescent="0.2">
      <c r="A483" s="5" t="s">
        <v>66</v>
      </c>
      <c r="B483" s="5" t="s">
        <v>42</v>
      </c>
      <c r="C483" s="6" t="s">
        <v>6</v>
      </c>
      <c r="D483">
        <v>0.60948131964131147</v>
      </c>
    </row>
    <row r="484" spans="1:4" x14ac:dyDescent="0.2">
      <c r="A484" s="5" t="s">
        <v>66</v>
      </c>
      <c r="B484" s="5" t="s">
        <v>42</v>
      </c>
      <c r="C484" s="6" t="s">
        <v>7</v>
      </c>
      <c r="D484">
        <v>0.60172770075561366</v>
      </c>
    </row>
    <row r="485" spans="1:4" x14ac:dyDescent="0.2">
      <c r="A485" s="5" t="s">
        <v>66</v>
      </c>
      <c r="B485" s="5" t="s">
        <v>42</v>
      </c>
      <c r="C485" s="6" t="s">
        <v>8</v>
      </c>
      <c r="D485">
        <v>0.59410535762628292</v>
      </c>
    </row>
    <row r="486" spans="1:4" x14ac:dyDescent="0.2">
      <c r="A486" s="5" t="s">
        <v>66</v>
      </c>
      <c r="B486" s="5" t="s">
        <v>42</v>
      </c>
      <c r="C486" s="6" t="s">
        <v>9</v>
      </c>
      <c r="D486">
        <v>0.58661203300264642</v>
      </c>
    </row>
    <row r="487" spans="1:4" x14ac:dyDescent="0.2">
      <c r="A487" s="5" t="s">
        <v>66</v>
      </c>
      <c r="B487" s="5" t="s">
        <v>42</v>
      </c>
      <c r="C487" s="6" t="s">
        <v>10</v>
      </c>
      <c r="D487">
        <v>0.5792454810391322</v>
      </c>
    </row>
    <row r="488" spans="1:4" x14ac:dyDescent="0.2">
      <c r="A488" s="5" t="s">
        <v>66</v>
      </c>
      <c r="B488" s="5" t="s">
        <v>42</v>
      </c>
      <c r="C488" s="6" t="s">
        <v>11</v>
      </c>
      <c r="D488">
        <v>0.57200349443973875</v>
      </c>
    </row>
    <row r="489" spans="1:4" x14ac:dyDescent="0.2">
      <c r="A489" s="5" t="s">
        <v>66</v>
      </c>
      <c r="B489" s="5" t="s">
        <v>42</v>
      </c>
      <c r="C489" s="6" t="s">
        <v>12</v>
      </c>
      <c r="D489">
        <v>0.56488399043429982</v>
      </c>
    </row>
    <row r="490" spans="1:4" x14ac:dyDescent="0.2">
      <c r="A490" s="5" t="s">
        <v>66</v>
      </c>
      <c r="B490" s="5" t="s">
        <v>42</v>
      </c>
      <c r="C490" s="6" t="s">
        <v>13</v>
      </c>
      <c r="D490">
        <v>0.55788467770506811</v>
      </c>
    </row>
    <row r="491" spans="1:4" x14ac:dyDescent="0.2">
      <c r="A491" s="5" t="s">
        <v>66</v>
      </c>
      <c r="B491" s="5" t="s">
        <v>42</v>
      </c>
      <c r="C491" s="6" t="s">
        <v>14</v>
      </c>
      <c r="D491">
        <v>0.55100334082484559</v>
      </c>
    </row>
    <row r="492" spans="1:4" x14ac:dyDescent="0.2">
      <c r="A492" s="5" t="s">
        <v>66</v>
      </c>
      <c r="B492" s="5" t="s">
        <v>42</v>
      </c>
      <c r="C492" s="6" t="s">
        <v>15</v>
      </c>
      <c r="D492">
        <v>0.54423827441764694</v>
      </c>
    </row>
    <row r="493" spans="1:4" x14ac:dyDescent="0.2">
      <c r="A493" s="5" t="s">
        <v>66</v>
      </c>
      <c r="B493" s="5" t="s">
        <v>42</v>
      </c>
      <c r="C493" s="6" t="s">
        <v>16</v>
      </c>
      <c r="D493">
        <v>0.5375874560632915</v>
      </c>
    </row>
    <row r="494" spans="1:4" x14ac:dyDescent="0.2">
      <c r="A494" s="5" t="s">
        <v>66</v>
      </c>
      <c r="B494" s="5" t="s">
        <v>42</v>
      </c>
      <c r="C494" s="6" t="s">
        <v>17</v>
      </c>
      <c r="D494">
        <v>0.52978910527338363</v>
      </c>
    </row>
    <row r="495" spans="1:4" x14ac:dyDescent="0.2">
      <c r="A495" s="5" t="s">
        <v>66</v>
      </c>
      <c r="B495" s="5" t="s">
        <v>42</v>
      </c>
      <c r="C495" s="6" t="s">
        <v>18</v>
      </c>
      <c r="D495">
        <v>0.52215038067683528</v>
      </c>
    </row>
    <row r="496" spans="1:4" x14ac:dyDescent="0.2">
      <c r="A496" s="5" t="s">
        <v>66</v>
      </c>
      <c r="B496" s="5" t="s">
        <v>42</v>
      </c>
      <c r="C496" s="6" t="s">
        <v>19</v>
      </c>
      <c r="D496">
        <v>0.51466809955749215</v>
      </c>
    </row>
    <row r="497" spans="1:4" x14ac:dyDescent="0.2">
      <c r="A497" s="5" t="s">
        <v>66</v>
      </c>
      <c r="B497" s="5" t="s">
        <v>42</v>
      </c>
      <c r="C497" s="6" t="s">
        <v>20</v>
      </c>
      <c r="D497">
        <v>0.50733873901400395</v>
      </c>
    </row>
    <row r="498" spans="1:4" x14ac:dyDescent="0.2">
      <c r="A498" s="5" t="s">
        <v>66</v>
      </c>
      <c r="B498" s="5" t="s">
        <v>42</v>
      </c>
      <c r="C498" s="6" t="s">
        <v>21</v>
      </c>
      <c r="D498">
        <v>0.50015909274985748</v>
      </c>
    </row>
    <row r="499" spans="1:4" x14ac:dyDescent="0.2">
      <c r="A499" s="5" t="s">
        <v>66</v>
      </c>
      <c r="B499" s="5" t="s">
        <v>42</v>
      </c>
      <c r="C499" s="6" t="s">
        <v>22</v>
      </c>
      <c r="D499">
        <v>0.49312576362216948</v>
      </c>
    </row>
    <row r="500" spans="1:4" x14ac:dyDescent="0.2">
      <c r="A500" s="5" t="s">
        <v>66</v>
      </c>
      <c r="B500" s="5" t="s">
        <v>42</v>
      </c>
      <c r="C500" s="6" t="s">
        <v>23</v>
      </c>
      <c r="D500">
        <v>0.48623640351081554</v>
      </c>
    </row>
    <row r="501" spans="1:4" x14ac:dyDescent="0.2">
      <c r="A501" s="5" t="s">
        <v>66</v>
      </c>
      <c r="B501" s="5" t="s">
        <v>42</v>
      </c>
      <c r="C501" s="6" t="s">
        <v>24</v>
      </c>
      <c r="D501">
        <v>0.47948695416980291</v>
      </c>
    </row>
    <row r="502" spans="1:4" x14ac:dyDescent="0.2">
      <c r="A502" s="5" t="s">
        <v>66</v>
      </c>
      <c r="B502" s="5" t="s">
        <v>42</v>
      </c>
      <c r="C502" s="6" t="s">
        <v>25</v>
      </c>
      <c r="D502">
        <v>0.47287475924292527</v>
      </c>
    </row>
    <row r="503" spans="1:4" x14ac:dyDescent="0.2">
      <c r="A503" s="5" t="s">
        <v>66</v>
      </c>
      <c r="B503" s="5" t="s">
        <v>42</v>
      </c>
      <c r="C503" s="6" t="s">
        <v>26</v>
      </c>
      <c r="D503">
        <v>0.46639729812701819</v>
      </c>
    </row>
    <row r="504" spans="1:4" x14ac:dyDescent="0.2">
      <c r="A504" s="5" t="s">
        <v>66</v>
      </c>
      <c r="B504" s="5" t="s">
        <v>42</v>
      </c>
      <c r="C504" s="6" t="s">
        <v>27</v>
      </c>
      <c r="D504">
        <v>0.45844483699104754</v>
      </c>
    </row>
    <row r="505" spans="1:4" x14ac:dyDescent="0.2">
      <c r="A505" s="5" t="s">
        <v>66</v>
      </c>
      <c r="B505" s="5" t="s">
        <v>42</v>
      </c>
      <c r="C505" s="6" t="s">
        <v>28</v>
      </c>
      <c r="D505">
        <v>0.45070123354887154</v>
      </c>
    </row>
    <row r="506" spans="1:4" x14ac:dyDescent="0.2">
      <c r="A506" s="5" t="s">
        <v>66</v>
      </c>
      <c r="B506" s="5" t="s">
        <v>42</v>
      </c>
      <c r="C506" s="6" t="s">
        <v>29</v>
      </c>
      <c r="D506">
        <v>0.44315981142734412</v>
      </c>
    </row>
    <row r="507" spans="1:4" x14ac:dyDescent="0.2">
      <c r="A507" s="5" t="s">
        <v>66</v>
      </c>
      <c r="B507" s="5" t="s">
        <v>42</v>
      </c>
      <c r="C507" s="6" t="s">
        <v>30</v>
      </c>
      <c r="D507">
        <v>0.43581511936289197</v>
      </c>
    </row>
    <row r="508" spans="1:4" x14ac:dyDescent="0.2">
      <c r="A508" s="5" t="s">
        <v>66</v>
      </c>
      <c r="B508" s="5" t="s">
        <v>42</v>
      </c>
      <c r="C508" s="6" t="s">
        <v>31</v>
      </c>
      <c r="D508">
        <v>0.42866165406487916</v>
      </c>
    </row>
    <row r="509" spans="1:4" x14ac:dyDescent="0.2">
      <c r="A509" s="5" t="s">
        <v>66</v>
      </c>
      <c r="B509" s="5" t="s">
        <v>42</v>
      </c>
      <c r="C509" s="6" t="s">
        <v>32</v>
      </c>
      <c r="D509">
        <v>0.42169400675278029</v>
      </c>
    </row>
    <row r="510" spans="1:4" x14ac:dyDescent="0.2">
      <c r="A510" s="5" t="s">
        <v>66</v>
      </c>
      <c r="B510" s="5" t="s">
        <v>42</v>
      </c>
      <c r="C510" s="6" t="s">
        <v>33</v>
      </c>
      <c r="D510">
        <v>0.41490671991685463</v>
      </c>
    </row>
    <row r="511" spans="1:4" x14ac:dyDescent="0.2">
      <c r="A511" s="5" t="s">
        <v>66</v>
      </c>
      <c r="B511" s="5" t="s">
        <v>42</v>
      </c>
      <c r="C511" s="6" t="s">
        <v>34</v>
      </c>
      <c r="D511">
        <v>0.40829506063681775</v>
      </c>
    </row>
    <row r="512" spans="1:4" x14ac:dyDescent="0.2">
      <c r="A512" s="5" t="s">
        <v>66</v>
      </c>
      <c r="B512" s="5" t="s">
        <v>42</v>
      </c>
      <c r="C512" s="6" t="s">
        <v>35</v>
      </c>
      <c r="D512">
        <v>0.40185370487773203</v>
      </c>
    </row>
    <row r="513" spans="1:4" x14ac:dyDescent="0.2">
      <c r="A513" s="5" t="s">
        <v>66</v>
      </c>
      <c r="B513" s="1" t="s">
        <v>42</v>
      </c>
      <c r="C513" s="2" t="s">
        <v>36</v>
      </c>
      <c r="D513">
        <v>0.39557816523223938</v>
      </c>
    </row>
    <row r="514" spans="1:4" x14ac:dyDescent="0.2">
      <c r="A514" s="5" t="s">
        <v>66</v>
      </c>
      <c r="B514" s="5" t="s">
        <v>43</v>
      </c>
      <c r="C514" s="6" t="s">
        <v>5</v>
      </c>
      <c r="D514">
        <v>0.67215212194312224</v>
      </c>
    </row>
    <row r="515" spans="1:4" x14ac:dyDescent="0.2">
      <c r="A515" s="5" t="s">
        <v>66</v>
      </c>
      <c r="B515" s="5" t="s">
        <v>43</v>
      </c>
      <c r="C515" s="6" t="s">
        <v>6</v>
      </c>
      <c r="D515">
        <v>0.66421118206894747</v>
      </c>
    </row>
    <row r="516" spans="1:4" x14ac:dyDescent="0.2">
      <c r="A516" s="5" t="s">
        <v>66</v>
      </c>
      <c r="B516" s="5" t="s">
        <v>43</v>
      </c>
      <c r="C516" s="6" t="s">
        <v>7</v>
      </c>
      <c r="D516">
        <v>0.65580842992980792</v>
      </c>
    </row>
    <row r="517" spans="1:4" x14ac:dyDescent="0.2">
      <c r="A517" s="5" t="s">
        <v>66</v>
      </c>
      <c r="B517" s="5" t="s">
        <v>43</v>
      </c>
      <c r="C517" s="6" t="s">
        <v>8</v>
      </c>
      <c r="D517">
        <v>0.64751676604501973</v>
      </c>
    </row>
    <row r="518" spans="1:4" x14ac:dyDescent="0.2">
      <c r="A518" s="5" t="s">
        <v>66</v>
      </c>
      <c r="B518" s="5" t="s">
        <v>43</v>
      </c>
      <c r="C518" s="6" t="s">
        <v>9</v>
      </c>
      <c r="D518">
        <v>0.63933507591620564</v>
      </c>
    </row>
    <row r="519" spans="1:4" x14ac:dyDescent="0.2">
      <c r="A519" s="5" t="s">
        <v>66</v>
      </c>
      <c r="B519" s="5" t="s">
        <v>43</v>
      </c>
      <c r="C519" s="6" t="s">
        <v>10</v>
      </c>
      <c r="D519">
        <v>0.63126087318109125</v>
      </c>
    </row>
    <row r="520" spans="1:4" x14ac:dyDescent="0.2">
      <c r="A520" s="5" t="s">
        <v>66</v>
      </c>
      <c r="B520" s="5" t="s">
        <v>43</v>
      </c>
      <c r="C520" s="6" t="s">
        <v>11</v>
      </c>
      <c r="D520">
        <v>0.62329367875182651</v>
      </c>
    </row>
    <row r="521" spans="1:4" x14ac:dyDescent="0.2">
      <c r="A521" s="5" t="s">
        <v>66</v>
      </c>
      <c r="B521" s="5" t="s">
        <v>43</v>
      </c>
      <c r="C521" s="6" t="s">
        <v>12</v>
      </c>
      <c r="D521">
        <v>0.6154315043941323</v>
      </c>
    </row>
    <row r="522" spans="1:4" x14ac:dyDescent="0.2">
      <c r="A522" s="5" t="s">
        <v>66</v>
      </c>
      <c r="B522" s="5" t="s">
        <v>43</v>
      </c>
      <c r="C522" s="6" t="s">
        <v>13</v>
      </c>
      <c r="D522">
        <v>0.60767327468291521</v>
      </c>
    </row>
    <row r="523" spans="1:4" x14ac:dyDescent="0.2">
      <c r="A523" s="5" t="s">
        <v>66</v>
      </c>
      <c r="B523" s="5" t="s">
        <v>43</v>
      </c>
      <c r="C523" s="6" t="s">
        <v>14</v>
      </c>
      <c r="D523">
        <v>0.60001709694888272</v>
      </c>
    </row>
    <row r="524" spans="1:4" x14ac:dyDescent="0.2">
      <c r="A524" s="5" t="s">
        <v>66</v>
      </c>
      <c r="B524" s="5" t="s">
        <v>43</v>
      </c>
      <c r="C524" s="6" t="s">
        <v>15</v>
      </c>
      <c r="D524">
        <v>0.59246199147187617</v>
      </c>
    </row>
    <row r="525" spans="1:4" x14ac:dyDescent="0.2">
      <c r="A525" s="5" t="s">
        <v>66</v>
      </c>
      <c r="B525" s="5" t="s">
        <v>43</v>
      </c>
      <c r="C525" s="6" t="s">
        <v>16</v>
      </c>
      <c r="D525">
        <v>0.58500652772682604</v>
      </c>
    </row>
    <row r="526" spans="1:4" x14ac:dyDescent="0.2">
      <c r="A526" s="5" t="s">
        <v>66</v>
      </c>
      <c r="B526" s="5" t="s">
        <v>43</v>
      </c>
      <c r="C526" s="6" t="s">
        <v>17</v>
      </c>
      <c r="D526">
        <v>0.57660377413138675</v>
      </c>
    </row>
    <row r="527" spans="1:4" x14ac:dyDescent="0.2">
      <c r="A527" s="5" t="s">
        <v>66</v>
      </c>
      <c r="B527" s="5" t="s">
        <v>43</v>
      </c>
      <c r="C527" s="6" t="s">
        <v>18</v>
      </c>
      <c r="D527">
        <v>0.56832944886736636</v>
      </c>
    </row>
    <row r="528" spans="1:4" x14ac:dyDescent="0.2">
      <c r="A528" s="5" t="s">
        <v>66</v>
      </c>
      <c r="B528" s="5" t="s">
        <v>43</v>
      </c>
      <c r="C528" s="6" t="s">
        <v>19</v>
      </c>
      <c r="D528">
        <v>0.56018131946883942</v>
      </c>
    </row>
    <row r="529" spans="1:4" x14ac:dyDescent="0.2">
      <c r="A529" s="5" t="s">
        <v>66</v>
      </c>
      <c r="B529" s="5" t="s">
        <v>43</v>
      </c>
      <c r="C529" s="6" t="s">
        <v>20</v>
      </c>
      <c r="D529">
        <v>0.55215756932031812</v>
      </c>
    </row>
    <row r="530" spans="1:4" x14ac:dyDescent="0.2">
      <c r="A530" s="5" t="s">
        <v>66</v>
      </c>
      <c r="B530" s="5" t="s">
        <v>43</v>
      </c>
      <c r="C530" s="6" t="s">
        <v>21</v>
      </c>
      <c r="D530">
        <v>0.54425595483703582</v>
      </c>
    </row>
    <row r="531" spans="1:4" x14ac:dyDescent="0.2">
      <c r="A531" s="5" t="s">
        <v>66</v>
      </c>
      <c r="B531" s="5" t="s">
        <v>43</v>
      </c>
      <c r="C531" s="6" t="s">
        <v>22</v>
      </c>
      <c r="D531">
        <v>0.53647454512623949</v>
      </c>
    </row>
    <row r="532" spans="1:4" x14ac:dyDescent="0.2">
      <c r="A532" s="5" t="s">
        <v>66</v>
      </c>
      <c r="B532" s="5" t="s">
        <v>43</v>
      </c>
      <c r="C532" s="6" t="s">
        <v>23</v>
      </c>
      <c r="D532">
        <v>0.52881191055970844</v>
      </c>
    </row>
    <row r="533" spans="1:4" x14ac:dyDescent="0.2">
      <c r="A533" s="5" t="s">
        <v>66</v>
      </c>
      <c r="B533" s="5" t="s">
        <v>43</v>
      </c>
      <c r="C533" s="6" t="s">
        <v>24</v>
      </c>
      <c r="D533">
        <v>0.52126564618682847</v>
      </c>
    </row>
    <row r="534" spans="1:4" x14ac:dyDescent="0.2">
      <c r="A534" s="5" t="s">
        <v>66</v>
      </c>
      <c r="B534" s="5" t="s">
        <v>43</v>
      </c>
      <c r="C534" s="6" t="s">
        <v>25</v>
      </c>
      <c r="D534">
        <v>0.51383406910372087</v>
      </c>
    </row>
    <row r="535" spans="1:4" x14ac:dyDescent="0.2">
      <c r="A535" s="5" t="s">
        <v>66</v>
      </c>
      <c r="B535" s="5" t="s">
        <v>43</v>
      </c>
      <c r="C535" s="6" t="s">
        <v>26</v>
      </c>
      <c r="D535">
        <v>0.50651544659459435</v>
      </c>
    </row>
    <row r="536" spans="1:4" x14ac:dyDescent="0.2">
      <c r="A536" s="5" t="s">
        <v>66</v>
      </c>
      <c r="B536" s="5" t="s">
        <v>43</v>
      </c>
      <c r="C536" s="6" t="s">
        <v>27</v>
      </c>
      <c r="D536">
        <v>0.49805002339084725</v>
      </c>
    </row>
    <row r="537" spans="1:4" x14ac:dyDescent="0.2">
      <c r="A537" s="5" t="s">
        <v>66</v>
      </c>
      <c r="B537" s="5" t="s">
        <v>43</v>
      </c>
      <c r="C537" s="6" t="s">
        <v>28</v>
      </c>
      <c r="D537">
        <v>0.48973823559668328</v>
      </c>
    </row>
    <row r="538" spans="1:4" x14ac:dyDescent="0.2">
      <c r="A538" s="5" t="s">
        <v>66</v>
      </c>
      <c r="B538" s="5" t="s">
        <v>43</v>
      </c>
      <c r="C538" s="6" t="s">
        <v>29</v>
      </c>
      <c r="D538">
        <v>0.48157684356307046</v>
      </c>
    </row>
    <row r="539" spans="1:4" x14ac:dyDescent="0.2">
      <c r="A539" s="5" t="s">
        <v>66</v>
      </c>
      <c r="B539" s="5" t="s">
        <v>43</v>
      </c>
      <c r="C539" s="6" t="s">
        <v>30</v>
      </c>
      <c r="D539">
        <v>0.47356341537165536</v>
      </c>
    </row>
    <row r="540" spans="1:4" x14ac:dyDescent="0.2">
      <c r="A540" s="5" t="s">
        <v>66</v>
      </c>
      <c r="B540" s="5" t="s">
        <v>43</v>
      </c>
      <c r="C540" s="6" t="s">
        <v>31</v>
      </c>
      <c r="D540">
        <v>0.46569455805944909</v>
      </c>
    </row>
    <row r="541" spans="1:4" x14ac:dyDescent="0.2">
      <c r="A541" s="5" t="s">
        <v>66</v>
      </c>
      <c r="B541" s="5" t="s">
        <v>43</v>
      </c>
      <c r="C541" s="6" t="s">
        <v>32</v>
      </c>
      <c r="D541">
        <v>0.45796796995858774</v>
      </c>
    </row>
    <row r="542" spans="1:4" x14ac:dyDescent="0.2">
      <c r="A542" s="5" t="s">
        <v>66</v>
      </c>
      <c r="B542" s="5" t="s">
        <v>43</v>
      </c>
      <c r="C542" s="6" t="s">
        <v>33</v>
      </c>
      <c r="D542">
        <v>0.45038041318086974</v>
      </c>
    </row>
    <row r="543" spans="1:4" x14ac:dyDescent="0.2">
      <c r="A543" s="5" t="s">
        <v>66</v>
      </c>
      <c r="B543" s="5" t="s">
        <v>43</v>
      </c>
      <c r="C543" s="6" t="s">
        <v>34</v>
      </c>
      <c r="D543">
        <v>0.44293001873007409</v>
      </c>
    </row>
    <row r="544" spans="1:4" x14ac:dyDescent="0.2">
      <c r="A544" s="5" t="s">
        <v>66</v>
      </c>
      <c r="B544" s="5" t="s">
        <v>43</v>
      </c>
      <c r="C544" s="6" t="s">
        <v>35</v>
      </c>
      <c r="D544">
        <v>0.43561331518563834</v>
      </c>
    </row>
    <row r="545" spans="1:4" x14ac:dyDescent="0.2">
      <c r="A545" s="5" t="s">
        <v>66</v>
      </c>
      <c r="B545" s="1" t="s">
        <v>43</v>
      </c>
      <c r="C545" s="2" t="s">
        <v>36</v>
      </c>
      <c r="D545">
        <v>0.42842811689644866</v>
      </c>
    </row>
    <row r="546" spans="1:4" x14ac:dyDescent="0.2">
      <c r="A546" s="5" t="s">
        <v>66</v>
      </c>
      <c r="B546" s="5" t="s">
        <v>44</v>
      </c>
      <c r="C546" s="6" t="s">
        <v>5</v>
      </c>
      <c r="D546">
        <v>0.67441126248790484</v>
      </c>
    </row>
    <row r="547" spans="1:4" x14ac:dyDescent="0.2">
      <c r="A547" s="5" t="s">
        <v>66</v>
      </c>
      <c r="B547" s="5" t="s">
        <v>44</v>
      </c>
      <c r="C547" s="6" t="s">
        <v>6</v>
      </c>
      <c r="D547">
        <v>0.66642389168255523</v>
      </c>
    </row>
    <row r="548" spans="1:4" x14ac:dyDescent="0.2">
      <c r="A548" s="5" t="s">
        <v>66</v>
      </c>
      <c r="B548" s="5" t="s">
        <v>44</v>
      </c>
      <c r="C548" s="6" t="s">
        <v>7</v>
      </c>
      <c r="D548">
        <v>0.65794041793083169</v>
      </c>
    </row>
    <row r="549" spans="1:4" x14ac:dyDescent="0.2">
      <c r="A549" s="5" t="s">
        <v>66</v>
      </c>
      <c r="B549" s="5" t="s">
        <v>44</v>
      </c>
      <c r="C549" s="6" t="s">
        <v>8</v>
      </c>
      <c r="D549">
        <v>0.64957064834717604</v>
      </c>
    </row>
    <row r="550" spans="1:4" x14ac:dyDescent="0.2">
      <c r="A550" s="5" t="s">
        <v>66</v>
      </c>
      <c r="B550" s="5" t="s">
        <v>44</v>
      </c>
      <c r="C550" s="6" t="s">
        <v>9</v>
      </c>
      <c r="D550">
        <v>0.64131255659206088</v>
      </c>
    </row>
    <row r="551" spans="1:4" x14ac:dyDescent="0.2">
      <c r="A551" s="5" t="s">
        <v>66</v>
      </c>
      <c r="B551" s="5" t="s">
        <v>44</v>
      </c>
      <c r="C551" s="6" t="s">
        <v>10</v>
      </c>
      <c r="D551">
        <v>0.6331657477364242</v>
      </c>
    </row>
    <row r="552" spans="1:4" x14ac:dyDescent="0.2">
      <c r="A552" s="5" t="s">
        <v>66</v>
      </c>
      <c r="B552" s="5" t="s">
        <v>44</v>
      </c>
      <c r="C552" s="6" t="s">
        <v>11</v>
      </c>
      <c r="D552">
        <v>0.62512735896304583</v>
      </c>
    </row>
    <row r="553" spans="1:4" x14ac:dyDescent="0.2">
      <c r="A553" s="5" t="s">
        <v>66</v>
      </c>
      <c r="B553" s="5" t="s">
        <v>44</v>
      </c>
      <c r="C553" s="6" t="s">
        <v>12</v>
      </c>
      <c r="D553">
        <v>0.61719647885584683</v>
      </c>
    </row>
    <row r="554" spans="1:4" x14ac:dyDescent="0.2">
      <c r="A554" s="5" t="s">
        <v>66</v>
      </c>
      <c r="B554" s="5" t="s">
        <v>44</v>
      </c>
      <c r="C554" s="6" t="s">
        <v>13</v>
      </c>
      <c r="D554">
        <v>0.60937163819275186</v>
      </c>
    </row>
    <row r="555" spans="1:4" x14ac:dyDescent="0.2">
      <c r="A555" s="5" t="s">
        <v>66</v>
      </c>
      <c r="B555" s="5" t="s">
        <v>44</v>
      </c>
      <c r="C555" s="6" t="s">
        <v>14</v>
      </c>
      <c r="D555">
        <v>0.60165104386852042</v>
      </c>
    </row>
    <row r="556" spans="1:4" x14ac:dyDescent="0.2">
      <c r="A556" s="5" t="s">
        <v>66</v>
      </c>
      <c r="B556" s="5" t="s">
        <v>44</v>
      </c>
      <c r="C556" s="6" t="s">
        <v>15</v>
      </c>
      <c r="D556">
        <v>0.59403342994399855</v>
      </c>
    </row>
    <row r="557" spans="1:4" x14ac:dyDescent="0.2">
      <c r="A557" s="5" t="s">
        <v>66</v>
      </c>
      <c r="B557" s="5" t="s">
        <v>44</v>
      </c>
      <c r="C557" s="6" t="s">
        <v>16</v>
      </c>
      <c r="D557">
        <v>0.5865174945695405</v>
      </c>
    </row>
    <row r="558" spans="1:4" x14ac:dyDescent="0.2">
      <c r="A558" s="5" t="s">
        <v>66</v>
      </c>
      <c r="B558" s="5" t="s">
        <v>44</v>
      </c>
      <c r="C558" s="6" t="s">
        <v>17</v>
      </c>
      <c r="D558">
        <v>0.57802662600902921</v>
      </c>
    </row>
    <row r="559" spans="1:4" x14ac:dyDescent="0.2">
      <c r="A559" s="5" t="s">
        <v>66</v>
      </c>
      <c r="B559" s="5" t="s">
        <v>44</v>
      </c>
      <c r="C559" s="6" t="s">
        <v>18</v>
      </c>
      <c r="D559">
        <v>0.56966812167609604</v>
      </c>
    </row>
    <row r="560" spans="1:4" x14ac:dyDescent="0.2">
      <c r="A560" s="5" t="s">
        <v>66</v>
      </c>
      <c r="B560" s="5" t="s">
        <v>44</v>
      </c>
      <c r="C560" s="6" t="s">
        <v>19</v>
      </c>
      <c r="D560">
        <v>0.56143895932849908</v>
      </c>
    </row>
    <row r="561" spans="1:4" x14ac:dyDescent="0.2">
      <c r="A561" s="5" t="s">
        <v>66</v>
      </c>
      <c r="B561" s="5" t="s">
        <v>44</v>
      </c>
      <c r="C561" s="6" t="s">
        <v>20</v>
      </c>
      <c r="D561">
        <v>0.55333764622181869</v>
      </c>
    </row>
    <row r="562" spans="1:4" x14ac:dyDescent="0.2">
      <c r="A562" s="5" t="s">
        <v>66</v>
      </c>
      <c r="B562" s="5" t="s">
        <v>44</v>
      </c>
      <c r="C562" s="6" t="s">
        <v>21</v>
      </c>
      <c r="D562">
        <v>0.54536199081198511</v>
      </c>
    </row>
    <row r="563" spans="1:4" x14ac:dyDescent="0.2">
      <c r="A563" s="5" t="s">
        <v>66</v>
      </c>
      <c r="B563" s="5" t="s">
        <v>44</v>
      </c>
      <c r="C563" s="6" t="s">
        <v>22</v>
      </c>
      <c r="D563">
        <v>0.53750984360799414</v>
      </c>
    </row>
    <row r="564" spans="1:4" x14ac:dyDescent="0.2">
      <c r="A564" s="5" t="s">
        <v>66</v>
      </c>
      <c r="B564" s="5" t="s">
        <v>44</v>
      </c>
      <c r="C564" s="6" t="s">
        <v>23</v>
      </c>
      <c r="D564">
        <v>0.52977891380188635</v>
      </c>
    </row>
    <row r="565" spans="1:4" x14ac:dyDescent="0.2">
      <c r="A565" s="5" t="s">
        <v>66</v>
      </c>
      <c r="B565" s="5" t="s">
        <v>44</v>
      </c>
      <c r="C565" s="6" t="s">
        <v>24</v>
      </c>
      <c r="D565">
        <v>0.52216776750745353</v>
      </c>
    </row>
    <row r="566" spans="1:4" x14ac:dyDescent="0.2">
      <c r="A566" s="5" t="s">
        <v>66</v>
      </c>
      <c r="B566" s="5" t="s">
        <v>44</v>
      </c>
      <c r="C566" s="6" t="s">
        <v>25</v>
      </c>
      <c r="D566">
        <v>0.51467399704873107</v>
      </c>
    </row>
    <row r="567" spans="1:4" x14ac:dyDescent="0.2">
      <c r="A567" s="5" t="s">
        <v>66</v>
      </c>
      <c r="B567" s="5" t="s">
        <v>44</v>
      </c>
      <c r="C567" s="6" t="s">
        <v>26</v>
      </c>
      <c r="D567">
        <v>0.50729588638206435</v>
      </c>
    </row>
    <row r="568" spans="1:4" x14ac:dyDescent="0.2">
      <c r="A568" s="5" t="s">
        <v>66</v>
      </c>
      <c r="B568" s="5" t="s">
        <v>44</v>
      </c>
      <c r="C568" s="6" t="s">
        <v>27</v>
      </c>
      <c r="D568">
        <v>0.49873420131381219</v>
      </c>
    </row>
    <row r="569" spans="1:4" x14ac:dyDescent="0.2">
      <c r="A569" s="5" t="s">
        <v>66</v>
      </c>
      <c r="B569" s="5" t="s">
        <v>44</v>
      </c>
      <c r="C569" s="6" t="s">
        <v>28</v>
      </c>
      <c r="D569">
        <v>0.49033224575199841</v>
      </c>
    </row>
    <row r="570" spans="1:4" x14ac:dyDescent="0.2">
      <c r="A570" s="5" t="s">
        <v>66</v>
      </c>
      <c r="B570" s="5" t="s">
        <v>44</v>
      </c>
      <c r="C570" s="6" t="s">
        <v>29</v>
      </c>
      <c r="D570">
        <v>0.48208600936185797</v>
      </c>
    </row>
    <row r="571" spans="1:4" x14ac:dyDescent="0.2">
      <c r="A571" s="5" t="s">
        <v>66</v>
      </c>
      <c r="B571" s="5" t="s">
        <v>44</v>
      </c>
      <c r="C571" s="6" t="s">
        <v>30</v>
      </c>
      <c r="D571">
        <v>0.47399306341812142</v>
      </c>
    </row>
    <row r="572" spans="1:4" x14ac:dyDescent="0.2">
      <c r="A572" s="5" t="s">
        <v>66</v>
      </c>
      <c r="B572" s="5" t="s">
        <v>44</v>
      </c>
      <c r="C572" s="6" t="s">
        <v>31</v>
      </c>
      <c r="D572">
        <v>0.46604999833971678</v>
      </c>
    </row>
    <row r="573" spans="1:4" x14ac:dyDescent="0.2">
      <c r="A573" s="5" t="s">
        <v>66</v>
      </c>
      <c r="B573" s="5" t="s">
        <v>44</v>
      </c>
      <c r="C573" s="6" t="s">
        <v>32</v>
      </c>
      <c r="D573">
        <v>0.45825361046797558</v>
      </c>
    </row>
    <row r="574" spans="1:4" x14ac:dyDescent="0.2">
      <c r="A574" s="5" t="s">
        <v>66</v>
      </c>
      <c r="B574" s="5" t="s">
        <v>44</v>
      </c>
      <c r="C574" s="6" t="s">
        <v>33</v>
      </c>
      <c r="D574">
        <v>0.45060152927232833</v>
      </c>
    </row>
    <row r="575" spans="1:4" x14ac:dyDescent="0.2">
      <c r="A575" s="5" t="s">
        <v>66</v>
      </c>
      <c r="B575" s="5" t="s">
        <v>44</v>
      </c>
      <c r="C575" s="6" t="s">
        <v>34</v>
      </c>
      <c r="D575">
        <v>0.44309035559664378</v>
      </c>
    </row>
    <row r="576" spans="1:4" x14ac:dyDescent="0.2">
      <c r="A576" s="5" t="s">
        <v>66</v>
      </c>
      <c r="B576" s="5" t="s">
        <v>44</v>
      </c>
      <c r="C576" s="6" t="s">
        <v>35</v>
      </c>
      <c r="D576">
        <v>0.43571740165275363</v>
      </c>
    </row>
    <row r="577" spans="1:4" x14ac:dyDescent="0.2">
      <c r="A577" s="5" t="s">
        <v>66</v>
      </c>
      <c r="B577" s="1" t="s">
        <v>44</v>
      </c>
      <c r="C577" s="2" t="s">
        <v>36</v>
      </c>
      <c r="D577">
        <v>0.42847988264772779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shell factors calc</vt:lpstr>
      <vt:lpstr>floorspace</vt:lpstr>
      <vt:lpstr>export to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Eric</dc:creator>
  <cp:lastModifiedBy>Wilson, Eric</cp:lastModifiedBy>
  <dcterms:created xsi:type="dcterms:W3CDTF">2026-04-30T16:52:14Z</dcterms:created>
  <dcterms:modified xsi:type="dcterms:W3CDTF">2026-04-30T19:52:06Z</dcterms:modified>
</cp:coreProperties>
</file>